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t\My Drive\WAT\2024-2025_2_sem-lato\_Artykul_AMCS_Przeglad_LCDP_InProgress_Ameljanczyk\"/>
    </mc:Choice>
  </mc:AlternateContent>
  <xr:revisionPtr revIDLastSave="0" documentId="13_ncr:1_{55116C0D-5EE8-4964-A69E-EB19A22275D6}" xr6:coauthVersionLast="47" xr6:coauthVersionMax="47" xr10:uidLastSave="{00000000-0000-0000-0000-000000000000}"/>
  <bookViews>
    <workbookView xWindow="-120" yWindow="-120" windowWidth="38640" windowHeight="15720" tabRatio="613" xr2:uid="{2C5EA93C-0531-BA4D-BDC0-99B88BE24CBD}"/>
  </bookViews>
  <sheets>
    <sheet name="Platform review" sheetId="2" r:id="rId1"/>
    <sheet name="CLASSIFICATION" sheetId="6" r:id="rId2"/>
    <sheet name="TABELA" sheetId="3" r:id="rId3"/>
    <sheet name="TABELA_UNIQUE" sheetId="8" r:id="rId4"/>
    <sheet name="TABELA_UNIQUE_LaTeX" sheetId="9" r:id="rId5"/>
    <sheet name="TABELA_UNIQUE_IMPORTANT" sheetId="11" r:id="rId6"/>
    <sheet name="Sheet1" sheetId="12" r:id="rId7"/>
    <sheet name="TABELA_UNIQUE_IMPORTANT_LaTeX" sheetId="10" r:id="rId8"/>
    <sheet name="LaTeX TAB DEF" sheetId="5" r:id="rId9"/>
  </sheets>
  <definedNames>
    <definedName name="_xlnm._FilterDatabase" localSheetId="0" hidden="1">'Platform review'!$A$1:$E$127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16" i="8" l="1"/>
  <c r="AB216" i="8"/>
  <c r="AA216" i="8"/>
  <c r="Z216" i="8"/>
  <c r="Y216" i="8"/>
  <c r="X216" i="8"/>
  <c r="AC215" i="8"/>
  <c r="AB215" i="8"/>
  <c r="AA215" i="8"/>
  <c r="Z215" i="8"/>
  <c r="Y215" i="8"/>
  <c r="X215" i="8"/>
  <c r="AC214" i="8"/>
  <c r="AB214" i="8"/>
  <c r="AA214" i="8"/>
  <c r="Z214" i="8"/>
  <c r="Y214" i="8"/>
  <c r="X214" i="8"/>
  <c r="AC213" i="8"/>
  <c r="AB213" i="8"/>
  <c r="AA213" i="8"/>
  <c r="Z213" i="8"/>
  <c r="Y213" i="8"/>
  <c r="X213" i="8"/>
  <c r="AC1" i="8"/>
  <c r="AB1" i="8"/>
  <c r="AA1" i="8"/>
  <c r="Z1" i="8"/>
  <c r="Y1" i="8"/>
  <c r="X1" i="8"/>
  <c r="V216" i="8"/>
  <c r="U216" i="8"/>
  <c r="T216" i="8"/>
  <c r="S216" i="8"/>
  <c r="R216" i="8"/>
  <c r="Q216" i="8"/>
  <c r="V215" i="8"/>
  <c r="U215" i="8"/>
  <c r="T215" i="8"/>
  <c r="S215" i="8"/>
  <c r="R215" i="8"/>
  <c r="Q215" i="8"/>
  <c r="V214" i="8"/>
  <c r="U214" i="8"/>
  <c r="T214" i="8"/>
  <c r="S214" i="8"/>
  <c r="R214" i="8"/>
  <c r="Q214" i="8"/>
  <c r="V213" i="8"/>
  <c r="U213" i="8"/>
  <c r="T213" i="8"/>
  <c r="S213" i="8"/>
  <c r="R213" i="8"/>
  <c r="Q213" i="8"/>
  <c r="V1" i="8"/>
  <c r="U1" i="8"/>
  <c r="T1" i="8"/>
  <c r="S1" i="8"/>
  <c r="R1" i="8"/>
  <c r="Q1" i="8"/>
  <c r="F110" i="6" a="1"/>
  <c r="F110" i="6" s="1"/>
  <c r="G110" i="6" a="1"/>
  <c r="G110" i="6" s="1"/>
  <c r="H110" i="6"/>
  <c r="C16" i="12"/>
  <c r="D16" i="12"/>
  <c r="E16" i="12"/>
  <c r="F16" i="12"/>
  <c r="G16" i="12"/>
  <c r="B16" i="12"/>
  <c r="AE2" i="11"/>
  <c r="AD2" i="11"/>
  <c r="AC2" i="11"/>
  <c r="AB2" i="11"/>
  <c r="AA2" i="11"/>
  <c r="Z2" i="11"/>
  <c r="V2" i="11"/>
  <c r="U2" i="11"/>
  <c r="T2" i="11"/>
  <c r="S2" i="11"/>
  <c r="R2" i="11"/>
  <c r="Q2" i="11"/>
  <c r="O2" i="11"/>
  <c r="N2" i="11"/>
  <c r="M2" i="11"/>
  <c r="L2" i="11"/>
  <c r="K2" i="11"/>
  <c r="J2" i="11"/>
  <c r="A143" i="10"/>
  <c r="I216" i="11"/>
  <c r="H216" i="11"/>
  <c r="R216" i="11" s="1"/>
  <c r="C216" i="11" a="1"/>
  <c r="C216" i="11" s="1"/>
  <c r="I215" i="11"/>
  <c r="H215" i="11"/>
  <c r="Q215" i="11" s="1"/>
  <c r="C215" i="11" a="1"/>
  <c r="C215" i="11" s="1"/>
  <c r="I214" i="11"/>
  <c r="C214" i="11" a="1"/>
  <c r="C214" i="11" s="1"/>
  <c r="E2" i="11"/>
  <c r="I2" i="11" s="1"/>
  <c r="D2" i="11"/>
  <c r="H2" i="11" s="1"/>
  <c r="C2" i="11"/>
  <c r="G2" i="11" s="1"/>
  <c r="B14" i="5"/>
  <c r="A2" i="10" s="1"/>
  <c r="B13" i="5"/>
  <c r="A1" i="10" s="1"/>
  <c r="K110" i="6" l="1"/>
  <c r="A1" i="9"/>
  <c r="A2" i="9"/>
  <c r="I110" i="6"/>
  <c r="J110" i="6"/>
  <c r="T216" i="11"/>
  <c r="U216" i="11"/>
  <c r="V215" i="11"/>
  <c r="Q216" i="11"/>
  <c r="V216" i="11"/>
  <c r="S216" i="11"/>
  <c r="U215" i="11"/>
  <c r="T215" i="11"/>
  <c r="R215" i="11"/>
  <c r="S215" i="11"/>
  <c r="C105" i="11" a="1"/>
  <c r="C190" i="11" a="1"/>
  <c r="C158" i="11" a="1"/>
  <c r="C126" i="11" a="1"/>
  <c r="C195" i="11" a="1"/>
  <c r="C163" i="11" a="1"/>
  <c r="C131" i="11" a="1"/>
  <c r="C200" i="11" a="1"/>
  <c r="C168" i="11" a="1"/>
  <c r="C136" i="11" a="1"/>
  <c r="C104" i="11" a="1"/>
  <c r="C210" i="11" a="1"/>
  <c r="C178" i="11" a="1"/>
  <c r="C146" i="11" a="1"/>
  <c r="C114" i="11" a="1"/>
  <c r="C183" i="11" a="1"/>
  <c r="C151" i="11" a="1"/>
  <c r="C188" i="11" a="1"/>
  <c r="C156" i="11" a="1"/>
  <c r="C124" i="11" a="1"/>
  <c r="C193" i="11" a="1"/>
  <c r="C161" i="11" a="1"/>
  <c r="C129" i="11" a="1"/>
  <c r="C198" i="11" a="1"/>
  <c r="C166" i="11" a="1"/>
  <c r="C134" i="11" a="1"/>
  <c r="C203" i="11" a="1"/>
  <c r="C171" i="11" a="1"/>
  <c r="C139" i="11" a="1"/>
  <c r="C208" i="11" a="1"/>
  <c r="C176" i="11" a="1"/>
  <c r="C144" i="11" a="1"/>
  <c r="C213" i="11" a="1"/>
  <c r="C181" i="11" a="1"/>
  <c r="C149" i="11" a="1"/>
  <c r="C186" i="11" a="1"/>
  <c r="C191" i="11" a="1"/>
  <c r="C196" i="11" a="1"/>
  <c r="C201" i="11" a="1"/>
  <c r="C211" i="11" a="1"/>
  <c r="C179" i="11" a="1"/>
  <c r="C142" i="11" a="1"/>
  <c r="C155" i="11" a="1"/>
  <c r="C122" i="11" a="1"/>
  <c r="C147" i="11" a="1"/>
  <c r="C192" i="11" a="1"/>
  <c r="C182" i="11" a="1"/>
  <c r="C160" i="11" a="1"/>
  <c r="C120" i="11" a="1"/>
  <c r="C209" i="11" a="1"/>
  <c r="C152" i="11" a="1"/>
  <c r="C202" i="11" a="1"/>
  <c r="C173" i="11" a="1"/>
  <c r="C165" i="11" a="1"/>
  <c r="C118" i="11" a="1"/>
  <c r="C157" i="11" a="1"/>
  <c r="C116" i="11" a="1"/>
  <c r="C112" i="11" a="1"/>
  <c r="C185" i="11" a="1"/>
  <c r="C162" i="11" a="1"/>
  <c r="C170" i="11" a="1"/>
  <c r="C154" i="11" a="1"/>
  <c r="C110" i="11" a="1"/>
  <c r="C167" i="11" a="1"/>
  <c r="C205" i="11" a="1"/>
  <c r="C159" i="11" a="1"/>
  <c r="C184" i="11" a="1"/>
  <c r="C212" i="11" a="1"/>
  <c r="C194" i="11" a="1"/>
  <c r="C164" i="11" a="1"/>
  <c r="C172" i="11" a="1"/>
  <c r="C204" i="11" a="1"/>
  <c r="C187" i="11" a="1"/>
  <c r="C150" i="11" a="1"/>
  <c r="C127" i="11" a="1"/>
  <c r="C207" i="11" a="1"/>
  <c r="C145" i="11" a="1"/>
  <c r="C119" i="11" a="1"/>
  <c r="C130" i="11" a="1"/>
  <c r="C140" i="11" a="1"/>
  <c r="C113" i="11" a="1"/>
  <c r="C107" i="11" a="1"/>
  <c r="C206" i="11" a="1"/>
  <c r="C135" i="11" a="1"/>
  <c r="C180" i="11" a="1"/>
  <c r="C153" i="11" a="1"/>
  <c r="C148" i="11" a="1"/>
  <c r="C115" i="11" a="1"/>
  <c r="C143" i="11" a="1"/>
  <c r="C109" i="11" a="1"/>
  <c r="C106" i="11" a="1"/>
  <c r="C125" i="11" a="1"/>
  <c r="C138" i="11" a="1"/>
  <c r="C121" i="11" a="1"/>
  <c r="C177" i="11" a="1"/>
  <c r="C133" i="11" a="1"/>
  <c r="C108" i="11" a="1"/>
  <c r="C128" i="11" a="1"/>
  <c r="C117" i="11" a="1"/>
  <c r="C169" i="11" a="1"/>
  <c r="C141" i="11" a="1"/>
  <c r="C137" i="11" a="1"/>
  <c r="C103" i="11" a="1"/>
  <c r="C175" i="11" a="1"/>
  <c r="C132" i="11" a="1"/>
  <c r="C111" i="11" a="1"/>
  <c r="C199" i="11" a="1"/>
  <c r="C197" i="11" a="1"/>
  <c r="C189" i="11" a="1"/>
  <c r="C174" i="11" a="1"/>
  <c r="C123" i="11" a="1"/>
  <c r="G215" i="11"/>
  <c r="G216" i="11"/>
  <c r="F241" i="6" a="1"/>
  <c r="F241" i="6" s="1"/>
  <c r="G241" i="6" a="1"/>
  <c r="G241" i="6" s="1"/>
  <c r="H241" i="6"/>
  <c r="F179" i="6" a="1"/>
  <c r="F179" i="6" s="1"/>
  <c r="G179" i="6" a="1"/>
  <c r="G179" i="6" s="1"/>
  <c r="H179" i="6"/>
  <c r="F165" i="6" a="1"/>
  <c r="F165" i="6" s="1"/>
  <c r="G165" i="6" a="1"/>
  <c r="G165" i="6" s="1"/>
  <c r="H165" i="6"/>
  <c r="F80" i="6" a="1"/>
  <c r="F80" i="6" s="1"/>
  <c r="K80" i="6" s="1"/>
  <c r="G80" i="6" a="1"/>
  <c r="G80" i="6" s="1"/>
  <c r="H80" i="6"/>
  <c r="F55" i="6" a="1"/>
  <c r="F55" i="6" s="1"/>
  <c r="G55" i="6" a="1"/>
  <c r="G55" i="6" s="1"/>
  <c r="H55" i="6"/>
  <c r="F48" i="6" a="1"/>
  <c r="F48" i="6" s="1"/>
  <c r="G48" i="6" a="1"/>
  <c r="G48" i="6" s="1"/>
  <c r="H48" i="6"/>
  <c r="M3" i="3" a="1"/>
  <c r="C3" i="3" a="1"/>
  <c r="K3" i="3" a="1"/>
  <c r="T3" i="3" a="1"/>
  <c r="U3" i="3" a="1"/>
  <c r="Q3" i="3" a="1"/>
  <c r="J3" i="3" a="1"/>
  <c r="N3" i="3" a="1"/>
  <c r="R3" i="3" a="1"/>
  <c r="D3" i="3" a="1"/>
  <c r="E3" i="3" a="1"/>
  <c r="G3" i="3" a="1"/>
  <c r="F3" i="3" a="1"/>
  <c r="S3" i="3" a="1"/>
  <c r="O3" i="3" a="1"/>
  <c r="L3" i="3" a="1"/>
  <c r="I3" i="3" a="1"/>
  <c r="K48" i="6" l="1"/>
  <c r="K241" i="6"/>
  <c r="K179" i="6"/>
  <c r="K55" i="6"/>
  <c r="K165" i="6"/>
  <c r="H106" i="11"/>
  <c r="I106" i="11"/>
  <c r="C106" i="11"/>
  <c r="I185" i="11"/>
  <c r="H185" i="11"/>
  <c r="C185" i="11"/>
  <c r="I196" i="11"/>
  <c r="H196" i="11"/>
  <c r="C196" i="11"/>
  <c r="C109" i="11"/>
  <c r="I109" i="11"/>
  <c r="H109" i="11"/>
  <c r="H119" i="11"/>
  <c r="C119" i="11"/>
  <c r="I119" i="11"/>
  <c r="I112" i="11"/>
  <c r="H112" i="11"/>
  <c r="C112" i="11"/>
  <c r="I191" i="11"/>
  <c r="H191" i="11"/>
  <c r="C191" i="11"/>
  <c r="C131" i="11"/>
  <c r="I131" i="11"/>
  <c r="H131" i="11"/>
  <c r="I143" i="11"/>
  <c r="H143" i="11"/>
  <c r="C143" i="11"/>
  <c r="I116" i="11"/>
  <c r="H116" i="11"/>
  <c r="C116" i="11"/>
  <c r="I186" i="11"/>
  <c r="H186" i="11"/>
  <c r="C186" i="11"/>
  <c r="C163" i="11"/>
  <c r="I163" i="11"/>
  <c r="H163" i="11"/>
  <c r="I157" i="11"/>
  <c r="H157" i="11"/>
  <c r="C157" i="11"/>
  <c r="I149" i="11"/>
  <c r="H149" i="11"/>
  <c r="C149" i="11"/>
  <c r="C195" i="11"/>
  <c r="I195" i="11"/>
  <c r="H195" i="11"/>
  <c r="I181" i="11"/>
  <c r="H181" i="11"/>
  <c r="C181" i="11"/>
  <c r="H118" i="11"/>
  <c r="C118" i="11"/>
  <c r="I118" i="11"/>
  <c r="I213" i="11"/>
  <c r="H213" i="11"/>
  <c r="C213" i="11"/>
  <c r="H214" i="11"/>
  <c r="I126" i="11"/>
  <c r="H126" i="11"/>
  <c r="C126" i="11"/>
  <c r="H165" i="11"/>
  <c r="C165" i="11"/>
  <c r="I165" i="11"/>
  <c r="I144" i="11"/>
  <c r="H144" i="11"/>
  <c r="C144" i="11"/>
  <c r="I158" i="11"/>
  <c r="H158" i="11"/>
  <c r="C158" i="11"/>
  <c r="H115" i="11"/>
  <c r="I115" i="11"/>
  <c r="C115" i="11"/>
  <c r="C173" i="11"/>
  <c r="I173" i="11"/>
  <c r="H173" i="11"/>
  <c r="I176" i="11"/>
  <c r="H176" i="11"/>
  <c r="C176" i="11"/>
  <c r="I190" i="11"/>
  <c r="H190" i="11"/>
  <c r="C190" i="11"/>
  <c r="I148" i="11"/>
  <c r="H148" i="11"/>
  <c r="C148" i="11"/>
  <c r="H202" i="11"/>
  <c r="C202" i="11"/>
  <c r="I202" i="11"/>
  <c r="I208" i="11"/>
  <c r="H208" i="11"/>
  <c r="C208" i="11"/>
  <c r="H139" i="11"/>
  <c r="C139" i="11"/>
  <c r="I139" i="11"/>
  <c r="C145" i="11"/>
  <c r="H145" i="11"/>
  <c r="I145" i="11"/>
  <c r="H171" i="11"/>
  <c r="C171" i="11"/>
  <c r="I171" i="11"/>
  <c r="I123" i="11"/>
  <c r="H123" i="11"/>
  <c r="C123" i="11"/>
  <c r="I153" i="11"/>
  <c r="H153" i="11"/>
  <c r="C153" i="11"/>
  <c r="I207" i="11"/>
  <c r="H207" i="11"/>
  <c r="C207" i="11"/>
  <c r="C152" i="11"/>
  <c r="I152" i="11"/>
  <c r="H152" i="11"/>
  <c r="H203" i="11"/>
  <c r="C203" i="11"/>
  <c r="I203" i="11"/>
  <c r="I174" i="11"/>
  <c r="H174" i="11"/>
  <c r="C174" i="11"/>
  <c r="I209" i="11"/>
  <c r="H209" i="11"/>
  <c r="C209" i="11"/>
  <c r="I134" i="11"/>
  <c r="C134" i="11"/>
  <c r="H134" i="11"/>
  <c r="I189" i="11"/>
  <c r="H189" i="11"/>
  <c r="C189" i="11"/>
  <c r="I166" i="11"/>
  <c r="C166" i="11"/>
  <c r="G166" i="11" s="1"/>
  <c r="H166" i="11"/>
  <c r="I197" i="11"/>
  <c r="H197" i="11"/>
  <c r="C197" i="11"/>
  <c r="C120" i="11"/>
  <c r="I120" i="11"/>
  <c r="H120" i="11"/>
  <c r="I198" i="11"/>
  <c r="C198" i="11"/>
  <c r="H198" i="11"/>
  <c r="I199" i="11"/>
  <c r="H199" i="11"/>
  <c r="C199" i="11"/>
  <c r="I180" i="11"/>
  <c r="H180" i="11"/>
  <c r="C180" i="11"/>
  <c r="I127" i="11"/>
  <c r="H127" i="11"/>
  <c r="C127" i="11"/>
  <c r="C160" i="11"/>
  <c r="I160" i="11"/>
  <c r="H160" i="11"/>
  <c r="I129" i="11"/>
  <c r="H129" i="11"/>
  <c r="C129" i="11"/>
  <c r="I111" i="11"/>
  <c r="H111" i="11"/>
  <c r="C111" i="11"/>
  <c r="C182" i="11"/>
  <c r="G182" i="11" s="1"/>
  <c r="I182" i="11"/>
  <c r="H182" i="11"/>
  <c r="I161" i="11"/>
  <c r="H161" i="11"/>
  <c r="C161" i="11"/>
  <c r="I132" i="11"/>
  <c r="H132" i="11"/>
  <c r="C132" i="11"/>
  <c r="I150" i="11"/>
  <c r="H150" i="11"/>
  <c r="C150" i="11"/>
  <c r="C192" i="11"/>
  <c r="I192" i="11"/>
  <c r="H192" i="11"/>
  <c r="I193" i="11"/>
  <c r="H193" i="11"/>
  <c r="C193" i="11"/>
  <c r="I175" i="11"/>
  <c r="H175" i="11"/>
  <c r="C175" i="11"/>
  <c r="I187" i="11"/>
  <c r="H187" i="11"/>
  <c r="C187" i="11"/>
  <c r="I124" i="11"/>
  <c r="H124" i="11"/>
  <c r="C124" i="11"/>
  <c r="C103" i="11"/>
  <c r="I103" i="11"/>
  <c r="I135" i="11"/>
  <c r="H135" i="11"/>
  <c r="C135" i="11"/>
  <c r="H204" i="11"/>
  <c r="I204" i="11"/>
  <c r="C204" i="11"/>
  <c r="I156" i="11"/>
  <c r="H156" i="11"/>
  <c r="C156" i="11"/>
  <c r="I105" i="11"/>
  <c r="H105" i="11"/>
  <c r="C105" i="11"/>
  <c r="I137" i="11"/>
  <c r="H137" i="11"/>
  <c r="C137" i="11"/>
  <c r="I206" i="11"/>
  <c r="H206" i="11"/>
  <c r="C206" i="11"/>
  <c r="I172" i="11"/>
  <c r="H172" i="11"/>
  <c r="C172" i="11"/>
  <c r="I147" i="11"/>
  <c r="C147" i="11"/>
  <c r="G147" i="11" s="1"/>
  <c r="H147" i="11"/>
  <c r="I188" i="11"/>
  <c r="H188" i="11"/>
  <c r="C188" i="11"/>
  <c r="C141" i="11"/>
  <c r="I141" i="11"/>
  <c r="H141" i="11"/>
  <c r="I164" i="11"/>
  <c r="H164" i="11"/>
  <c r="C164" i="11"/>
  <c r="G164" i="11" s="1"/>
  <c r="H151" i="11"/>
  <c r="C151" i="11"/>
  <c r="G151" i="11" s="1"/>
  <c r="I151" i="11"/>
  <c r="I169" i="11"/>
  <c r="H169" i="11"/>
  <c r="C169" i="11"/>
  <c r="I194" i="11"/>
  <c r="H194" i="11"/>
  <c r="C194" i="11"/>
  <c r="H183" i="11"/>
  <c r="C183" i="11"/>
  <c r="I183" i="11"/>
  <c r="I117" i="11"/>
  <c r="H117" i="11"/>
  <c r="C117" i="11"/>
  <c r="I212" i="11"/>
  <c r="H212" i="11"/>
  <c r="C212" i="11"/>
  <c r="H122" i="11"/>
  <c r="C122" i="11"/>
  <c r="I122" i="11"/>
  <c r="I128" i="11"/>
  <c r="H128" i="11"/>
  <c r="C128" i="11"/>
  <c r="H107" i="11"/>
  <c r="I107" i="11"/>
  <c r="C107" i="11"/>
  <c r="G107" i="11" s="1"/>
  <c r="I184" i="11"/>
  <c r="H184" i="11"/>
  <c r="C184" i="11"/>
  <c r="C155" i="11"/>
  <c r="I155" i="11"/>
  <c r="H155" i="11"/>
  <c r="I114" i="11"/>
  <c r="H114" i="11"/>
  <c r="C114" i="11"/>
  <c r="I159" i="11"/>
  <c r="H159" i="11"/>
  <c r="C159" i="11"/>
  <c r="G159" i="11" s="1"/>
  <c r="I146" i="11"/>
  <c r="H146" i="11"/>
  <c r="C146" i="11"/>
  <c r="I108" i="11"/>
  <c r="H108" i="11"/>
  <c r="C108" i="11"/>
  <c r="C113" i="11"/>
  <c r="H113" i="11"/>
  <c r="I113" i="11"/>
  <c r="C205" i="11"/>
  <c r="I205" i="11"/>
  <c r="H205" i="11"/>
  <c r="I178" i="11"/>
  <c r="H178" i="11"/>
  <c r="C178" i="11"/>
  <c r="I133" i="11"/>
  <c r="H133" i="11"/>
  <c r="C133" i="11"/>
  <c r="G133" i="11" s="1"/>
  <c r="C140" i="11"/>
  <c r="H140" i="11"/>
  <c r="I140" i="11"/>
  <c r="I167" i="11"/>
  <c r="H167" i="11"/>
  <c r="C167" i="11"/>
  <c r="I210" i="11"/>
  <c r="H210" i="11"/>
  <c r="C210" i="11"/>
  <c r="G210" i="11" s="1"/>
  <c r="I177" i="11"/>
  <c r="H177" i="11"/>
  <c r="C177" i="11"/>
  <c r="I130" i="11"/>
  <c r="H130" i="11"/>
  <c r="C130" i="11"/>
  <c r="I110" i="11"/>
  <c r="H110" i="11"/>
  <c r="C110" i="11"/>
  <c r="I142" i="11"/>
  <c r="H142" i="11"/>
  <c r="C142" i="11"/>
  <c r="C104" i="11"/>
  <c r="H104" i="11"/>
  <c r="I104" i="11"/>
  <c r="I121" i="11"/>
  <c r="H121" i="11"/>
  <c r="C121" i="11"/>
  <c r="I154" i="11"/>
  <c r="H154" i="11"/>
  <c r="C154" i="11"/>
  <c r="I179" i="11"/>
  <c r="H179" i="11"/>
  <c r="C179" i="11"/>
  <c r="C136" i="11"/>
  <c r="I136" i="11"/>
  <c r="H136" i="11"/>
  <c r="I138" i="11"/>
  <c r="H138" i="11"/>
  <c r="C138" i="11"/>
  <c r="I170" i="11"/>
  <c r="H170" i="11"/>
  <c r="C170" i="11"/>
  <c r="I211" i="11"/>
  <c r="H211" i="11"/>
  <c r="C211" i="11"/>
  <c r="C168" i="11"/>
  <c r="I168" i="11"/>
  <c r="H168" i="11"/>
  <c r="I125" i="11"/>
  <c r="H125" i="11"/>
  <c r="C125" i="11"/>
  <c r="I162" i="11"/>
  <c r="H162" i="11"/>
  <c r="C162" i="11"/>
  <c r="I201" i="11"/>
  <c r="H201" i="11"/>
  <c r="C201" i="11"/>
  <c r="C200" i="11"/>
  <c r="I200" i="11"/>
  <c r="H200" i="11"/>
  <c r="J241" i="6"/>
  <c r="I241" i="6"/>
  <c r="I179" i="6"/>
  <c r="J179" i="6"/>
  <c r="I165" i="6"/>
  <c r="J165" i="6"/>
  <c r="I80" i="6"/>
  <c r="J80" i="6"/>
  <c r="U3" i="3"/>
  <c r="S3" i="3"/>
  <c r="T3" i="3"/>
  <c r="R3" i="3"/>
  <c r="Q3" i="3"/>
  <c r="I3" i="3"/>
  <c r="O3" i="3"/>
  <c r="M3" i="3"/>
  <c r="N3" i="3"/>
  <c r="K3" i="3"/>
  <c r="L3" i="3"/>
  <c r="J3" i="3"/>
  <c r="G3" i="3"/>
  <c r="E3" i="3"/>
  <c r="F3" i="3"/>
  <c r="D3" i="3"/>
  <c r="C3" i="3"/>
  <c r="I55" i="6"/>
  <c r="J55" i="6"/>
  <c r="I48" i="6"/>
  <c r="J48" i="6"/>
  <c r="F28" i="6" a="1"/>
  <c r="F28" i="6" s="1"/>
  <c r="G28" i="6" a="1"/>
  <c r="G28" i="6" s="1"/>
  <c r="H28" i="6"/>
  <c r="G179" i="11" l="1"/>
  <c r="G130" i="11"/>
  <c r="G121" i="11"/>
  <c r="K28" i="6"/>
  <c r="G188" i="11"/>
  <c r="G200" i="11"/>
  <c r="Q130" i="11"/>
  <c r="R130" i="11"/>
  <c r="S130" i="11"/>
  <c r="T130" i="11"/>
  <c r="U130" i="11"/>
  <c r="V130" i="11"/>
  <c r="T211" i="11"/>
  <c r="U211" i="11"/>
  <c r="S211" i="11"/>
  <c r="Q211" i="11"/>
  <c r="R211" i="11"/>
  <c r="V211" i="11"/>
  <c r="S151" i="11"/>
  <c r="Q151" i="11"/>
  <c r="T151" i="11"/>
  <c r="R151" i="11"/>
  <c r="V151" i="11"/>
  <c r="U151" i="11"/>
  <c r="R189" i="11"/>
  <c r="Q189" i="11"/>
  <c r="S189" i="11"/>
  <c r="U189" i="11"/>
  <c r="T189" i="11"/>
  <c r="V189" i="11"/>
  <c r="R164" i="11"/>
  <c r="S164" i="11"/>
  <c r="Q164" i="11"/>
  <c r="U164" i="11"/>
  <c r="V164" i="11"/>
  <c r="T164" i="11"/>
  <c r="U159" i="11"/>
  <c r="V159" i="11"/>
  <c r="S159" i="11"/>
  <c r="R159" i="11"/>
  <c r="T159" i="11"/>
  <c r="Q159" i="11"/>
  <c r="V131" i="11"/>
  <c r="Q131" i="11"/>
  <c r="R131" i="11"/>
  <c r="T131" i="11"/>
  <c r="U131" i="11"/>
  <c r="S131" i="11"/>
  <c r="T136" i="11"/>
  <c r="U136" i="11"/>
  <c r="V136" i="11"/>
  <c r="Q136" i="11"/>
  <c r="S136" i="11"/>
  <c r="R136" i="11"/>
  <c r="R208" i="11"/>
  <c r="S208" i="11"/>
  <c r="T208" i="11"/>
  <c r="Q208" i="11"/>
  <c r="U208" i="11"/>
  <c r="V208" i="11"/>
  <c r="R161" i="11"/>
  <c r="Q161" i="11"/>
  <c r="S161" i="11"/>
  <c r="T161" i="11"/>
  <c r="U161" i="11"/>
  <c r="V161" i="11"/>
  <c r="Q145" i="11"/>
  <c r="R145" i="11"/>
  <c r="S145" i="11"/>
  <c r="T145" i="11"/>
  <c r="U145" i="11"/>
  <c r="V145" i="11"/>
  <c r="U111" i="11"/>
  <c r="V111" i="11"/>
  <c r="R111" i="11"/>
  <c r="S111" i="11"/>
  <c r="Q111" i="11"/>
  <c r="T111" i="11"/>
  <c r="S138" i="11"/>
  <c r="T138" i="11"/>
  <c r="U138" i="11"/>
  <c r="V138" i="11"/>
  <c r="Q138" i="11"/>
  <c r="R138" i="11"/>
  <c r="Q213" i="11"/>
  <c r="R213" i="11"/>
  <c r="S213" i="11"/>
  <c r="T213" i="11"/>
  <c r="U213" i="11"/>
  <c r="V213" i="11"/>
  <c r="T171" i="11"/>
  <c r="U171" i="11"/>
  <c r="Q171" i="11"/>
  <c r="S171" i="11"/>
  <c r="R171" i="11"/>
  <c r="V171" i="11"/>
  <c r="Q114" i="11"/>
  <c r="R114" i="11"/>
  <c r="S114" i="11"/>
  <c r="T114" i="11"/>
  <c r="U114" i="11"/>
  <c r="V114" i="11"/>
  <c r="Q209" i="11"/>
  <c r="V209" i="11"/>
  <c r="S209" i="11"/>
  <c r="T209" i="11"/>
  <c r="R209" i="11"/>
  <c r="U209" i="11"/>
  <c r="Q156" i="11"/>
  <c r="U156" i="11"/>
  <c r="R156" i="11"/>
  <c r="S156" i="11"/>
  <c r="T156" i="11"/>
  <c r="V156" i="11"/>
  <c r="V169" i="11"/>
  <c r="Q169" i="11"/>
  <c r="S169" i="11"/>
  <c r="U169" i="11"/>
  <c r="T169" i="11"/>
  <c r="R169" i="11"/>
  <c r="U143" i="11"/>
  <c r="V143" i="11"/>
  <c r="S143" i="11"/>
  <c r="Q143" i="11"/>
  <c r="R143" i="11"/>
  <c r="T143" i="11"/>
  <c r="Q140" i="11"/>
  <c r="R140" i="11"/>
  <c r="S140" i="11"/>
  <c r="T140" i="11"/>
  <c r="U140" i="11"/>
  <c r="V140" i="11"/>
  <c r="Q188" i="11"/>
  <c r="R188" i="11"/>
  <c r="S188" i="11"/>
  <c r="T188" i="11"/>
  <c r="U188" i="11"/>
  <c r="V188" i="11"/>
  <c r="S170" i="11"/>
  <c r="T170" i="11"/>
  <c r="Q170" i="11"/>
  <c r="U170" i="11"/>
  <c r="V170" i="11"/>
  <c r="R170" i="11"/>
  <c r="T214" i="11"/>
  <c r="V214" i="11"/>
  <c r="Q214" i="11"/>
  <c r="R214" i="11"/>
  <c r="S214" i="11"/>
  <c r="U214" i="11"/>
  <c r="U139" i="11"/>
  <c r="R139" i="11"/>
  <c r="S139" i="11"/>
  <c r="Q139" i="11"/>
  <c r="T139" i="11"/>
  <c r="V139" i="11"/>
  <c r="S182" i="11"/>
  <c r="U182" i="11"/>
  <c r="Q182" i="11"/>
  <c r="V182" i="11"/>
  <c r="R182" i="11"/>
  <c r="T182" i="11"/>
  <c r="Q149" i="11"/>
  <c r="V149" i="11"/>
  <c r="R149" i="11"/>
  <c r="S149" i="11"/>
  <c r="T149" i="11"/>
  <c r="U149" i="11"/>
  <c r="S186" i="11"/>
  <c r="Q186" i="11"/>
  <c r="T186" i="11"/>
  <c r="U186" i="11"/>
  <c r="V186" i="11"/>
  <c r="R186" i="11"/>
  <c r="Q134" i="11"/>
  <c r="R134" i="11"/>
  <c r="S134" i="11"/>
  <c r="T134" i="11"/>
  <c r="U134" i="11"/>
  <c r="V134" i="11"/>
  <c r="U191" i="11"/>
  <c r="V191" i="11"/>
  <c r="S191" i="11"/>
  <c r="R191" i="11"/>
  <c r="Q191" i="11"/>
  <c r="T191" i="11"/>
  <c r="Q133" i="11"/>
  <c r="R133" i="11"/>
  <c r="S133" i="11"/>
  <c r="T133" i="11"/>
  <c r="V133" i="11"/>
  <c r="U133" i="11"/>
  <c r="Q128" i="11"/>
  <c r="T128" i="11"/>
  <c r="R128" i="11"/>
  <c r="S128" i="11"/>
  <c r="U128" i="11"/>
  <c r="V128" i="11"/>
  <c r="R203" i="11"/>
  <c r="S203" i="11"/>
  <c r="Q203" i="11"/>
  <c r="V203" i="11"/>
  <c r="U203" i="11"/>
  <c r="T203" i="11"/>
  <c r="V178" i="11"/>
  <c r="Q178" i="11"/>
  <c r="U178" i="11"/>
  <c r="R178" i="11"/>
  <c r="T178" i="11"/>
  <c r="S178" i="11"/>
  <c r="R196" i="11"/>
  <c r="U196" i="11"/>
  <c r="V196" i="11"/>
  <c r="Q196" i="11"/>
  <c r="T196" i="11"/>
  <c r="S196" i="11"/>
  <c r="S126" i="11"/>
  <c r="U126" i="11"/>
  <c r="T126" i="11"/>
  <c r="V126" i="11"/>
  <c r="Q126" i="11"/>
  <c r="R126" i="11"/>
  <c r="U157" i="11"/>
  <c r="Q157" i="11"/>
  <c r="S157" i="11"/>
  <c r="R157" i="11"/>
  <c r="V157" i="11"/>
  <c r="T157" i="11"/>
  <c r="U144" i="11"/>
  <c r="Q144" i="11"/>
  <c r="R144" i="11"/>
  <c r="V144" i="11"/>
  <c r="S144" i="11"/>
  <c r="T144" i="11"/>
  <c r="Q165" i="11"/>
  <c r="R165" i="11"/>
  <c r="S165" i="11"/>
  <c r="T165" i="11"/>
  <c r="U165" i="11"/>
  <c r="V165" i="11"/>
  <c r="V155" i="11"/>
  <c r="Q155" i="11"/>
  <c r="R155" i="11"/>
  <c r="S155" i="11"/>
  <c r="T155" i="11"/>
  <c r="U155" i="11"/>
  <c r="U184" i="11"/>
  <c r="Q184" i="11"/>
  <c r="V184" i="11"/>
  <c r="T184" i="11"/>
  <c r="R184" i="11"/>
  <c r="S184" i="11"/>
  <c r="U107" i="11"/>
  <c r="V107" i="11"/>
  <c r="Q107" i="11"/>
  <c r="T107" i="11"/>
  <c r="R107" i="11"/>
  <c r="S107" i="11"/>
  <c r="S154" i="11"/>
  <c r="T154" i="11"/>
  <c r="U154" i="11"/>
  <c r="V154" i="11"/>
  <c r="Q154" i="11"/>
  <c r="R154" i="11"/>
  <c r="Q180" i="11"/>
  <c r="S180" i="11"/>
  <c r="U180" i="11"/>
  <c r="V180" i="11"/>
  <c r="R180" i="11"/>
  <c r="T180" i="11"/>
  <c r="T176" i="11"/>
  <c r="U176" i="11"/>
  <c r="Q176" i="11"/>
  <c r="R176" i="11"/>
  <c r="V176" i="11"/>
  <c r="S176" i="11"/>
  <c r="R192" i="11"/>
  <c r="S192" i="11"/>
  <c r="Q192" i="11"/>
  <c r="T192" i="11"/>
  <c r="U192" i="11"/>
  <c r="V192" i="11"/>
  <c r="U104" i="11"/>
  <c r="V104" i="11"/>
  <c r="Q104" i="11"/>
  <c r="R104" i="11"/>
  <c r="S104" i="11"/>
  <c r="T104" i="11"/>
  <c r="Q198" i="11"/>
  <c r="R198" i="11"/>
  <c r="S198" i="11"/>
  <c r="T198" i="11"/>
  <c r="V198" i="11"/>
  <c r="U198" i="11"/>
  <c r="R150" i="11"/>
  <c r="T150" i="11"/>
  <c r="Q150" i="11"/>
  <c r="S150" i="11"/>
  <c r="U150" i="11"/>
  <c r="V150" i="11"/>
  <c r="U120" i="11"/>
  <c r="V120" i="11"/>
  <c r="T120" i="11"/>
  <c r="Q120" i="11"/>
  <c r="R120" i="11"/>
  <c r="S120" i="11"/>
  <c r="T185" i="11"/>
  <c r="V185" i="11"/>
  <c r="S185" i="11"/>
  <c r="Q185" i="11"/>
  <c r="R185" i="11"/>
  <c r="U185" i="11"/>
  <c r="R116" i="11"/>
  <c r="V116" i="11"/>
  <c r="Q116" i="11"/>
  <c r="T116" i="11"/>
  <c r="U116" i="11"/>
  <c r="S116" i="11"/>
  <c r="Q129" i="11"/>
  <c r="R129" i="11"/>
  <c r="S129" i="11"/>
  <c r="T129" i="11"/>
  <c r="U129" i="11"/>
  <c r="V129" i="11"/>
  <c r="U141" i="11"/>
  <c r="S141" i="11"/>
  <c r="R141" i="11"/>
  <c r="Q141" i="11"/>
  <c r="T141" i="11"/>
  <c r="V141" i="11"/>
  <c r="Q124" i="11"/>
  <c r="R124" i="11"/>
  <c r="S124" i="11"/>
  <c r="T124" i="11"/>
  <c r="U124" i="11"/>
  <c r="V124" i="11"/>
  <c r="S202" i="11"/>
  <c r="T202" i="11"/>
  <c r="U202" i="11"/>
  <c r="V202" i="11"/>
  <c r="Q202" i="11"/>
  <c r="R202" i="11"/>
  <c r="Q179" i="11"/>
  <c r="V179" i="11"/>
  <c r="U179" i="11"/>
  <c r="R179" i="11"/>
  <c r="S179" i="11"/>
  <c r="T179" i="11"/>
  <c r="Q112" i="11"/>
  <c r="V112" i="11"/>
  <c r="R112" i="11"/>
  <c r="S112" i="11"/>
  <c r="U112" i="11"/>
  <c r="T112" i="11"/>
  <c r="Q181" i="11"/>
  <c r="R181" i="11"/>
  <c r="V181" i="11"/>
  <c r="S181" i="11"/>
  <c r="T181" i="11"/>
  <c r="U181" i="11"/>
  <c r="U190" i="11"/>
  <c r="R190" i="11"/>
  <c r="T190" i="11"/>
  <c r="Q190" i="11"/>
  <c r="S190" i="11"/>
  <c r="V190" i="11"/>
  <c r="S152" i="11"/>
  <c r="T152" i="11"/>
  <c r="R152" i="11"/>
  <c r="U152" i="11"/>
  <c r="Q152" i="11"/>
  <c r="V152" i="11"/>
  <c r="U172" i="11"/>
  <c r="Q172" i="11"/>
  <c r="R172" i="11"/>
  <c r="S172" i="11"/>
  <c r="T172" i="11"/>
  <c r="V172" i="11"/>
  <c r="Q199" i="11"/>
  <c r="T199" i="11"/>
  <c r="V199" i="11"/>
  <c r="U199" i="11"/>
  <c r="R199" i="11"/>
  <c r="S199" i="11"/>
  <c r="S173" i="11"/>
  <c r="V173" i="11"/>
  <c r="T173" i="11"/>
  <c r="Q173" i="11"/>
  <c r="R173" i="11"/>
  <c r="U173" i="11"/>
  <c r="S162" i="11"/>
  <c r="R162" i="11"/>
  <c r="Q162" i="11"/>
  <c r="T162" i="11"/>
  <c r="V162" i="11"/>
  <c r="U162" i="11"/>
  <c r="Q117" i="11"/>
  <c r="R117" i="11"/>
  <c r="S117" i="11"/>
  <c r="T117" i="11"/>
  <c r="U117" i="11"/>
  <c r="V117" i="11"/>
  <c r="Q108" i="11"/>
  <c r="R108" i="11"/>
  <c r="S108" i="11"/>
  <c r="T108" i="11"/>
  <c r="U108" i="11"/>
  <c r="V108" i="11"/>
  <c r="V115" i="11"/>
  <c r="T115" i="11"/>
  <c r="S115" i="11"/>
  <c r="Q115" i="11"/>
  <c r="U115" i="11"/>
  <c r="R115" i="11"/>
  <c r="S163" i="11"/>
  <c r="R163" i="11"/>
  <c r="T163" i="11"/>
  <c r="U163" i="11"/>
  <c r="V163" i="11"/>
  <c r="Q163" i="11"/>
  <c r="Q166" i="11"/>
  <c r="R166" i="11"/>
  <c r="S166" i="11"/>
  <c r="T166" i="11"/>
  <c r="U166" i="11"/>
  <c r="V166" i="11"/>
  <c r="Q177" i="11"/>
  <c r="S177" i="11"/>
  <c r="R177" i="11"/>
  <c r="T177" i="11"/>
  <c r="U177" i="11"/>
  <c r="V177" i="11"/>
  <c r="Q204" i="11"/>
  <c r="R204" i="11"/>
  <c r="S204" i="11"/>
  <c r="T204" i="11"/>
  <c r="U204" i="11"/>
  <c r="V204" i="11"/>
  <c r="S167" i="11"/>
  <c r="U167" i="11"/>
  <c r="V167" i="11"/>
  <c r="Q167" i="11"/>
  <c r="R167" i="11"/>
  <c r="T167" i="11"/>
  <c r="V160" i="11"/>
  <c r="Q160" i="11"/>
  <c r="U160" i="11"/>
  <c r="R160" i="11"/>
  <c r="S160" i="11"/>
  <c r="T160" i="11"/>
  <c r="T187" i="11"/>
  <c r="R187" i="11"/>
  <c r="Q187" i="11"/>
  <c r="S187" i="11"/>
  <c r="U187" i="11"/>
  <c r="V187" i="11"/>
  <c r="U175" i="11"/>
  <c r="V175" i="11"/>
  <c r="Q175" i="11"/>
  <c r="R175" i="11"/>
  <c r="S175" i="11"/>
  <c r="T175" i="11"/>
  <c r="Q109" i="11"/>
  <c r="R109" i="11"/>
  <c r="S109" i="11"/>
  <c r="T109" i="11"/>
  <c r="U109" i="11"/>
  <c r="V109" i="11"/>
  <c r="Q205" i="11"/>
  <c r="S205" i="11"/>
  <c r="U205" i="11"/>
  <c r="V205" i="11"/>
  <c r="T205" i="11"/>
  <c r="R205" i="11"/>
  <c r="Q193" i="11"/>
  <c r="R193" i="11"/>
  <c r="S193" i="11"/>
  <c r="T193" i="11"/>
  <c r="U193" i="11"/>
  <c r="V193" i="11"/>
  <c r="R212" i="11"/>
  <c r="Q212" i="11"/>
  <c r="S212" i="11"/>
  <c r="T212" i="11"/>
  <c r="V212" i="11"/>
  <c r="U212" i="11"/>
  <c r="Q206" i="11"/>
  <c r="S206" i="11"/>
  <c r="R206" i="11"/>
  <c r="T206" i="11"/>
  <c r="U206" i="11"/>
  <c r="V206" i="11"/>
  <c r="R142" i="11"/>
  <c r="V142" i="11"/>
  <c r="U142" i="11"/>
  <c r="T142" i="11"/>
  <c r="Q142" i="11"/>
  <c r="S142" i="11"/>
  <c r="S123" i="11"/>
  <c r="U123" i="11"/>
  <c r="T123" i="11"/>
  <c r="V123" i="11"/>
  <c r="Q123" i="11"/>
  <c r="R123" i="11"/>
  <c r="V210" i="11"/>
  <c r="R210" i="11"/>
  <c r="Q210" i="11"/>
  <c r="S210" i="11"/>
  <c r="T210" i="11"/>
  <c r="U210" i="11"/>
  <c r="R148" i="11"/>
  <c r="S148" i="11"/>
  <c r="T148" i="11"/>
  <c r="V148" i="11"/>
  <c r="U148" i="11"/>
  <c r="Q148" i="11"/>
  <c r="U127" i="11"/>
  <c r="V127" i="11"/>
  <c r="Q127" i="11"/>
  <c r="R127" i="11"/>
  <c r="T127" i="11"/>
  <c r="S127" i="11"/>
  <c r="T147" i="11"/>
  <c r="V147" i="11"/>
  <c r="S147" i="11"/>
  <c r="R147" i="11"/>
  <c r="Q147" i="11"/>
  <c r="U147" i="11"/>
  <c r="Q119" i="11"/>
  <c r="R119" i="11"/>
  <c r="S119" i="11"/>
  <c r="T119" i="11"/>
  <c r="U119" i="11"/>
  <c r="V119" i="11"/>
  <c r="Q121" i="11"/>
  <c r="U121" i="11"/>
  <c r="V121" i="11"/>
  <c r="R121" i="11"/>
  <c r="T121" i="11"/>
  <c r="S121" i="11"/>
  <c r="U207" i="11"/>
  <c r="V207" i="11"/>
  <c r="R207" i="11"/>
  <c r="S207" i="11"/>
  <c r="Q207" i="11"/>
  <c r="T207" i="11"/>
  <c r="Q113" i="11"/>
  <c r="R113" i="11"/>
  <c r="S113" i="11"/>
  <c r="T113" i="11"/>
  <c r="U113" i="11"/>
  <c r="V113" i="11"/>
  <c r="Q110" i="11"/>
  <c r="T110" i="11"/>
  <c r="S110" i="11"/>
  <c r="V110" i="11"/>
  <c r="U110" i="11"/>
  <c r="R110" i="11"/>
  <c r="T183" i="11"/>
  <c r="S183" i="11"/>
  <c r="Q183" i="11"/>
  <c r="R183" i="11"/>
  <c r="U183" i="11"/>
  <c r="V183" i="11"/>
  <c r="U105" i="11"/>
  <c r="R105" i="11"/>
  <c r="S105" i="11"/>
  <c r="Q105" i="11"/>
  <c r="T105" i="11"/>
  <c r="V105" i="11"/>
  <c r="Q132" i="11"/>
  <c r="S132" i="11"/>
  <c r="R132" i="11"/>
  <c r="U132" i="11"/>
  <c r="T132" i="11"/>
  <c r="V132" i="11"/>
  <c r="T158" i="11"/>
  <c r="S158" i="11"/>
  <c r="Q158" i="11"/>
  <c r="U158" i="11"/>
  <c r="R158" i="11"/>
  <c r="V158" i="11"/>
  <c r="S194" i="11"/>
  <c r="V194" i="11"/>
  <c r="Q194" i="11"/>
  <c r="R194" i="11"/>
  <c r="U194" i="11"/>
  <c r="T194" i="11"/>
  <c r="Q135" i="11"/>
  <c r="R135" i="11"/>
  <c r="S135" i="11"/>
  <c r="T135" i="11"/>
  <c r="U135" i="11"/>
  <c r="V135" i="11"/>
  <c r="V174" i="11"/>
  <c r="R174" i="11"/>
  <c r="T174" i="11"/>
  <c r="Q174" i="11"/>
  <c r="S174" i="11"/>
  <c r="U174" i="11"/>
  <c r="Q118" i="11"/>
  <c r="R118" i="11"/>
  <c r="S118" i="11"/>
  <c r="T118" i="11"/>
  <c r="U118" i="11"/>
  <c r="V118" i="11"/>
  <c r="R200" i="11"/>
  <c r="T200" i="11"/>
  <c r="U200" i="11"/>
  <c r="S200" i="11"/>
  <c r="V200" i="11"/>
  <c r="Q200" i="11"/>
  <c r="S195" i="11"/>
  <c r="V195" i="11"/>
  <c r="U195" i="11"/>
  <c r="Q195" i="11"/>
  <c r="R195" i="11"/>
  <c r="T195" i="11"/>
  <c r="S122" i="11"/>
  <c r="T122" i="11"/>
  <c r="U122" i="11"/>
  <c r="V122" i="11"/>
  <c r="R122" i="11"/>
  <c r="Q122" i="11"/>
  <c r="R201" i="11"/>
  <c r="U201" i="11"/>
  <c r="V201" i="11"/>
  <c r="Q201" i="11"/>
  <c r="S201" i="11"/>
  <c r="T201" i="11"/>
  <c r="V153" i="11"/>
  <c r="T153" i="11"/>
  <c r="Q153" i="11"/>
  <c r="U153" i="11"/>
  <c r="S153" i="11"/>
  <c r="R153" i="11"/>
  <c r="Q137" i="11"/>
  <c r="T137" i="11"/>
  <c r="U137" i="11"/>
  <c r="R137" i="11"/>
  <c r="S137" i="11"/>
  <c r="V137" i="11"/>
  <c r="U125" i="11"/>
  <c r="Q125" i="11"/>
  <c r="R125" i="11"/>
  <c r="S125" i="11"/>
  <c r="T125" i="11"/>
  <c r="V125" i="11"/>
  <c r="Q168" i="11"/>
  <c r="S168" i="11"/>
  <c r="V168" i="11"/>
  <c r="U168" i="11"/>
  <c r="R168" i="11"/>
  <c r="T168" i="11"/>
  <c r="U146" i="11"/>
  <c r="T146" i="11"/>
  <c r="Q146" i="11"/>
  <c r="R146" i="11"/>
  <c r="V146" i="11"/>
  <c r="S146" i="11"/>
  <c r="Q197" i="11"/>
  <c r="R197" i="11"/>
  <c r="S197" i="11"/>
  <c r="T197" i="11"/>
  <c r="U197" i="11"/>
  <c r="V197" i="11"/>
  <c r="S106" i="11"/>
  <c r="T106" i="11"/>
  <c r="U106" i="11"/>
  <c r="V106" i="11"/>
  <c r="R106" i="11"/>
  <c r="Q106" i="11"/>
  <c r="G145" i="11"/>
  <c r="G192" i="11"/>
  <c r="G113" i="11"/>
  <c r="A114" i="10" s="1"/>
  <c r="G150" i="11"/>
  <c r="G205" i="11"/>
  <c r="G190" i="11"/>
  <c r="G162" i="11"/>
  <c r="G125" i="11"/>
  <c r="G127" i="11"/>
  <c r="G132" i="11"/>
  <c r="G120" i="11"/>
  <c r="G197" i="11"/>
  <c r="G160" i="11"/>
  <c r="G186" i="11"/>
  <c r="G203" i="11"/>
  <c r="G175" i="11"/>
  <c r="G198" i="11"/>
  <c r="G211" i="11"/>
  <c r="G135" i="11"/>
  <c r="A136" i="10" s="1"/>
  <c r="G187" i="11"/>
  <c r="G170" i="11"/>
  <c r="G201" i="11"/>
  <c r="G167" i="11"/>
  <c r="G108" i="11"/>
  <c r="A109" i="10" s="1"/>
  <c r="G142" i="11"/>
  <c r="G104" i="11"/>
  <c r="A105" i="10" s="1"/>
  <c r="G116" i="11"/>
  <c r="A117" i="10" s="1"/>
  <c r="G138" i="11"/>
  <c r="A139" i="10" s="1"/>
  <c r="G110" i="11"/>
  <c r="A111" i="10" s="1"/>
  <c r="A121" i="10"/>
  <c r="A128" i="10"/>
  <c r="A133" i="10"/>
  <c r="G124" i="11"/>
  <c r="A125" i="10" s="1"/>
  <c r="A134" i="10"/>
  <c r="G136" i="11"/>
  <c r="A137" i="10" s="1"/>
  <c r="A126" i="10"/>
  <c r="A108" i="10"/>
  <c r="A131" i="10"/>
  <c r="A122" i="10"/>
  <c r="G183" i="11"/>
  <c r="G195" i="11"/>
  <c r="G140" i="11"/>
  <c r="A141" i="10" s="1"/>
  <c r="G117" i="11"/>
  <c r="A118" i="10" s="1"/>
  <c r="G207" i="11"/>
  <c r="G144" i="11"/>
  <c r="G149" i="11"/>
  <c r="G105" i="11"/>
  <c r="A106" i="10" s="1"/>
  <c r="G156" i="11"/>
  <c r="G178" i="11"/>
  <c r="G128" i="11"/>
  <c r="A129" i="10" s="1"/>
  <c r="G204" i="11"/>
  <c r="G176" i="11"/>
  <c r="G208" i="11"/>
  <c r="G139" i="11"/>
  <c r="A140" i="10" s="1"/>
  <c r="G109" i="11"/>
  <c r="A110" i="10" s="1"/>
  <c r="G114" i="11"/>
  <c r="A115" i="10" s="1"/>
  <c r="G193" i="11"/>
  <c r="G148" i="11"/>
  <c r="G171" i="11"/>
  <c r="G122" i="11"/>
  <c r="A123" i="10" s="1"/>
  <c r="G141" i="11"/>
  <c r="A142" i="10" s="1"/>
  <c r="G212" i="11"/>
  <c r="G169" i="11"/>
  <c r="G180" i="11"/>
  <c r="G126" i="11"/>
  <c r="A127" i="10" s="1"/>
  <c r="G181" i="11"/>
  <c r="G157" i="11"/>
  <c r="G143" i="11"/>
  <c r="G146" i="11"/>
  <c r="G155" i="11"/>
  <c r="G184" i="11"/>
  <c r="G199" i="11"/>
  <c r="G158" i="11"/>
  <c r="G134" i="11"/>
  <c r="A135" i="10" s="1"/>
  <c r="G213" i="11"/>
  <c r="G214" i="11"/>
  <c r="G196" i="11"/>
  <c r="G152" i="11"/>
  <c r="G111" i="11"/>
  <c r="A112" i="10" s="1"/>
  <c r="G209" i="11"/>
  <c r="G185" i="11"/>
  <c r="G154" i="11"/>
  <c r="G177" i="11"/>
  <c r="G118" i="11"/>
  <c r="A119" i="10" s="1"/>
  <c r="G153" i="11"/>
  <c r="G131" i="11"/>
  <c r="A132" i="10" s="1"/>
  <c r="G165" i="11"/>
  <c r="G191" i="11"/>
  <c r="G168" i="11"/>
  <c r="G172" i="11"/>
  <c r="G123" i="11"/>
  <c r="A124" i="10" s="1"/>
  <c r="G112" i="11"/>
  <c r="A113" i="10" s="1"/>
  <c r="G106" i="11"/>
  <c r="A107" i="10" s="1"/>
  <c r="G173" i="11"/>
  <c r="G206" i="11"/>
  <c r="G129" i="11"/>
  <c r="A130" i="10" s="1"/>
  <c r="G174" i="11"/>
  <c r="G163" i="11"/>
  <c r="G202" i="11"/>
  <c r="G119" i="11"/>
  <c r="A120" i="10" s="1"/>
  <c r="G194" i="11"/>
  <c r="G137" i="11"/>
  <c r="A138" i="10" s="1"/>
  <c r="G161" i="11"/>
  <c r="G189" i="11"/>
  <c r="G115" i="11"/>
  <c r="A116" i="10" s="1"/>
  <c r="I28" i="6"/>
  <c r="J28" i="6"/>
  <c r="A215" i="9" l="1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37" i="2"/>
  <c r="B29" i="2"/>
  <c r="B23" i="2"/>
  <c r="B42" i="2"/>
  <c r="B41" i="2"/>
  <c r="B40" i="2"/>
  <c r="B39" i="2"/>
  <c r="B38" i="2"/>
  <c r="B36" i="2"/>
  <c r="B35" i="2"/>
  <c r="B34" i="2"/>
  <c r="B33" i="2"/>
  <c r="B32" i="2"/>
  <c r="B31" i="2"/>
  <c r="B30" i="2"/>
  <c r="B28" i="2"/>
  <c r="B27" i="2"/>
  <c r="B26" i="2"/>
  <c r="B25" i="2"/>
  <c r="B24" i="2"/>
  <c r="B18" i="2"/>
  <c r="B19" i="2"/>
  <c r="B20" i="2"/>
  <c r="B21" i="2"/>
  <c r="B17" i="2"/>
  <c r="B10" i="2"/>
  <c r="B11" i="2"/>
  <c r="B12" i="2"/>
  <c r="B13" i="2"/>
  <c r="B14" i="2"/>
  <c r="B15" i="2"/>
  <c r="B9" i="2"/>
  <c r="B4" i="2"/>
  <c r="B5" i="2"/>
  <c r="B6" i="2"/>
  <c r="B7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B3" i="2"/>
  <c r="A3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08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87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66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45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24" i="2"/>
  <c r="O1" i="8"/>
  <c r="N1" i="8"/>
  <c r="M1" i="8"/>
  <c r="L1" i="8"/>
  <c r="K1" i="8"/>
  <c r="J1" i="8"/>
  <c r="E1" i="8"/>
  <c r="I1" i="8" s="1"/>
  <c r="D1" i="8"/>
  <c r="H1" i="8" s="1"/>
  <c r="C1" i="8"/>
  <c r="G1" i="8" s="1"/>
  <c r="D2" i="5" a="1"/>
  <c r="F3" i="5"/>
  <c r="I39" i="3" a="1"/>
  <c r="E2" i="5" a="1"/>
  <c r="F2" i="5"/>
  <c r="J21" i="3" a="1"/>
  <c r="D3" i="5" a="1"/>
  <c r="C3" i="9" a="1"/>
  <c r="C3" i="10" a="1"/>
  <c r="M57" i="3" a="1"/>
  <c r="E3" i="5" a="1"/>
  <c r="C3" i="10" l="1"/>
  <c r="C3" i="9"/>
  <c r="M57" i="3"/>
  <c r="I39" i="3"/>
  <c r="J21" i="3"/>
  <c r="E3" i="5"/>
  <c r="E2" i="5"/>
  <c r="D3" i="5"/>
  <c r="D2" i="5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9" i="6"/>
  <c r="H50" i="6"/>
  <c r="H51" i="6"/>
  <c r="H52" i="6"/>
  <c r="H53" i="6"/>
  <c r="H54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F2" i="6" a="1"/>
  <c r="F2" i="6" s="1"/>
  <c r="F3" i="6" a="1"/>
  <c r="F3" i="6" s="1"/>
  <c r="F4" i="6" a="1"/>
  <c r="F4" i="6" s="1"/>
  <c r="F5" i="6" a="1"/>
  <c r="F5" i="6" s="1"/>
  <c r="F6" i="6" a="1"/>
  <c r="F6" i="6" s="1"/>
  <c r="F7" i="6" a="1"/>
  <c r="F7" i="6" s="1"/>
  <c r="F8" i="6" a="1"/>
  <c r="F8" i="6" s="1"/>
  <c r="F9" i="6" a="1"/>
  <c r="F9" i="6" s="1"/>
  <c r="F10" i="6" a="1"/>
  <c r="F10" i="6" s="1"/>
  <c r="F11" i="6" a="1"/>
  <c r="F11" i="6" s="1"/>
  <c r="F12" i="6" a="1"/>
  <c r="F12" i="6" s="1"/>
  <c r="F13" i="6" a="1"/>
  <c r="F13" i="6" s="1"/>
  <c r="F14" i="6" a="1"/>
  <c r="F14" i="6" s="1"/>
  <c r="F15" i="6" a="1"/>
  <c r="F15" i="6" s="1"/>
  <c r="F16" i="6" a="1"/>
  <c r="F16" i="6" s="1"/>
  <c r="F17" i="6" a="1"/>
  <c r="F17" i="6" s="1"/>
  <c r="F18" i="6" a="1"/>
  <c r="F18" i="6" s="1"/>
  <c r="F19" i="6" a="1"/>
  <c r="F19" i="6" s="1"/>
  <c r="F20" i="6" a="1"/>
  <c r="F20" i="6" s="1"/>
  <c r="F21" i="6" a="1"/>
  <c r="F21" i="6" s="1"/>
  <c r="F22" i="6" a="1"/>
  <c r="F22" i="6" s="1"/>
  <c r="F23" i="6" a="1"/>
  <c r="F23" i="6" s="1"/>
  <c r="F24" i="6" a="1"/>
  <c r="F24" i="6" s="1"/>
  <c r="F25" i="6" a="1"/>
  <c r="F25" i="6" s="1"/>
  <c r="F26" i="6" a="1"/>
  <c r="F26" i="6" s="1"/>
  <c r="F27" i="6" a="1"/>
  <c r="F27" i="6" s="1"/>
  <c r="F29" i="6" a="1"/>
  <c r="F29" i="6" s="1"/>
  <c r="F30" i="6" a="1"/>
  <c r="F30" i="6" s="1"/>
  <c r="F31" i="6" a="1"/>
  <c r="F31" i="6" s="1"/>
  <c r="F32" i="6" a="1"/>
  <c r="F32" i="6" s="1"/>
  <c r="F33" i="6" a="1"/>
  <c r="F33" i="6" s="1"/>
  <c r="F34" i="6" a="1"/>
  <c r="F34" i="6" s="1"/>
  <c r="F35" i="6" a="1"/>
  <c r="F35" i="6" s="1"/>
  <c r="F36" i="6" a="1"/>
  <c r="F36" i="6" s="1"/>
  <c r="F37" i="6" a="1"/>
  <c r="F37" i="6" s="1"/>
  <c r="F38" i="6" a="1"/>
  <c r="F38" i="6" s="1"/>
  <c r="F39" i="6" a="1"/>
  <c r="F39" i="6" s="1"/>
  <c r="F40" i="6" a="1"/>
  <c r="F40" i="6" s="1"/>
  <c r="F41" i="6" a="1"/>
  <c r="F41" i="6" s="1"/>
  <c r="F42" i="6" a="1"/>
  <c r="F42" i="6" s="1"/>
  <c r="F43" i="6" a="1"/>
  <c r="F43" i="6" s="1"/>
  <c r="F44" i="6" a="1"/>
  <c r="F44" i="6" s="1"/>
  <c r="F45" i="6" a="1"/>
  <c r="F45" i="6" s="1"/>
  <c r="F46" i="6" a="1"/>
  <c r="F46" i="6" s="1"/>
  <c r="F47" i="6" a="1"/>
  <c r="F47" i="6" s="1"/>
  <c r="F49" i="6" a="1"/>
  <c r="F49" i="6" s="1"/>
  <c r="F50" i="6" a="1"/>
  <c r="F50" i="6" s="1"/>
  <c r="F51" i="6" a="1"/>
  <c r="F51" i="6" s="1"/>
  <c r="F52" i="6" a="1"/>
  <c r="F52" i="6" s="1"/>
  <c r="F53" i="6" a="1"/>
  <c r="F53" i="6" s="1"/>
  <c r="F54" i="6" a="1"/>
  <c r="F54" i="6" s="1"/>
  <c r="F56" i="6" a="1"/>
  <c r="F56" i="6" s="1"/>
  <c r="F57" i="6" a="1"/>
  <c r="F57" i="6" s="1"/>
  <c r="F58" i="6" a="1"/>
  <c r="F58" i="6" s="1"/>
  <c r="F59" i="6" a="1"/>
  <c r="F59" i="6" s="1"/>
  <c r="F60" i="6" a="1"/>
  <c r="F60" i="6" s="1"/>
  <c r="F61" i="6" a="1"/>
  <c r="F61" i="6" s="1"/>
  <c r="F62" i="6" a="1"/>
  <c r="F62" i="6" s="1"/>
  <c r="F63" i="6" a="1"/>
  <c r="F63" i="6" s="1"/>
  <c r="F64" i="6" a="1"/>
  <c r="F64" i="6" s="1"/>
  <c r="F65" i="6" a="1"/>
  <c r="F65" i="6" s="1"/>
  <c r="F66" i="6" a="1"/>
  <c r="F66" i="6" s="1"/>
  <c r="F67" i="6" a="1"/>
  <c r="F67" i="6" s="1"/>
  <c r="F68" i="6" a="1"/>
  <c r="F68" i="6" s="1"/>
  <c r="F69" i="6" a="1"/>
  <c r="F69" i="6" s="1"/>
  <c r="F70" i="6" a="1"/>
  <c r="F70" i="6" s="1"/>
  <c r="F71" i="6" a="1"/>
  <c r="F71" i="6" s="1"/>
  <c r="F72" i="6" a="1"/>
  <c r="F72" i="6" s="1"/>
  <c r="F73" i="6" a="1"/>
  <c r="F73" i="6" s="1"/>
  <c r="F74" i="6" a="1"/>
  <c r="F74" i="6" s="1"/>
  <c r="F75" i="6" a="1"/>
  <c r="F75" i="6" s="1"/>
  <c r="F76" i="6" a="1"/>
  <c r="F76" i="6" s="1"/>
  <c r="F77" i="6" a="1"/>
  <c r="F77" i="6" s="1"/>
  <c r="F78" i="6" a="1"/>
  <c r="F78" i="6" s="1"/>
  <c r="F79" i="6" a="1"/>
  <c r="F79" i="6" s="1"/>
  <c r="F81" i="6" a="1"/>
  <c r="F81" i="6" s="1"/>
  <c r="F82" i="6" a="1"/>
  <c r="F82" i="6" s="1"/>
  <c r="F83" i="6" a="1"/>
  <c r="F83" i="6" s="1"/>
  <c r="F84" i="6" a="1"/>
  <c r="F84" i="6" s="1"/>
  <c r="F85" i="6" a="1"/>
  <c r="F85" i="6" s="1"/>
  <c r="F86" i="6" a="1"/>
  <c r="F86" i="6" s="1"/>
  <c r="F87" i="6" a="1"/>
  <c r="F87" i="6" s="1"/>
  <c r="F88" i="6" a="1"/>
  <c r="F88" i="6" s="1"/>
  <c r="F89" i="6" a="1"/>
  <c r="F89" i="6" s="1"/>
  <c r="F90" i="6" a="1"/>
  <c r="F90" i="6" s="1"/>
  <c r="F91" i="6" a="1"/>
  <c r="F91" i="6" s="1"/>
  <c r="F92" i="6" a="1"/>
  <c r="F92" i="6" s="1"/>
  <c r="F93" i="6" a="1"/>
  <c r="F93" i="6" s="1"/>
  <c r="F94" i="6" a="1"/>
  <c r="F94" i="6" s="1"/>
  <c r="F95" i="6" a="1"/>
  <c r="F95" i="6" s="1"/>
  <c r="F96" i="6" a="1"/>
  <c r="F96" i="6" s="1"/>
  <c r="F97" i="6" a="1"/>
  <c r="F97" i="6" s="1"/>
  <c r="F98" i="6" a="1"/>
  <c r="F98" i="6" s="1"/>
  <c r="F99" i="6" a="1"/>
  <c r="F99" i="6" s="1"/>
  <c r="F100" i="6" a="1"/>
  <c r="F100" i="6" s="1"/>
  <c r="F101" i="6" a="1"/>
  <c r="F101" i="6" s="1"/>
  <c r="F102" i="6" a="1"/>
  <c r="F102" i="6" s="1"/>
  <c r="F103" i="6" a="1"/>
  <c r="F103" i="6" s="1"/>
  <c r="F104" i="6" a="1"/>
  <c r="F104" i="6" s="1"/>
  <c r="F105" i="6" a="1"/>
  <c r="F105" i="6" s="1"/>
  <c r="F106" i="6" a="1"/>
  <c r="F106" i="6" s="1"/>
  <c r="F107" i="6" a="1"/>
  <c r="F107" i="6" s="1"/>
  <c r="F108" i="6" a="1"/>
  <c r="F108" i="6" s="1"/>
  <c r="F109" i="6" a="1"/>
  <c r="F109" i="6" s="1"/>
  <c r="F111" i="6" a="1"/>
  <c r="F111" i="6" s="1"/>
  <c r="F112" i="6" a="1"/>
  <c r="F112" i="6" s="1"/>
  <c r="F113" i="6" a="1"/>
  <c r="F113" i="6" s="1"/>
  <c r="F114" i="6" a="1"/>
  <c r="F114" i="6" s="1"/>
  <c r="F115" i="6" a="1"/>
  <c r="F115" i="6" s="1"/>
  <c r="F116" i="6" a="1"/>
  <c r="F116" i="6" s="1"/>
  <c r="F117" i="6" a="1"/>
  <c r="F117" i="6" s="1"/>
  <c r="F118" i="6" a="1"/>
  <c r="F118" i="6" s="1"/>
  <c r="F119" i="6" a="1"/>
  <c r="F119" i="6" s="1"/>
  <c r="F120" i="6" a="1"/>
  <c r="F120" i="6" s="1"/>
  <c r="F121" i="6" a="1"/>
  <c r="F121" i="6" s="1"/>
  <c r="F122" i="6" a="1"/>
  <c r="F122" i="6" s="1"/>
  <c r="F123" i="6" a="1"/>
  <c r="F123" i="6" s="1"/>
  <c r="F124" i="6" a="1"/>
  <c r="F124" i="6" s="1"/>
  <c r="F125" i="6" a="1"/>
  <c r="F125" i="6" s="1"/>
  <c r="F126" i="6" a="1"/>
  <c r="F126" i="6" s="1"/>
  <c r="F127" i="6" a="1"/>
  <c r="F127" i="6" s="1"/>
  <c r="F128" i="6" a="1"/>
  <c r="F128" i="6" s="1"/>
  <c r="F129" i="6" a="1"/>
  <c r="F129" i="6" s="1"/>
  <c r="F130" i="6" a="1"/>
  <c r="F130" i="6" s="1"/>
  <c r="F131" i="6" a="1"/>
  <c r="F131" i="6" s="1"/>
  <c r="F132" i="6" a="1"/>
  <c r="F132" i="6" s="1"/>
  <c r="F133" i="6" a="1"/>
  <c r="F133" i="6" s="1"/>
  <c r="F134" i="6" a="1"/>
  <c r="F134" i="6" s="1"/>
  <c r="F135" i="6" a="1"/>
  <c r="F135" i="6" s="1"/>
  <c r="F136" i="6" a="1"/>
  <c r="F136" i="6" s="1"/>
  <c r="F137" i="6" a="1"/>
  <c r="F137" i="6" s="1"/>
  <c r="F138" i="6" a="1"/>
  <c r="F138" i="6" s="1"/>
  <c r="F139" i="6" a="1"/>
  <c r="F139" i="6" s="1"/>
  <c r="F140" i="6" a="1"/>
  <c r="F140" i="6" s="1"/>
  <c r="F141" i="6" a="1"/>
  <c r="F141" i="6" s="1"/>
  <c r="F142" i="6" a="1"/>
  <c r="F142" i="6" s="1"/>
  <c r="F143" i="6" a="1"/>
  <c r="F143" i="6" s="1"/>
  <c r="F144" i="6" a="1"/>
  <c r="F144" i="6" s="1"/>
  <c r="F145" i="6" a="1"/>
  <c r="F145" i="6" s="1"/>
  <c r="F146" i="6" a="1"/>
  <c r="F146" i="6" s="1"/>
  <c r="F147" i="6" a="1"/>
  <c r="F147" i="6" s="1"/>
  <c r="F148" i="6" a="1"/>
  <c r="F148" i="6" s="1"/>
  <c r="F149" i="6" a="1"/>
  <c r="F149" i="6" s="1"/>
  <c r="F150" i="6" a="1"/>
  <c r="F150" i="6" s="1"/>
  <c r="F151" i="6" a="1"/>
  <c r="F151" i="6" s="1"/>
  <c r="F152" i="6" a="1"/>
  <c r="F152" i="6" s="1"/>
  <c r="F153" i="6" a="1"/>
  <c r="F153" i="6" s="1"/>
  <c r="F154" i="6" a="1"/>
  <c r="F154" i="6" s="1"/>
  <c r="F155" i="6" a="1"/>
  <c r="F155" i="6" s="1"/>
  <c r="F156" i="6" a="1"/>
  <c r="F156" i="6" s="1"/>
  <c r="F157" i="6" a="1"/>
  <c r="F157" i="6" s="1"/>
  <c r="F158" i="6" a="1"/>
  <c r="F158" i="6" s="1"/>
  <c r="F159" i="6" a="1"/>
  <c r="F159" i="6" s="1"/>
  <c r="F160" i="6" a="1"/>
  <c r="F160" i="6" s="1"/>
  <c r="F161" i="6" a="1"/>
  <c r="F161" i="6" s="1"/>
  <c r="F162" i="6" a="1"/>
  <c r="F162" i="6" s="1"/>
  <c r="F163" i="6" a="1"/>
  <c r="F163" i="6" s="1"/>
  <c r="F164" i="6" a="1"/>
  <c r="F164" i="6" s="1"/>
  <c r="F166" i="6" a="1"/>
  <c r="F166" i="6" s="1"/>
  <c r="F167" i="6" a="1"/>
  <c r="F167" i="6" s="1"/>
  <c r="F168" i="6" a="1"/>
  <c r="F168" i="6" s="1"/>
  <c r="F169" i="6" a="1"/>
  <c r="F169" i="6" s="1"/>
  <c r="F170" i="6" a="1"/>
  <c r="F170" i="6" s="1"/>
  <c r="F171" i="6" a="1"/>
  <c r="F171" i="6" s="1"/>
  <c r="F172" i="6" a="1"/>
  <c r="F172" i="6" s="1"/>
  <c r="F173" i="6" a="1"/>
  <c r="F173" i="6" s="1"/>
  <c r="F174" i="6" a="1"/>
  <c r="F174" i="6" s="1"/>
  <c r="F175" i="6" a="1"/>
  <c r="F175" i="6" s="1"/>
  <c r="F176" i="6" a="1"/>
  <c r="F176" i="6" s="1"/>
  <c r="F177" i="6" a="1"/>
  <c r="F177" i="6" s="1"/>
  <c r="F178" i="6" a="1"/>
  <c r="F178" i="6" s="1"/>
  <c r="F180" i="6" a="1"/>
  <c r="F180" i="6" s="1"/>
  <c r="F181" i="6" a="1"/>
  <c r="F181" i="6" s="1"/>
  <c r="F182" i="6" a="1"/>
  <c r="F182" i="6" s="1"/>
  <c r="F183" i="6" a="1"/>
  <c r="F183" i="6" s="1"/>
  <c r="F184" i="6" a="1"/>
  <c r="F184" i="6" s="1"/>
  <c r="F185" i="6" a="1"/>
  <c r="F185" i="6" s="1"/>
  <c r="F186" i="6" a="1"/>
  <c r="F186" i="6" s="1"/>
  <c r="F187" i="6" a="1"/>
  <c r="F187" i="6" s="1"/>
  <c r="F188" i="6" a="1"/>
  <c r="F188" i="6" s="1"/>
  <c r="F189" i="6" a="1"/>
  <c r="F189" i="6" s="1"/>
  <c r="F190" i="6" a="1"/>
  <c r="F190" i="6" s="1"/>
  <c r="F191" i="6" a="1"/>
  <c r="F191" i="6" s="1"/>
  <c r="F192" i="6" a="1"/>
  <c r="F192" i="6" s="1"/>
  <c r="F193" i="6" a="1"/>
  <c r="F193" i="6" s="1"/>
  <c r="F194" i="6" a="1"/>
  <c r="F194" i="6" s="1"/>
  <c r="F195" i="6" a="1"/>
  <c r="F195" i="6" s="1"/>
  <c r="F196" i="6" a="1"/>
  <c r="F196" i="6" s="1"/>
  <c r="F197" i="6" a="1"/>
  <c r="F197" i="6" s="1"/>
  <c r="F198" i="6" a="1"/>
  <c r="F198" i="6" s="1"/>
  <c r="F199" i="6" a="1"/>
  <c r="F199" i="6" s="1"/>
  <c r="F200" i="6" a="1"/>
  <c r="F200" i="6" s="1"/>
  <c r="F201" i="6" a="1"/>
  <c r="F201" i="6" s="1"/>
  <c r="F202" i="6" a="1"/>
  <c r="F202" i="6" s="1"/>
  <c r="F203" i="6" a="1"/>
  <c r="F203" i="6" s="1"/>
  <c r="F204" i="6" a="1"/>
  <c r="F204" i="6" s="1"/>
  <c r="F205" i="6" a="1"/>
  <c r="F205" i="6" s="1"/>
  <c r="F206" i="6" a="1"/>
  <c r="F206" i="6" s="1"/>
  <c r="F207" i="6" a="1"/>
  <c r="F207" i="6" s="1"/>
  <c r="F208" i="6" a="1"/>
  <c r="F208" i="6" s="1"/>
  <c r="F209" i="6" a="1"/>
  <c r="F209" i="6" s="1"/>
  <c r="F210" i="6" a="1"/>
  <c r="F210" i="6" s="1"/>
  <c r="F211" i="6" a="1"/>
  <c r="F211" i="6" s="1"/>
  <c r="F212" i="6" a="1"/>
  <c r="F212" i="6" s="1"/>
  <c r="F213" i="6" a="1"/>
  <c r="F213" i="6" s="1"/>
  <c r="F214" i="6" a="1"/>
  <c r="F214" i="6" s="1"/>
  <c r="F215" i="6" a="1"/>
  <c r="F215" i="6" s="1"/>
  <c r="F216" i="6" a="1"/>
  <c r="F216" i="6" s="1"/>
  <c r="F217" i="6" a="1"/>
  <c r="F217" i="6" s="1"/>
  <c r="F218" i="6" a="1"/>
  <c r="F218" i="6" s="1"/>
  <c r="F219" i="6" a="1"/>
  <c r="F219" i="6" s="1"/>
  <c r="F220" i="6" a="1"/>
  <c r="F220" i="6" s="1"/>
  <c r="F221" i="6" a="1"/>
  <c r="F221" i="6" s="1"/>
  <c r="F222" i="6" a="1"/>
  <c r="F222" i="6" s="1"/>
  <c r="F223" i="6" a="1"/>
  <c r="F223" i="6" s="1"/>
  <c r="F224" i="6" a="1"/>
  <c r="F224" i="6" s="1"/>
  <c r="F225" i="6" a="1"/>
  <c r="F225" i="6" s="1"/>
  <c r="F226" i="6" a="1"/>
  <c r="F226" i="6" s="1"/>
  <c r="F227" i="6" a="1"/>
  <c r="F227" i="6" s="1"/>
  <c r="F228" i="6" a="1"/>
  <c r="F228" i="6" s="1"/>
  <c r="F229" i="6" a="1"/>
  <c r="F229" i="6" s="1"/>
  <c r="F230" i="6" a="1"/>
  <c r="F230" i="6" s="1"/>
  <c r="F231" i="6" a="1"/>
  <c r="F231" i="6" s="1"/>
  <c r="F232" i="6" a="1"/>
  <c r="F232" i="6" s="1"/>
  <c r="F233" i="6" a="1"/>
  <c r="F233" i="6" s="1"/>
  <c r="F234" i="6" a="1"/>
  <c r="F234" i="6" s="1"/>
  <c r="F235" i="6" a="1"/>
  <c r="F235" i="6" s="1"/>
  <c r="F236" i="6" a="1"/>
  <c r="F236" i="6" s="1"/>
  <c r="F237" i="6" a="1"/>
  <c r="F237" i="6" s="1"/>
  <c r="F238" i="6" a="1"/>
  <c r="F238" i="6" s="1"/>
  <c r="F239" i="6" a="1"/>
  <c r="F239" i="6" s="1"/>
  <c r="F240" i="6" a="1"/>
  <c r="F240" i="6" s="1"/>
  <c r="F242" i="6" a="1"/>
  <c r="F242" i="6" s="1"/>
  <c r="F243" i="6" a="1"/>
  <c r="F243" i="6" s="1"/>
  <c r="F244" i="6" a="1"/>
  <c r="F244" i="6" s="1"/>
  <c r="F245" i="6" a="1"/>
  <c r="F245" i="6" s="1"/>
  <c r="F246" i="6" a="1"/>
  <c r="F246" i="6" s="1"/>
  <c r="F247" i="6" a="1"/>
  <c r="F247" i="6" s="1"/>
  <c r="F248" i="6" a="1"/>
  <c r="F248" i="6" s="1"/>
  <c r="F249" i="6" a="1"/>
  <c r="F249" i="6" s="1"/>
  <c r="F250" i="6" a="1"/>
  <c r="F250" i="6" s="1"/>
  <c r="F251" i="6" a="1"/>
  <c r="F251" i="6" s="1"/>
  <c r="F252" i="6" a="1"/>
  <c r="F252" i="6" s="1"/>
  <c r="F253" i="6" a="1"/>
  <c r="F253" i="6" s="1"/>
  <c r="F254" i="6" a="1"/>
  <c r="F254" i="6" s="1"/>
  <c r="F255" i="6" a="1"/>
  <c r="F255" i="6" s="1"/>
  <c r="F256" i="6" a="1"/>
  <c r="F256" i="6" s="1"/>
  <c r="F257" i="6" a="1"/>
  <c r="F257" i="6" s="1"/>
  <c r="F258" i="6" a="1"/>
  <c r="F258" i="6" s="1"/>
  <c r="F259" i="6" a="1"/>
  <c r="F259" i="6" s="1"/>
  <c r="F260" i="6" a="1"/>
  <c r="F260" i="6" s="1"/>
  <c r="F261" i="6" a="1"/>
  <c r="F261" i="6" s="1"/>
  <c r="F262" i="6" a="1"/>
  <c r="F262" i="6" s="1"/>
  <c r="K262" i="6" s="1"/>
  <c r="F263" i="6" a="1"/>
  <c r="F263" i="6" s="1"/>
  <c r="K263" i="6" s="1"/>
  <c r="F264" i="6" a="1"/>
  <c r="F264" i="6" s="1"/>
  <c r="F265" i="6" a="1"/>
  <c r="F265" i="6" s="1"/>
  <c r="F266" i="6" a="1"/>
  <c r="F266" i="6" s="1"/>
  <c r="F267" i="6" a="1"/>
  <c r="F267" i="6" s="1"/>
  <c r="F268" i="6" a="1"/>
  <c r="F268" i="6" s="1"/>
  <c r="F269" i="6" a="1"/>
  <c r="F269" i="6" s="1"/>
  <c r="F270" i="6" a="1"/>
  <c r="F270" i="6" s="1"/>
  <c r="F271" i="6" a="1"/>
  <c r="F271" i="6" s="1"/>
  <c r="F272" i="6" a="1"/>
  <c r="F272" i="6" s="1"/>
  <c r="G271" i="6" a="1"/>
  <c r="G271" i="6" s="1"/>
  <c r="G272" i="6" a="1"/>
  <c r="G272" i="6" s="1"/>
  <c r="G256" i="6" a="1"/>
  <c r="G256" i="6" s="1"/>
  <c r="G257" i="6" a="1"/>
  <c r="G257" i="6" s="1"/>
  <c r="G258" i="6" a="1"/>
  <c r="G258" i="6" s="1"/>
  <c r="G259" i="6" a="1"/>
  <c r="G259" i="6" s="1"/>
  <c r="G260" i="6" a="1"/>
  <c r="G260" i="6" s="1"/>
  <c r="G261" i="6" a="1"/>
  <c r="G261" i="6" s="1"/>
  <c r="G262" i="6" a="1"/>
  <c r="G262" i="6" s="1"/>
  <c r="G263" i="6" a="1"/>
  <c r="G263" i="6" s="1"/>
  <c r="G264" i="6" a="1"/>
  <c r="G264" i="6" s="1"/>
  <c r="G265" i="6" a="1"/>
  <c r="G265" i="6" s="1"/>
  <c r="G266" i="6" a="1"/>
  <c r="G266" i="6" s="1"/>
  <c r="G267" i="6" a="1"/>
  <c r="G267" i="6" s="1"/>
  <c r="G268" i="6" a="1"/>
  <c r="G268" i="6" s="1"/>
  <c r="G269" i="6" a="1"/>
  <c r="G269" i="6" s="1"/>
  <c r="G270" i="6" a="1"/>
  <c r="G270" i="6" s="1"/>
  <c r="G248" i="6" a="1"/>
  <c r="G248" i="6" s="1"/>
  <c r="G249" i="6" a="1"/>
  <c r="G249" i="6" s="1"/>
  <c r="G250" i="6" a="1"/>
  <c r="G250" i="6" s="1"/>
  <c r="G251" i="6" a="1"/>
  <c r="G251" i="6" s="1"/>
  <c r="G252" i="6" a="1"/>
  <c r="G252" i="6" s="1"/>
  <c r="G253" i="6" a="1"/>
  <c r="G253" i="6" s="1"/>
  <c r="G254" i="6" a="1"/>
  <c r="G254" i="6" s="1"/>
  <c r="G240" i="6" a="1"/>
  <c r="G240" i="6" s="1"/>
  <c r="G242" i="6" a="1"/>
  <c r="G242" i="6" s="1"/>
  <c r="G243" i="6" a="1"/>
  <c r="G243" i="6" s="1"/>
  <c r="G244" i="6" a="1"/>
  <c r="G244" i="6" s="1"/>
  <c r="G245" i="6" a="1"/>
  <c r="G245" i="6" s="1"/>
  <c r="G246" i="6" a="1"/>
  <c r="G246" i="6" s="1"/>
  <c r="G216" i="6" a="1"/>
  <c r="G216" i="6" s="1"/>
  <c r="G217" i="6" a="1"/>
  <c r="G217" i="6" s="1"/>
  <c r="G218" i="6" a="1"/>
  <c r="G218" i="6" s="1"/>
  <c r="G219" i="6" a="1"/>
  <c r="G219" i="6" s="1"/>
  <c r="G220" i="6" a="1"/>
  <c r="G220" i="6" s="1"/>
  <c r="G221" i="6" a="1"/>
  <c r="G221" i="6" s="1"/>
  <c r="G222" i="6" a="1"/>
  <c r="G222" i="6" s="1"/>
  <c r="G223" i="6" a="1"/>
  <c r="G223" i="6" s="1"/>
  <c r="G224" i="6" a="1"/>
  <c r="G224" i="6" s="1"/>
  <c r="G225" i="6" a="1"/>
  <c r="G225" i="6" s="1"/>
  <c r="G226" i="6" a="1"/>
  <c r="G226" i="6" s="1"/>
  <c r="G227" i="6" a="1"/>
  <c r="G227" i="6" s="1"/>
  <c r="G228" i="6" a="1"/>
  <c r="G228" i="6" s="1"/>
  <c r="G229" i="6" a="1"/>
  <c r="G229" i="6" s="1"/>
  <c r="G230" i="6" a="1"/>
  <c r="G230" i="6" s="1"/>
  <c r="G231" i="6" a="1"/>
  <c r="G231" i="6" s="1"/>
  <c r="G232" i="6" a="1"/>
  <c r="G232" i="6" s="1"/>
  <c r="G233" i="6" a="1"/>
  <c r="G233" i="6" s="1"/>
  <c r="G234" i="6" a="1"/>
  <c r="G234" i="6" s="1"/>
  <c r="G235" i="6" a="1"/>
  <c r="G235" i="6" s="1"/>
  <c r="G236" i="6" a="1"/>
  <c r="G236" i="6" s="1"/>
  <c r="G237" i="6" a="1"/>
  <c r="G237" i="6" s="1"/>
  <c r="G238" i="6" a="1"/>
  <c r="G238" i="6" s="1"/>
  <c r="G182" i="6" a="1"/>
  <c r="G182" i="6" s="1"/>
  <c r="G183" i="6" a="1"/>
  <c r="G183" i="6" s="1"/>
  <c r="G184" i="6" a="1"/>
  <c r="G184" i="6" s="1"/>
  <c r="G185" i="6" a="1"/>
  <c r="G185" i="6" s="1"/>
  <c r="G186" i="6" a="1"/>
  <c r="G186" i="6" s="1"/>
  <c r="G187" i="6" a="1"/>
  <c r="G187" i="6" s="1"/>
  <c r="G188" i="6" a="1"/>
  <c r="G188" i="6" s="1"/>
  <c r="G189" i="6" a="1"/>
  <c r="G189" i="6" s="1"/>
  <c r="G190" i="6" a="1"/>
  <c r="G190" i="6" s="1"/>
  <c r="G191" i="6" a="1"/>
  <c r="G191" i="6" s="1"/>
  <c r="G192" i="6" a="1"/>
  <c r="G192" i="6" s="1"/>
  <c r="G193" i="6" a="1"/>
  <c r="G193" i="6" s="1"/>
  <c r="G194" i="6" a="1"/>
  <c r="G194" i="6" s="1"/>
  <c r="G195" i="6" a="1"/>
  <c r="G195" i="6" s="1"/>
  <c r="G196" i="6" a="1"/>
  <c r="G196" i="6" s="1"/>
  <c r="G197" i="6" a="1"/>
  <c r="G197" i="6" s="1"/>
  <c r="G198" i="6" a="1"/>
  <c r="G198" i="6" s="1"/>
  <c r="G199" i="6" a="1"/>
  <c r="G199" i="6" s="1"/>
  <c r="G200" i="6" a="1"/>
  <c r="G200" i="6" s="1"/>
  <c r="G201" i="6" a="1"/>
  <c r="G201" i="6" s="1"/>
  <c r="G202" i="6" a="1"/>
  <c r="G202" i="6" s="1"/>
  <c r="G203" i="6" a="1"/>
  <c r="G203" i="6" s="1"/>
  <c r="G204" i="6" a="1"/>
  <c r="G204" i="6" s="1"/>
  <c r="G205" i="6" a="1"/>
  <c r="G205" i="6" s="1"/>
  <c r="G206" i="6" a="1"/>
  <c r="G206" i="6" s="1"/>
  <c r="G207" i="6" a="1"/>
  <c r="G207" i="6" s="1"/>
  <c r="G208" i="6" a="1"/>
  <c r="G208" i="6" s="1"/>
  <c r="G209" i="6" a="1"/>
  <c r="G209" i="6" s="1"/>
  <c r="G210" i="6" a="1"/>
  <c r="G210" i="6" s="1"/>
  <c r="G211" i="6" a="1"/>
  <c r="G211" i="6" s="1"/>
  <c r="G212" i="6" a="1"/>
  <c r="G212" i="6" s="1"/>
  <c r="G213" i="6" a="1"/>
  <c r="G213" i="6" s="1"/>
  <c r="G214" i="6" a="1"/>
  <c r="G214" i="6" s="1"/>
  <c r="G168" i="6" a="1"/>
  <c r="G168" i="6" s="1"/>
  <c r="G169" i="6" a="1"/>
  <c r="G169" i="6" s="1"/>
  <c r="G170" i="6" a="1"/>
  <c r="G170" i="6" s="1"/>
  <c r="G171" i="6" a="1"/>
  <c r="G171" i="6" s="1"/>
  <c r="G172" i="6" a="1"/>
  <c r="G172" i="6" s="1"/>
  <c r="G173" i="6" a="1"/>
  <c r="G173" i="6" s="1"/>
  <c r="G174" i="6" a="1"/>
  <c r="G174" i="6" s="1"/>
  <c r="G175" i="6" a="1"/>
  <c r="G175" i="6" s="1"/>
  <c r="G176" i="6" a="1"/>
  <c r="G176" i="6" s="1"/>
  <c r="G177" i="6" a="1"/>
  <c r="G177" i="6" s="1"/>
  <c r="G178" i="6" a="1"/>
  <c r="G178" i="6" s="1"/>
  <c r="G180" i="6" a="1"/>
  <c r="G180" i="6" s="1"/>
  <c r="G160" i="6" a="1"/>
  <c r="G160" i="6" s="1"/>
  <c r="G161" i="6" a="1"/>
  <c r="G161" i="6" s="1"/>
  <c r="G162" i="6" a="1"/>
  <c r="G162" i="6" s="1"/>
  <c r="G163" i="6" a="1"/>
  <c r="G163" i="6" s="1"/>
  <c r="G164" i="6" a="1"/>
  <c r="G164" i="6" s="1"/>
  <c r="G166" i="6" a="1"/>
  <c r="G166" i="6" s="1"/>
  <c r="G134" i="6" a="1"/>
  <c r="G134" i="6" s="1"/>
  <c r="G135" i="6" a="1"/>
  <c r="G135" i="6" s="1"/>
  <c r="G136" i="6" a="1"/>
  <c r="G136" i="6" s="1"/>
  <c r="G137" i="6" a="1"/>
  <c r="G137" i="6" s="1"/>
  <c r="G138" i="6" a="1"/>
  <c r="G138" i="6" s="1"/>
  <c r="G139" i="6" a="1"/>
  <c r="G139" i="6" s="1"/>
  <c r="G140" i="6" a="1"/>
  <c r="G140" i="6" s="1"/>
  <c r="G141" i="6" a="1"/>
  <c r="G141" i="6" s="1"/>
  <c r="G142" i="6" a="1"/>
  <c r="G142" i="6" s="1"/>
  <c r="G143" i="6" a="1"/>
  <c r="G143" i="6" s="1"/>
  <c r="G144" i="6" a="1"/>
  <c r="G144" i="6" s="1"/>
  <c r="G145" i="6" a="1"/>
  <c r="G145" i="6" s="1"/>
  <c r="G146" i="6" a="1"/>
  <c r="G146" i="6" s="1"/>
  <c r="G147" i="6" a="1"/>
  <c r="G147" i="6" s="1"/>
  <c r="G148" i="6" a="1"/>
  <c r="G148" i="6" s="1"/>
  <c r="G149" i="6" a="1"/>
  <c r="G149" i="6" s="1"/>
  <c r="G150" i="6" a="1"/>
  <c r="G150" i="6" s="1"/>
  <c r="G151" i="6" a="1"/>
  <c r="G151" i="6" s="1"/>
  <c r="G152" i="6" a="1"/>
  <c r="G152" i="6" s="1"/>
  <c r="G153" i="6" a="1"/>
  <c r="G153" i="6" s="1"/>
  <c r="G154" i="6" a="1"/>
  <c r="G154" i="6" s="1"/>
  <c r="G155" i="6" a="1"/>
  <c r="G155" i="6" s="1"/>
  <c r="G156" i="6" a="1"/>
  <c r="G156" i="6" s="1"/>
  <c r="G157" i="6" a="1"/>
  <c r="G157" i="6" s="1"/>
  <c r="G158" i="6" a="1"/>
  <c r="G158" i="6" s="1"/>
  <c r="G115" i="6" a="1"/>
  <c r="G115" i="6" s="1"/>
  <c r="G116" i="6" a="1"/>
  <c r="G116" i="6" s="1"/>
  <c r="G117" i="6" a="1"/>
  <c r="G117" i="6" s="1"/>
  <c r="G118" i="6" a="1"/>
  <c r="G118" i="6" s="1"/>
  <c r="G119" i="6" a="1"/>
  <c r="G119" i="6" s="1"/>
  <c r="G120" i="6" a="1"/>
  <c r="G120" i="6" s="1"/>
  <c r="G121" i="6" a="1"/>
  <c r="G121" i="6" s="1"/>
  <c r="G122" i="6" a="1"/>
  <c r="G122" i="6" s="1"/>
  <c r="G123" i="6" a="1"/>
  <c r="G123" i="6" s="1"/>
  <c r="G124" i="6" a="1"/>
  <c r="G124" i="6" s="1"/>
  <c r="G125" i="6" a="1"/>
  <c r="G125" i="6" s="1"/>
  <c r="G126" i="6" a="1"/>
  <c r="G126" i="6" s="1"/>
  <c r="G127" i="6" a="1"/>
  <c r="G127" i="6" s="1"/>
  <c r="G128" i="6" a="1"/>
  <c r="G128" i="6" s="1"/>
  <c r="G129" i="6" a="1"/>
  <c r="G129" i="6" s="1"/>
  <c r="G130" i="6" a="1"/>
  <c r="G130" i="6" s="1"/>
  <c r="G131" i="6" a="1"/>
  <c r="G131" i="6" s="1"/>
  <c r="G132" i="6" a="1"/>
  <c r="G132" i="6" s="1"/>
  <c r="G103" i="6" a="1"/>
  <c r="G103" i="6" s="1"/>
  <c r="G104" i="6" a="1"/>
  <c r="G104" i="6" s="1"/>
  <c r="G105" i="6" a="1"/>
  <c r="G105" i="6" s="1"/>
  <c r="G106" i="6" a="1"/>
  <c r="G106" i="6" s="1"/>
  <c r="G107" i="6" a="1"/>
  <c r="G107" i="6" s="1"/>
  <c r="G108" i="6" a="1"/>
  <c r="G108" i="6" s="1"/>
  <c r="G101" i="6" a="1"/>
  <c r="G101" i="6" s="1"/>
  <c r="G93" i="6" a="1"/>
  <c r="G93" i="6" s="1"/>
  <c r="G94" i="6" a="1"/>
  <c r="G94" i="6" s="1"/>
  <c r="G95" i="6" a="1"/>
  <c r="G95" i="6" s="1"/>
  <c r="G96" i="6" a="1"/>
  <c r="G96" i="6" s="1"/>
  <c r="G97" i="6" a="1"/>
  <c r="G97" i="6" s="1"/>
  <c r="G98" i="6" a="1"/>
  <c r="G98" i="6" s="1"/>
  <c r="G99" i="6" a="1"/>
  <c r="G99" i="6" s="1"/>
  <c r="G100" i="6" a="1"/>
  <c r="G100" i="6" s="1"/>
  <c r="G102" i="6" a="1"/>
  <c r="G102" i="6" s="1"/>
  <c r="G109" i="6" a="1"/>
  <c r="G109" i="6" s="1"/>
  <c r="G111" i="6" a="1"/>
  <c r="G111" i="6" s="1"/>
  <c r="G112" i="6" a="1"/>
  <c r="G112" i="6" s="1"/>
  <c r="G113" i="6" a="1"/>
  <c r="G113" i="6" s="1"/>
  <c r="G88" i="6" a="1"/>
  <c r="G88" i="6" s="1"/>
  <c r="G89" i="6" a="1"/>
  <c r="G89" i="6" s="1"/>
  <c r="G90" i="6" a="1"/>
  <c r="G90" i="6" s="1"/>
  <c r="G83" i="6" a="1"/>
  <c r="G83" i="6" s="1"/>
  <c r="G84" i="6" a="1"/>
  <c r="G84" i="6" s="1"/>
  <c r="G85" i="6" a="1"/>
  <c r="G85" i="6" s="1"/>
  <c r="G86" i="6" a="1"/>
  <c r="G86" i="6" s="1"/>
  <c r="G87" i="6" a="1"/>
  <c r="G87" i="6" s="1"/>
  <c r="G91" i="6" a="1"/>
  <c r="G91" i="6" s="1"/>
  <c r="G59" i="6" a="1"/>
  <c r="G59" i="6" s="1"/>
  <c r="G60" i="6" a="1"/>
  <c r="G60" i="6" s="1"/>
  <c r="G61" i="6" a="1"/>
  <c r="G61" i="6" s="1"/>
  <c r="G62" i="6" a="1"/>
  <c r="G62" i="6" s="1"/>
  <c r="G63" i="6" a="1"/>
  <c r="G63" i="6" s="1"/>
  <c r="G64" i="6" a="1"/>
  <c r="G64" i="6" s="1"/>
  <c r="G65" i="6" a="1"/>
  <c r="G65" i="6" s="1"/>
  <c r="G66" i="6" a="1"/>
  <c r="G66" i="6" s="1"/>
  <c r="G67" i="6" a="1"/>
  <c r="G67" i="6" s="1"/>
  <c r="G68" i="6" a="1"/>
  <c r="G68" i="6" s="1"/>
  <c r="G69" i="6" a="1"/>
  <c r="G69" i="6" s="1"/>
  <c r="G70" i="6" a="1"/>
  <c r="G70" i="6" s="1"/>
  <c r="G71" i="6" a="1"/>
  <c r="G71" i="6" s="1"/>
  <c r="G72" i="6" a="1"/>
  <c r="G72" i="6" s="1"/>
  <c r="G73" i="6" a="1"/>
  <c r="G73" i="6" s="1"/>
  <c r="G74" i="6" a="1"/>
  <c r="G74" i="6" s="1"/>
  <c r="G75" i="6" a="1"/>
  <c r="G75" i="6" s="1"/>
  <c r="G76" i="6" a="1"/>
  <c r="G76" i="6" s="1"/>
  <c r="G77" i="6" a="1"/>
  <c r="G77" i="6" s="1"/>
  <c r="G78" i="6" a="1"/>
  <c r="G78" i="6" s="1"/>
  <c r="G79" i="6" a="1"/>
  <c r="G79" i="6" s="1"/>
  <c r="G81" i="6" a="1"/>
  <c r="G81" i="6" s="1"/>
  <c r="G57" i="6" a="1"/>
  <c r="G57" i="6" s="1"/>
  <c r="G47" i="6" a="1"/>
  <c r="G47" i="6" s="1"/>
  <c r="G49" i="6" a="1"/>
  <c r="G49" i="6" s="1"/>
  <c r="G50" i="6" a="1"/>
  <c r="G50" i="6" s="1"/>
  <c r="G51" i="6" a="1"/>
  <c r="G51" i="6" s="1"/>
  <c r="G52" i="6" a="1"/>
  <c r="G52" i="6" s="1"/>
  <c r="G53" i="6" a="1"/>
  <c r="G53" i="6" s="1"/>
  <c r="G54" i="6" a="1"/>
  <c r="G54" i="6" s="1"/>
  <c r="G56" i="6" a="1"/>
  <c r="G56" i="6" s="1"/>
  <c r="G37" i="6" a="1"/>
  <c r="G37" i="6" s="1"/>
  <c r="G38" i="6" a="1"/>
  <c r="G38" i="6" s="1"/>
  <c r="G30" i="6" a="1"/>
  <c r="G30" i="6" s="1"/>
  <c r="G31" i="6" a="1"/>
  <c r="G31" i="6" s="1"/>
  <c r="G32" i="6" a="1"/>
  <c r="G32" i="6" s="1"/>
  <c r="G33" i="6" a="1"/>
  <c r="G33" i="6" s="1"/>
  <c r="G34" i="6" a="1"/>
  <c r="G34" i="6" s="1"/>
  <c r="G35" i="6" a="1"/>
  <c r="G35" i="6" s="1"/>
  <c r="G36" i="6" a="1"/>
  <c r="G36" i="6" s="1"/>
  <c r="G39" i="6" a="1"/>
  <c r="G39" i="6" s="1"/>
  <c r="G40" i="6" a="1"/>
  <c r="G40" i="6" s="1"/>
  <c r="G41" i="6" a="1"/>
  <c r="G41" i="6" s="1"/>
  <c r="G42" i="6" a="1"/>
  <c r="G42" i="6" s="1"/>
  <c r="G43" i="6" a="1"/>
  <c r="G43" i="6" s="1"/>
  <c r="G44" i="6" a="1"/>
  <c r="G44" i="6" s="1"/>
  <c r="G45" i="6" a="1"/>
  <c r="G45" i="6" s="1"/>
  <c r="G16" i="6" a="1"/>
  <c r="G16" i="6" s="1"/>
  <c r="G5" i="6" a="1"/>
  <c r="G5" i="6" s="1"/>
  <c r="G6" i="6" a="1"/>
  <c r="G6" i="6" s="1"/>
  <c r="G7" i="6" a="1"/>
  <c r="G7" i="6" s="1"/>
  <c r="G8" i="6" a="1"/>
  <c r="G8" i="6" s="1"/>
  <c r="G9" i="6" a="1"/>
  <c r="G9" i="6" s="1"/>
  <c r="G10" i="6" a="1"/>
  <c r="G10" i="6" s="1"/>
  <c r="G11" i="6" a="1"/>
  <c r="G11" i="6" s="1"/>
  <c r="G12" i="6" a="1"/>
  <c r="G12" i="6" s="1"/>
  <c r="G13" i="6" a="1"/>
  <c r="G13" i="6" s="1"/>
  <c r="G14" i="6" a="1"/>
  <c r="G14" i="6" s="1"/>
  <c r="G15" i="6" a="1"/>
  <c r="G15" i="6" s="1"/>
  <c r="G17" i="6" a="1"/>
  <c r="G17" i="6" s="1"/>
  <c r="G18" i="6" a="1"/>
  <c r="G18" i="6" s="1"/>
  <c r="G19" i="6" a="1"/>
  <c r="G19" i="6" s="1"/>
  <c r="G20" i="6" a="1"/>
  <c r="G20" i="6" s="1"/>
  <c r="G21" i="6" a="1"/>
  <c r="G21" i="6" s="1"/>
  <c r="G22" i="6" a="1"/>
  <c r="G22" i="6" s="1"/>
  <c r="G23" i="6" a="1"/>
  <c r="G23" i="6" s="1"/>
  <c r="G24" i="6" a="1"/>
  <c r="G24" i="6" s="1"/>
  <c r="G25" i="6" a="1"/>
  <c r="G25" i="6" s="1"/>
  <c r="G26" i="6" a="1"/>
  <c r="G26" i="6" s="1"/>
  <c r="G27" i="6" a="1"/>
  <c r="G27" i="6" s="1"/>
  <c r="G3" i="6" a="1"/>
  <c r="G3" i="6" s="1"/>
  <c r="G4" i="6" a="1"/>
  <c r="G4" i="6" s="1"/>
  <c r="G29" i="6" a="1"/>
  <c r="G29" i="6" s="1"/>
  <c r="G46" i="6" a="1"/>
  <c r="G46" i="6" s="1"/>
  <c r="G58" i="6" a="1"/>
  <c r="G58" i="6" s="1"/>
  <c r="G82" i="6" a="1"/>
  <c r="G82" i="6" s="1"/>
  <c r="G92" i="6" a="1"/>
  <c r="G92" i="6" s="1"/>
  <c r="G114" i="6" a="1"/>
  <c r="G114" i="6" s="1"/>
  <c r="G133" i="6" a="1"/>
  <c r="G133" i="6" s="1"/>
  <c r="G159" i="6" a="1"/>
  <c r="G159" i="6" s="1"/>
  <c r="G167" i="6" a="1"/>
  <c r="G167" i="6" s="1"/>
  <c r="G181" i="6" a="1"/>
  <c r="G181" i="6" s="1"/>
  <c r="G215" i="6" a="1"/>
  <c r="G215" i="6" s="1"/>
  <c r="G239" i="6" a="1"/>
  <c r="G239" i="6" s="1"/>
  <c r="G247" i="6" a="1"/>
  <c r="G247" i="6" s="1"/>
  <c r="G255" i="6" a="1"/>
  <c r="G255" i="6" s="1"/>
  <c r="G2" i="6" a="1"/>
  <c r="G2" i="6" s="1"/>
  <c r="J116" i="3" a="1"/>
  <c r="J116" i="3" s="1"/>
  <c r="I116" i="3" a="1"/>
  <c r="I116" i="3" s="1"/>
  <c r="U115" i="3"/>
  <c r="U116" i="3" s="1" a="1"/>
  <c r="U116" i="3" s="1"/>
  <c r="T115" i="3"/>
  <c r="T116" i="3" s="1" a="1"/>
  <c r="T116" i="3" s="1"/>
  <c r="S115" i="3"/>
  <c r="S116" i="3" s="1" a="1"/>
  <c r="S116" i="3" s="1"/>
  <c r="R115" i="3"/>
  <c r="R116" i="3" s="1" a="1"/>
  <c r="R116" i="3" s="1"/>
  <c r="Q115" i="3"/>
  <c r="Q116" i="3" s="1" a="1"/>
  <c r="Q116" i="3" s="1"/>
  <c r="O115" i="3"/>
  <c r="O116" i="3" s="1" a="1"/>
  <c r="O116" i="3" s="1"/>
  <c r="N115" i="3"/>
  <c r="N116" i="3" s="1" a="1"/>
  <c r="N116" i="3" s="1"/>
  <c r="M115" i="3"/>
  <c r="M116" i="3" s="1" a="1"/>
  <c r="M116" i="3" s="1"/>
  <c r="L115" i="3"/>
  <c r="L116" i="3" s="1" a="1"/>
  <c r="L116" i="3" s="1"/>
  <c r="K115" i="3"/>
  <c r="K116" i="3" s="1" a="1"/>
  <c r="K116" i="3" s="1"/>
  <c r="J115" i="3"/>
  <c r="I115" i="3"/>
  <c r="G115" i="3"/>
  <c r="G116" i="3" s="1" a="1"/>
  <c r="G116" i="3" s="1"/>
  <c r="F115" i="3"/>
  <c r="F116" i="3" s="1" a="1"/>
  <c r="F116" i="3" s="1"/>
  <c r="E115" i="3"/>
  <c r="E116" i="3" s="1" a="1"/>
  <c r="E116" i="3" s="1"/>
  <c r="D115" i="3"/>
  <c r="D116" i="3" s="1" a="1"/>
  <c r="D116" i="3" s="1"/>
  <c r="C115" i="3"/>
  <c r="C116" i="3" s="1" a="1"/>
  <c r="C116" i="3" s="1"/>
  <c r="M131" i="11" a="1"/>
  <c r="N197" i="11" a="1"/>
  <c r="N145" i="11" a="1"/>
  <c r="K179" i="11" a="1"/>
  <c r="U93" i="3" a="1"/>
  <c r="L160" i="11" a="1"/>
  <c r="M189" i="11" a="1"/>
  <c r="K216" i="11" a="1"/>
  <c r="O176" i="11" a="1"/>
  <c r="K171" i="11" a="1"/>
  <c r="K181" i="11" a="1"/>
  <c r="K132" i="11" a="1"/>
  <c r="L193" i="11" a="1"/>
  <c r="M214" i="11" a="1"/>
  <c r="O108" i="11" a="1"/>
  <c r="O143" i="11" a="1"/>
  <c r="O185" i="11" a="1"/>
  <c r="N215" i="11" a="1"/>
  <c r="O198" i="11" a="1"/>
  <c r="L138" i="11" a="1"/>
  <c r="J195" i="11" a="1"/>
  <c r="J198" i="11" a="1"/>
  <c r="K188" i="11" a="1"/>
  <c r="N163" i="11" a="1"/>
  <c r="N148" i="11" a="1"/>
  <c r="N138" i="11" a="1"/>
  <c r="M170" i="11" a="1"/>
  <c r="N132" i="11" a="1"/>
  <c r="J146" i="11" a="1"/>
  <c r="K170" i="11" a="1"/>
  <c r="M172" i="11" a="1"/>
  <c r="J108" i="11" a="1"/>
  <c r="L104" i="11" a="1"/>
  <c r="J147" i="11" a="1"/>
  <c r="E57" i="3" a="1"/>
  <c r="J135" i="11" a="1"/>
  <c r="N133" i="11" a="1"/>
  <c r="R39" i="3" a="1"/>
  <c r="L191" i="11" a="1"/>
  <c r="N211" i="11" a="1"/>
  <c r="L163" i="11" a="1"/>
  <c r="L158" i="11" a="1"/>
  <c r="E75" i="3" a="1"/>
  <c r="N185" i="11" a="1"/>
  <c r="J208" i="11" a="1"/>
  <c r="K207" i="11" a="1"/>
  <c r="O151" i="11" a="1"/>
  <c r="R57" i="3" a="1"/>
  <c r="J179" i="11" a="1"/>
  <c r="L21" i="3" a="1"/>
  <c r="N112" i="11" a="1"/>
  <c r="O134" i="11" a="1"/>
  <c r="L172" i="11" a="1"/>
  <c r="K189" i="11" a="1"/>
  <c r="M176" i="11" a="1"/>
  <c r="M141" i="11" a="1"/>
  <c r="K109" i="11" a="1"/>
  <c r="K159" i="11" a="1"/>
  <c r="O137" i="11" a="1"/>
  <c r="L75" i="3" a="1"/>
  <c r="O125" i="11" a="1"/>
  <c r="S211" i="8" a="1"/>
  <c r="O203" i="11" a="1"/>
  <c r="J176" i="11" a="1"/>
  <c r="M110" i="11" a="1"/>
  <c r="O138" i="11" a="1"/>
  <c r="O139" i="11" a="1"/>
  <c r="N165" i="11" a="1"/>
  <c r="L117" i="11" a="1"/>
  <c r="M124" i="11" a="1"/>
  <c r="O154" i="11" a="1"/>
  <c r="R211" i="8" a="1"/>
  <c r="K123" i="11" a="1"/>
  <c r="K164" i="11" a="1"/>
  <c r="N208" i="11" a="1"/>
  <c r="O199" i="11" a="1"/>
  <c r="L168" i="11" a="1"/>
  <c r="L155" i="11" a="1"/>
  <c r="N210" i="11" a="1"/>
  <c r="K113" i="11" a="1"/>
  <c r="N57" i="3" a="1"/>
  <c r="N153" i="11" a="1"/>
  <c r="J138" i="11" a="1"/>
  <c r="G21" i="3" a="1"/>
  <c r="L202" i="11" a="1"/>
  <c r="L214" i="11" a="1"/>
  <c r="K186" i="11" a="1"/>
  <c r="L211" i="11" a="1"/>
  <c r="M208" i="11" a="1"/>
  <c r="J178" i="11" a="1"/>
  <c r="L133" i="11" a="1"/>
  <c r="J215" i="11" a="1"/>
  <c r="D39" i="3" a="1"/>
  <c r="O104" i="11" a="1"/>
  <c r="K21" i="3" a="1"/>
  <c r="C93" i="3" a="1"/>
  <c r="O172" i="11" a="1"/>
  <c r="L164" i="11" a="1"/>
  <c r="K125" i="11" a="1"/>
  <c r="K183" i="11" a="1"/>
  <c r="K150" i="11" a="1"/>
  <c r="L103" i="11" a="1"/>
  <c r="O135" i="11" a="1"/>
  <c r="J109" i="11" a="1"/>
  <c r="J158" i="11" a="1"/>
  <c r="C75" i="3" a="1"/>
  <c r="O142" i="11" a="1"/>
  <c r="M114" i="11" a="1"/>
  <c r="E21" i="3" a="1"/>
  <c r="J128" i="11" a="1"/>
  <c r="L194" i="11" a="1"/>
  <c r="N167" i="11" a="1"/>
  <c r="N115" i="11" a="1"/>
  <c r="M129" i="11" a="1"/>
  <c r="O118" i="11" a="1"/>
  <c r="K192" i="11" a="1"/>
  <c r="J153" i="11" a="1"/>
  <c r="L182" i="11" a="1"/>
  <c r="N199" i="11" a="1"/>
  <c r="J163" i="11" a="1"/>
  <c r="J142" i="11" a="1"/>
  <c r="J155" i="11" a="1"/>
  <c r="M93" i="3" a="1"/>
  <c r="L174" i="11" a="1"/>
  <c r="M145" i="11" a="1"/>
  <c r="O174" i="11" a="1"/>
  <c r="M206" i="11" a="1"/>
  <c r="O200" i="11" a="1"/>
  <c r="N201" i="11" a="1"/>
  <c r="M187" i="11" a="1"/>
  <c r="N205" i="11" a="1"/>
  <c r="N187" i="11" a="1"/>
  <c r="M137" i="11" a="1"/>
  <c r="L131" i="11" a="1"/>
  <c r="K127" i="11" a="1"/>
  <c r="K209" i="11" a="1"/>
  <c r="M106" i="11" a="1"/>
  <c r="K135" i="11" a="1"/>
  <c r="K121" i="11" a="1"/>
  <c r="L106" i="11" a="1"/>
  <c r="K169" i="11" a="1"/>
  <c r="K184" i="11" a="1"/>
  <c r="O141" i="11" a="1"/>
  <c r="N216" i="11" a="1"/>
  <c r="J165" i="11" a="1"/>
  <c r="N202" i="11" a="1"/>
  <c r="M105" i="11" a="1"/>
  <c r="O173" i="11" a="1"/>
  <c r="K157" i="11" a="1"/>
  <c r="J117" i="11" a="1"/>
  <c r="M147" i="11" a="1"/>
  <c r="J169" i="11" a="1"/>
  <c r="N171" i="11" a="1"/>
  <c r="J75" i="3" a="1"/>
  <c r="L93" i="3" a="1"/>
  <c r="L136" i="11" a="1"/>
  <c r="M21" i="3" a="1"/>
  <c r="M171" i="11" a="1"/>
  <c r="M163" i="11" a="1"/>
  <c r="D57" i="3" a="1"/>
  <c r="K212" i="11" a="1"/>
  <c r="N104" i="11" a="1"/>
  <c r="L144" i="11" a="1"/>
  <c r="O212" i="11" a="1"/>
  <c r="K118" i="11" a="1"/>
  <c r="O145" i="11" a="1"/>
  <c r="K161" i="11" a="1"/>
  <c r="O197" i="11" a="1"/>
  <c r="N107" i="11" a="1"/>
  <c r="J162" i="11" a="1"/>
  <c r="N214" i="11" a="1"/>
  <c r="M155" i="11" a="1"/>
  <c r="L188" i="11" a="1"/>
  <c r="T21" i="3" a="1"/>
  <c r="O116" i="11" a="1"/>
  <c r="O132" i="11" a="1"/>
  <c r="L213" i="11" a="1"/>
  <c r="J131" i="11" a="1"/>
  <c r="M156" i="11" a="1"/>
  <c r="O113" i="11" a="1"/>
  <c r="L165" i="11" a="1"/>
  <c r="N193" i="11" a="1"/>
  <c r="K105" i="11" a="1"/>
  <c r="K168" i="11" a="1"/>
  <c r="T75" i="3" a="1"/>
  <c r="L216" i="11" a="1"/>
  <c r="N191" i="11" a="1"/>
  <c r="M128" i="11" a="1"/>
  <c r="N173" i="11" a="1"/>
  <c r="O178" i="11" a="1"/>
  <c r="N213" i="11" a="1"/>
  <c r="O148" i="11" a="1"/>
  <c r="K134" i="11" a="1"/>
  <c r="M108" i="11" a="1"/>
  <c r="N39" i="3" a="1"/>
  <c r="S21" i="3" a="1"/>
  <c r="J104" i="11" a="1"/>
  <c r="N176" i="11" a="1"/>
  <c r="O169" i="11" a="1"/>
  <c r="L113" i="11" a="1"/>
  <c r="N170" i="11" a="1"/>
  <c r="J186" i="11" a="1"/>
  <c r="N158" i="11" a="1"/>
  <c r="N186" i="11" a="1"/>
  <c r="N198" i="11" a="1"/>
  <c r="L159" i="11" a="1"/>
  <c r="O103" i="11" a="1"/>
  <c r="M185" i="11" a="1"/>
  <c r="M181" i="11" a="1"/>
  <c r="N188" i="11" a="1"/>
  <c r="K214" i="11" a="1"/>
  <c r="L141" i="11" a="1"/>
  <c r="L120" i="11" a="1"/>
  <c r="L132" i="11" a="1"/>
  <c r="S57" i="3" a="1"/>
  <c r="N164" i="11" a="1"/>
  <c r="O109" i="11" a="1"/>
  <c r="R75" i="3" a="1"/>
  <c r="K213" i="11" a="1"/>
  <c r="I57" i="3" a="1"/>
  <c r="K133" i="11" a="1"/>
  <c r="O112" i="11" a="1"/>
  <c r="M142" i="11" a="1"/>
  <c r="K149" i="11" a="1"/>
  <c r="M174" i="11" a="1"/>
  <c r="L128" i="11" a="1"/>
  <c r="O140" i="11" a="1"/>
  <c r="O194" i="11" a="1"/>
  <c r="L179" i="11" a="1"/>
  <c r="O214" i="11" a="1"/>
  <c r="N172" i="11" a="1"/>
  <c r="K129" i="11" a="1"/>
  <c r="K196" i="11" a="1"/>
  <c r="M123" i="11" a="1"/>
  <c r="L129" i="11" a="1"/>
  <c r="K111" i="11" a="1"/>
  <c r="U39" i="3" a="1"/>
  <c r="K190" i="11" a="1"/>
  <c r="O147" i="11" a="1"/>
  <c r="C57" i="3" a="1"/>
  <c r="J130" i="11" a="1"/>
  <c r="M160" i="11" a="1"/>
  <c r="M136" i="11" a="1"/>
  <c r="G57" i="3" a="1"/>
  <c r="N140" i="11" a="1"/>
  <c r="O182" i="11" a="1"/>
  <c r="K211" i="11" a="1"/>
  <c r="I93" i="3" a="1"/>
  <c r="M104" i="11" a="1"/>
  <c r="K122" i="11" a="1"/>
  <c r="T93" i="3" a="1"/>
  <c r="L114" i="11" a="1"/>
  <c r="K147" i="11" a="1"/>
  <c r="N149" i="11" a="1"/>
  <c r="M204" i="11" a="1"/>
  <c r="O162" i="11" a="1"/>
  <c r="K173" i="11" a="1"/>
  <c r="O192" i="11" a="1"/>
  <c r="M103" i="11" a="1"/>
  <c r="L166" i="11" a="1"/>
  <c r="E39" i="3" a="1"/>
  <c r="N189" i="11" a="1"/>
  <c r="K191" i="11" a="1"/>
  <c r="M184" i="11" a="1"/>
  <c r="N122" i="11" a="1"/>
  <c r="M120" i="11" a="1"/>
  <c r="J157" i="11" a="1"/>
  <c r="O207" i="11" a="1"/>
  <c r="O208" i="11" a="1"/>
  <c r="N113" i="11" a="1"/>
  <c r="N184" i="11" a="1"/>
  <c r="M193" i="11" a="1"/>
  <c r="Q211" i="8" a="1"/>
  <c r="D75" i="3" a="1"/>
  <c r="O156" i="11" a="1"/>
  <c r="O189" i="11" a="1"/>
  <c r="J125" i="11" a="1"/>
  <c r="J214" i="11" a="1"/>
  <c r="L109" i="11" a="1"/>
  <c r="N178" i="11" a="1"/>
  <c r="M180" i="11" a="1"/>
  <c r="N160" i="11" a="1"/>
  <c r="J189" i="11" a="1"/>
  <c r="N209" i="11" a="1"/>
  <c r="M167" i="11" a="1"/>
  <c r="J113" i="11" a="1"/>
  <c r="N146" i="11" a="1"/>
  <c r="M148" i="11" a="1"/>
  <c r="E93" i="3" a="1"/>
  <c r="N141" i="11" a="1"/>
  <c r="T39" i="3" a="1"/>
  <c r="O179" i="11" a="1"/>
  <c r="M196" i="11" a="1"/>
  <c r="O39" i="3" a="1"/>
  <c r="K141" i="11" a="1"/>
  <c r="K200" i="11" a="1"/>
  <c r="K117" i="11" a="1"/>
  <c r="N200" i="11" a="1"/>
  <c r="J148" i="11" a="1"/>
  <c r="L198" i="11" a="1"/>
  <c r="M182" i="11" a="1"/>
  <c r="K175" i="11" a="1"/>
  <c r="L118" i="11" a="1"/>
  <c r="K106" i="11" a="1"/>
  <c r="L169" i="11" a="1"/>
  <c r="L189" i="11" a="1"/>
  <c r="M168" i="11" a="1"/>
  <c r="K206" i="11" a="1"/>
  <c r="J206" i="11" a="1"/>
  <c r="J116" i="11" a="1"/>
  <c r="O21" i="3" a="1"/>
  <c r="K114" i="11" a="1"/>
  <c r="N181" i="11" a="1"/>
  <c r="J149" i="11" a="1"/>
  <c r="L124" i="11" a="1"/>
  <c r="L215" i="11" a="1"/>
  <c r="J110" i="11" a="1"/>
  <c r="M209" i="11" a="1"/>
  <c r="O106" i="11" a="1"/>
  <c r="J192" i="11" a="1"/>
  <c r="N143" i="11" a="1"/>
  <c r="J188" i="11" a="1"/>
  <c r="J193" i="11" a="1"/>
  <c r="J141" i="11" a="1"/>
  <c r="J152" i="11" a="1"/>
  <c r="N147" i="11" a="1"/>
  <c r="K158" i="11" a="1"/>
  <c r="L167" i="11" a="1"/>
  <c r="M126" i="11" a="1"/>
  <c r="N114" i="11" a="1"/>
  <c r="J175" i="11" a="1"/>
  <c r="J129" i="11" a="1"/>
  <c r="K178" i="11" a="1"/>
  <c r="J181" i="11" a="1"/>
  <c r="J205" i="11" a="1"/>
  <c r="L201" i="11" a="1"/>
  <c r="K208" i="11" a="1"/>
  <c r="T211" i="8" a="1"/>
  <c r="I21" i="3" a="1"/>
  <c r="O177" i="11" a="1"/>
  <c r="O120" i="11" a="1"/>
  <c r="L207" i="11" a="1"/>
  <c r="L147" i="11" a="1"/>
  <c r="L149" i="11" a="1"/>
  <c r="M203" i="11" a="1"/>
  <c r="J115" i="11" a="1"/>
  <c r="L121" i="11" a="1"/>
  <c r="O206" i="11" a="1"/>
  <c r="O105" i="11" a="1"/>
  <c r="M144" i="11" a="1"/>
  <c r="O150" i="11" a="1"/>
  <c r="F93" i="3" a="1"/>
  <c r="F75" i="3" a="1"/>
  <c r="Q93" i="3" a="1"/>
  <c r="L142" i="11" a="1"/>
  <c r="Q75" i="3" a="1"/>
  <c r="M164" i="11" a="1"/>
  <c r="N134" i="11" a="1"/>
  <c r="L161" i="11" a="1"/>
  <c r="L187" i="11" a="1"/>
  <c r="N128" i="11" a="1"/>
  <c r="K142" i="11" a="1"/>
  <c r="J112" i="11" a="1"/>
  <c r="L171" i="11" a="1"/>
  <c r="K152" i="11" a="1"/>
  <c r="N109" i="11" a="1"/>
  <c r="J187" i="11" a="1"/>
  <c r="O75" i="3" a="1"/>
  <c r="N135" i="11" a="1"/>
  <c r="M157" i="11" a="1"/>
  <c r="O183" i="11" a="1"/>
  <c r="L115" i="11" a="1"/>
  <c r="K115" i="11" a="1"/>
  <c r="M195" i="11" a="1"/>
  <c r="M113" i="11" a="1"/>
  <c r="O124" i="11" a="1"/>
  <c r="J127" i="11" a="1"/>
  <c r="M109" i="11" a="1"/>
  <c r="N110" i="11" a="1"/>
  <c r="J124" i="11" a="1"/>
  <c r="J154" i="11" a="1"/>
  <c r="O165" i="11" a="1"/>
  <c r="M198" i="11" a="1"/>
  <c r="M127" i="11" a="1"/>
  <c r="M143" i="11" a="1"/>
  <c r="K210" i="11" a="1"/>
  <c r="O164" i="11" a="1"/>
  <c r="N119" i="11" a="1"/>
  <c r="G39" i="3" a="1"/>
  <c r="L130" i="11" a="1"/>
  <c r="J167" i="11" a="1"/>
  <c r="T57" i="3" a="1"/>
  <c r="L157" i="11" a="1"/>
  <c r="K199" i="11" a="1"/>
  <c r="L127" i="11" a="1"/>
  <c r="J207" i="11" a="1"/>
  <c r="N154" i="11" a="1"/>
  <c r="O117" i="11" a="1"/>
  <c r="J210" i="11" a="1"/>
  <c r="K104" i="11" a="1"/>
  <c r="L105" i="11" a="1"/>
  <c r="O111" i="11" a="1"/>
  <c r="L178" i="11" a="1"/>
  <c r="M188" i="11" a="1"/>
  <c r="N129" i="11" a="1"/>
  <c r="J132" i="11" a="1"/>
  <c r="K201" i="11" a="1"/>
  <c r="J107" i="11" a="1"/>
  <c r="O128" i="11" a="1"/>
  <c r="N139" i="11" a="1"/>
  <c r="K185" i="11" a="1"/>
  <c r="K153" i="11" a="1"/>
  <c r="O166" i="11" a="1"/>
  <c r="J177" i="11" a="1"/>
  <c r="M158" i="11" a="1"/>
  <c r="L152" i="11" a="1"/>
  <c r="K148" i="11" a="1"/>
  <c r="L204" i="11" a="1"/>
  <c r="J144" i="11" a="1"/>
  <c r="K108" i="11" a="1"/>
  <c r="M213" i="11" a="1"/>
  <c r="O144" i="11" a="1"/>
  <c r="L197" i="11" a="1"/>
  <c r="L150" i="11" a="1"/>
  <c r="J182" i="11" a="1"/>
  <c r="N150" i="11" a="1"/>
  <c r="J203" i="11" a="1"/>
  <c r="L146" i="11" a="1"/>
  <c r="O114" i="11" a="1"/>
  <c r="M212" i="11" a="1"/>
  <c r="L126" i="11" a="1"/>
  <c r="M153" i="11" a="1"/>
  <c r="M202" i="11" a="1"/>
  <c r="M165" i="11" a="1"/>
  <c r="N125" i="11" a="1"/>
  <c r="N121" i="11" a="1"/>
  <c r="U21" i="3" a="1"/>
  <c r="G93" i="3" a="1"/>
  <c r="N105" i="11" a="1"/>
  <c r="M191" i="11" a="1"/>
  <c r="K119" i="11" a="1"/>
  <c r="L210" i="11" a="1"/>
  <c r="O127" i="11" a="1"/>
  <c r="K180" i="11" a="1"/>
  <c r="L135" i="11" a="1"/>
  <c r="L185" i="11" a="1"/>
  <c r="O121" i="11" a="1"/>
  <c r="L175" i="11" a="1"/>
  <c r="J103" i="11" a="1"/>
  <c r="J174" i="11" a="1"/>
  <c r="J216" i="11" a="1"/>
  <c r="O171" i="11" a="1"/>
  <c r="V211" i="8" a="1"/>
  <c r="L212" i="11" a="1"/>
  <c r="J114" i="11" a="1"/>
  <c r="M39" i="3" a="1"/>
  <c r="K146" i="11" a="1"/>
  <c r="M112" i="11" a="1"/>
  <c r="J93" i="3" a="1"/>
  <c r="F57" i="3" a="1"/>
  <c r="D93" i="3" a="1"/>
  <c r="O191" i="11" a="1"/>
  <c r="L122" i="11" a="1"/>
  <c r="N144" i="11" a="1"/>
  <c r="O161" i="11" a="1"/>
  <c r="M146" i="11" a="1"/>
  <c r="K165" i="11" a="1"/>
  <c r="J137" i="11" a="1"/>
  <c r="N156" i="11" a="1"/>
  <c r="J118" i="11" a="1"/>
  <c r="M197" i="11" a="1"/>
  <c r="L108" i="11" a="1"/>
  <c r="K198" i="11" a="1"/>
  <c r="K194" i="11" a="1"/>
  <c r="M149" i="11" a="1"/>
  <c r="R93" i="3" a="1"/>
  <c r="M134" i="11" a="1"/>
  <c r="K182" i="11" a="1"/>
  <c r="O152" i="11" a="1"/>
  <c r="M115" i="11" a="1"/>
  <c r="J212" i="11" a="1"/>
  <c r="N166" i="11" a="1"/>
  <c r="K103" i="11" a="1"/>
  <c r="O196" i="11" a="1"/>
  <c r="J57" i="3" a="1"/>
  <c r="M192" i="11" a="1"/>
  <c r="K163" i="11" a="1"/>
  <c r="J150" i="11" a="1"/>
  <c r="N175" i="11" a="1"/>
  <c r="N203" i="11" a="1"/>
  <c r="O93" i="3" a="1"/>
  <c r="N106" i="11" a="1"/>
  <c r="K128" i="11" a="1"/>
  <c r="N169" i="11" a="1"/>
  <c r="O187" i="11" a="1"/>
  <c r="K203" i="11" a="1"/>
  <c r="U211" i="8" a="1"/>
  <c r="K172" i="11" a="1"/>
  <c r="O186" i="11" a="1"/>
  <c r="J122" i="11" a="1"/>
  <c r="K195" i="11" a="1"/>
  <c r="N152" i="11" a="1"/>
  <c r="N179" i="11" a="1"/>
  <c r="N157" i="11" a="1"/>
  <c r="K136" i="11" a="1"/>
  <c r="J166" i="11" a="1"/>
  <c r="N93" i="3" a="1"/>
  <c r="J180" i="11" a="1"/>
  <c r="K151" i="11" a="1"/>
  <c r="L184" i="11" a="1"/>
  <c r="J136" i="11" a="1"/>
  <c r="K116" i="11" a="1"/>
  <c r="J120" i="11" a="1"/>
  <c r="N159" i="11" a="1"/>
  <c r="L110" i="11" a="1"/>
  <c r="J159" i="11" a="1"/>
  <c r="N155" i="11" a="1"/>
  <c r="K75" i="3" a="1"/>
  <c r="L203" i="11" a="1"/>
  <c r="K160" i="11" a="1"/>
  <c r="J183" i="11" a="1"/>
  <c r="J160" i="11" a="1"/>
  <c r="O146" i="11" a="1"/>
  <c r="N118" i="11" a="1"/>
  <c r="N136" i="11" a="1"/>
  <c r="O119" i="11" a="1"/>
  <c r="J156" i="11" a="1"/>
  <c r="N131" i="11" a="1"/>
  <c r="M121" i="11" a="1"/>
  <c r="K120" i="11" a="1"/>
  <c r="K204" i="11" a="1"/>
  <c r="J194" i="11" a="1"/>
  <c r="N177" i="11" a="1"/>
  <c r="K155" i="11" a="1"/>
  <c r="K131" i="11" a="1"/>
  <c r="J204" i="11" a="1"/>
  <c r="O153" i="11" a="1"/>
  <c r="J39" i="3" a="1"/>
  <c r="N161" i="11" a="1"/>
  <c r="O130" i="11" a="1"/>
  <c r="L140" i="11" a="1"/>
  <c r="J161" i="11" a="1"/>
  <c r="N174" i="11" a="1"/>
  <c r="L151" i="11" a="1"/>
  <c r="M119" i="11" a="1"/>
  <c r="S75" i="3" a="1"/>
  <c r="M199" i="11" a="1"/>
  <c r="I75" i="3" a="1"/>
  <c r="N127" i="11" a="1"/>
  <c r="N195" i="11" a="1"/>
  <c r="M169" i="11" a="1"/>
  <c r="M175" i="11" a="1"/>
  <c r="L111" i="11" a="1"/>
  <c r="N182" i="11" a="1"/>
  <c r="N190" i="11" a="1"/>
  <c r="M178" i="11" a="1"/>
  <c r="J171" i="11" a="1"/>
  <c r="J202" i="11" a="1"/>
  <c r="K156" i="11" a="1"/>
  <c r="N130" i="11" a="1"/>
  <c r="J105" i="11" a="1"/>
  <c r="K39" i="3" a="1"/>
  <c r="J140" i="11" a="1"/>
  <c r="K126" i="11" a="1"/>
  <c r="O110" i="11" a="1"/>
  <c r="M111" i="11" a="1"/>
  <c r="O215" i="11" a="1"/>
  <c r="K138" i="11" a="1"/>
  <c r="J200" i="11" a="1"/>
  <c r="K193" i="11" a="1"/>
  <c r="L180" i="11" a="1"/>
  <c r="J164" i="11" a="1"/>
  <c r="N126" i="11" a="1"/>
  <c r="L170" i="11" a="1"/>
  <c r="J197" i="11" a="1"/>
  <c r="L143" i="11" a="1"/>
  <c r="K57" i="3" a="1"/>
  <c r="N103" i="11" a="1"/>
  <c r="N194" i="11" a="1"/>
  <c r="M135" i="11" a="1"/>
  <c r="F39" i="3" a="1"/>
  <c r="L173" i="11" a="1"/>
  <c r="J201" i="11" a="1"/>
  <c r="O115" i="11" a="1"/>
  <c r="L186" i="11" a="1"/>
  <c r="M190" i="11" a="1"/>
  <c r="N192" i="11" a="1"/>
  <c r="M154" i="11" a="1"/>
  <c r="M179" i="11" a="1"/>
  <c r="M215" i="11" a="1"/>
  <c r="M132" i="11" a="1"/>
  <c r="J134" i="11" a="1"/>
  <c r="L137" i="11" a="1"/>
  <c r="O131" i="11" a="1"/>
  <c r="K93" i="3" a="1"/>
  <c r="O193" i="11" a="1"/>
  <c r="L134" i="11" a="1"/>
  <c r="M173" i="11" a="1"/>
  <c r="O163" i="11" a="1"/>
  <c r="M107" i="11" a="1"/>
  <c r="J123" i="11" a="1"/>
  <c r="K124" i="11" a="1"/>
  <c r="L181" i="11" a="1"/>
  <c r="L153" i="11" a="1"/>
  <c r="M211" i="11" a="1"/>
  <c r="O57" i="3" a="1"/>
  <c r="M183" i="11" a="1"/>
  <c r="U57" i="3" a="1"/>
  <c r="J190" i="11" a="1"/>
  <c r="N75" i="3" a="1"/>
  <c r="O181" i="11" a="1"/>
  <c r="M159" i="11" a="1"/>
  <c r="N142" i="11" a="1"/>
  <c r="J196" i="11" a="1"/>
  <c r="M116" i="11" a="1"/>
  <c r="L119" i="11" a="1"/>
  <c r="N21" i="3" a="1"/>
  <c r="N151" i="11" a="1"/>
  <c r="J106" i="11" a="1"/>
  <c r="O170" i="11" a="1"/>
  <c r="M140" i="11" a="1"/>
  <c r="M122" i="11" a="1"/>
  <c r="C21" i="3" a="1"/>
  <c r="N120" i="11" a="1"/>
  <c r="N212" i="11" a="1"/>
  <c r="O204" i="11" a="1"/>
  <c r="M216" i="11" a="1"/>
  <c r="O149" i="11" a="1"/>
  <c r="L125" i="11" a="1"/>
  <c r="Q57" i="3" a="1"/>
  <c r="J199" i="11" a="1"/>
  <c r="O167" i="11" a="1"/>
  <c r="K137" i="11" a="1"/>
  <c r="J172" i="11" a="1"/>
  <c r="L205" i="11" a="1"/>
  <c r="N124" i="11" a="1"/>
  <c r="N123" i="11" a="1"/>
  <c r="N204" i="11" a="1"/>
  <c r="L162" i="11" a="1"/>
  <c r="O195" i="11" a="1"/>
  <c r="K143" i="11" a="1"/>
  <c r="L57" i="3" a="1"/>
  <c r="L177" i="11" a="1"/>
  <c r="K154" i="11" a="1"/>
  <c r="J211" i="11" a="1"/>
  <c r="N111" i="11" a="1"/>
  <c r="K187" i="11" a="1"/>
  <c r="K130" i="11" a="1"/>
  <c r="L156" i="11" a="1"/>
  <c r="N168" i="11" a="1"/>
  <c r="K162" i="11" a="1"/>
  <c r="M162" i="11" a="1"/>
  <c r="K176" i="11" a="1"/>
  <c r="M166" i="11" a="1"/>
  <c r="L112" i="11" a="1"/>
  <c r="L107" i="11" a="1"/>
  <c r="J126" i="11" a="1"/>
  <c r="K215" i="11" a="1"/>
  <c r="O122" i="11" a="1"/>
  <c r="J151" i="11" a="1"/>
  <c r="L154" i="11" a="1"/>
  <c r="K197" i="11" a="1"/>
  <c r="O201" i="11" a="1"/>
  <c r="O190" i="11" a="1"/>
  <c r="O136" i="11" a="1"/>
  <c r="K174" i="11" a="1"/>
  <c r="L176" i="11" a="1"/>
  <c r="M133" i="11" a="1"/>
  <c r="J168" i="11" a="1"/>
  <c r="K205" i="11" a="1"/>
  <c r="L195" i="11" a="1"/>
  <c r="O213" i="11" a="1"/>
  <c r="L123" i="11" a="1"/>
  <c r="O180" i="11" a="1"/>
  <c r="U75" i="3" a="1"/>
  <c r="L139" i="11" a="1"/>
  <c r="C39" i="3" a="1"/>
  <c r="O129" i="11" a="1"/>
  <c r="F21" i="3" a="1"/>
  <c r="L196" i="11" a="1"/>
  <c r="K177" i="11" a="1"/>
  <c r="Q21" i="3" a="1"/>
  <c r="J143" i="11" a="1"/>
  <c r="O209" i="11" a="1"/>
  <c r="J191" i="11" a="1"/>
  <c r="N137" i="11" a="1"/>
  <c r="M139" i="11" a="1"/>
  <c r="M210" i="11" a="1"/>
  <c r="Q39" i="3" a="1"/>
  <c r="O188" i="11" a="1"/>
  <c r="L199" i="11" a="1"/>
  <c r="N183" i="11" a="1"/>
  <c r="O175" i="11" a="1"/>
  <c r="N117" i="11" a="1"/>
  <c r="M152" i="11" a="1"/>
  <c r="O168" i="11" a="1"/>
  <c r="N196" i="11" a="1"/>
  <c r="O202" i="11" a="1"/>
  <c r="M186" i="11" a="1"/>
  <c r="K145" i="11" a="1"/>
  <c r="O123" i="11" a="1"/>
  <c r="L200" i="11" a="1"/>
  <c r="J213" i="11" a="1"/>
  <c r="S93" i="3" a="1"/>
  <c r="J139" i="11" a="1"/>
  <c r="M177" i="11" a="1"/>
  <c r="N116" i="11" a="1"/>
  <c r="L209" i="11" a="1"/>
  <c r="M205" i="11" a="1"/>
  <c r="K110" i="11" a="1"/>
  <c r="O133" i="11" a="1"/>
  <c r="L183" i="11" a="1"/>
  <c r="L206" i="11" a="1"/>
  <c r="J209" i="11" a="1"/>
  <c r="K107" i="11" a="1"/>
  <c r="K166" i="11" a="1"/>
  <c r="M161" i="11" a="1"/>
  <c r="O155" i="11" a="1"/>
  <c r="O159" i="11" a="1"/>
  <c r="O184" i="11" a="1"/>
  <c r="M75" i="3" a="1"/>
  <c r="L190" i="11" a="1"/>
  <c r="J185" i="11" a="1"/>
  <c r="J119" i="11" a="1"/>
  <c r="O157" i="11" a="1"/>
  <c r="M130" i="11" a="1"/>
  <c r="J133" i="11" a="1"/>
  <c r="J170" i="11" a="1"/>
  <c r="O160" i="11" a="1"/>
  <c r="O216" i="11" a="1"/>
  <c r="O107" i="11" a="1"/>
  <c r="L208" i="11" a="1"/>
  <c r="O158" i="11" a="1"/>
  <c r="O126" i="11" a="1"/>
  <c r="J111" i="11" a="1"/>
  <c r="S39" i="3" a="1"/>
  <c r="M138" i="11" a="1"/>
  <c r="M201" i="11" a="1"/>
  <c r="K112" i="11" a="1"/>
  <c r="M117" i="11" a="1"/>
  <c r="M150" i="11" a="1"/>
  <c r="M194" i="11" a="1"/>
  <c r="N206" i="11" a="1"/>
  <c r="K167" i="11" a="1"/>
  <c r="L116" i="11" a="1"/>
  <c r="J184" i="11" a="1"/>
  <c r="K144" i="11" a="1"/>
  <c r="K202" i="11" a="1"/>
  <c r="R21" i="3" a="1"/>
  <c r="O210" i="11" a="1"/>
  <c r="J145" i="11" a="1"/>
  <c r="O211" i="11" a="1"/>
  <c r="M118" i="11" a="1"/>
  <c r="N108" i="11" a="1"/>
  <c r="N207" i="11" a="1"/>
  <c r="L39" i="3" a="1"/>
  <c r="K139" i="11" a="1"/>
  <c r="N180" i="11" a="1"/>
  <c r="M125" i="11" a="1"/>
  <c r="M200" i="11" a="1"/>
  <c r="M151" i="11" a="1"/>
  <c r="J121" i="11" a="1"/>
  <c r="O205" i="11" a="1"/>
  <c r="N162" i="11" a="1"/>
  <c r="G75" i="3" a="1"/>
  <c r="D21" i="3" a="1"/>
  <c r="L192" i="11" a="1"/>
  <c r="J173" i="11" a="1"/>
  <c r="L148" i="11" a="1"/>
  <c r="K140" i="11" a="1"/>
  <c r="L145" i="11" a="1"/>
  <c r="M207" i="11" a="1"/>
  <c r="J93" i="3" l="1"/>
  <c r="K267" i="6"/>
  <c r="K248" i="6"/>
  <c r="K183" i="6"/>
  <c r="K149" i="6"/>
  <c r="K117" i="6"/>
  <c r="K270" i="6"/>
  <c r="K265" i="6"/>
  <c r="K264" i="6"/>
  <c r="K245" i="6"/>
  <c r="K269" i="6"/>
  <c r="K266" i="6"/>
  <c r="K209" i="6"/>
  <c r="K272" i="6"/>
  <c r="K239" i="6"/>
  <c r="K207" i="6"/>
  <c r="K271" i="6"/>
  <c r="K238" i="6"/>
  <c r="K206" i="6"/>
  <c r="K173" i="6"/>
  <c r="K237" i="6"/>
  <c r="K236" i="6"/>
  <c r="K204" i="6"/>
  <c r="K171" i="6"/>
  <c r="K138" i="6"/>
  <c r="K105" i="6"/>
  <c r="K268" i="6"/>
  <c r="K235" i="6"/>
  <c r="K234" i="6"/>
  <c r="K233" i="6"/>
  <c r="K232" i="6"/>
  <c r="K260" i="6"/>
  <c r="K227" i="6"/>
  <c r="K226" i="6"/>
  <c r="K128" i="6"/>
  <c r="K257" i="6"/>
  <c r="K217" i="6"/>
  <c r="V211" i="8"/>
  <c r="Q211" i="8"/>
  <c r="R211" i="8"/>
  <c r="S211" i="8"/>
  <c r="T211" i="8"/>
  <c r="U211" i="8"/>
  <c r="K84" i="6"/>
  <c r="K50" i="6"/>
  <c r="K16" i="6"/>
  <c r="K215" i="6"/>
  <c r="K247" i="6"/>
  <c r="K214" i="6"/>
  <c r="K182" i="6"/>
  <c r="K148" i="6"/>
  <c r="K116" i="6"/>
  <c r="K83" i="6"/>
  <c r="K49" i="6"/>
  <c r="K15" i="6"/>
  <c r="K246" i="6"/>
  <c r="K213" i="6"/>
  <c r="K181" i="6"/>
  <c r="K147" i="6"/>
  <c r="K115" i="6"/>
  <c r="K82" i="6"/>
  <c r="K47" i="6"/>
  <c r="K14" i="6"/>
  <c r="K114" i="6"/>
  <c r="K81" i="6"/>
  <c r="K46" i="6"/>
  <c r="K13" i="6"/>
  <c r="K212" i="6"/>
  <c r="K180" i="6"/>
  <c r="K146" i="6"/>
  <c r="K244" i="6"/>
  <c r="K211" i="6"/>
  <c r="K178" i="6"/>
  <c r="K145" i="6"/>
  <c r="K113" i="6"/>
  <c r="K79" i="6"/>
  <c r="K45" i="6"/>
  <c r="K12" i="6"/>
  <c r="K243" i="6"/>
  <c r="K210" i="6"/>
  <c r="K177" i="6"/>
  <c r="K144" i="6"/>
  <c r="K112" i="6"/>
  <c r="K78" i="6"/>
  <c r="K44" i="6"/>
  <c r="K11" i="6"/>
  <c r="K242" i="6"/>
  <c r="K176" i="6"/>
  <c r="K143" i="6"/>
  <c r="K111" i="6"/>
  <c r="K77" i="6"/>
  <c r="K43" i="6"/>
  <c r="K10" i="6"/>
  <c r="K240" i="6"/>
  <c r="K208" i="6"/>
  <c r="K175" i="6"/>
  <c r="K142" i="6"/>
  <c r="K109" i="6"/>
  <c r="K76" i="6"/>
  <c r="K42" i="6"/>
  <c r="K9" i="6"/>
  <c r="K174" i="6"/>
  <c r="K141" i="6"/>
  <c r="K108" i="6"/>
  <c r="K75" i="6"/>
  <c r="K41" i="6"/>
  <c r="K8" i="6"/>
  <c r="K140" i="6"/>
  <c r="K107" i="6"/>
  <c r="K74" i="6"/>
  <c r="K40" i="6"/>
  <c r="K7" i="6"/>
  <c r="K205" i="6"/>
  <c r="K172" i="6"/>
  <c r="K139" i="6"/>
  <c r="K106" i="6"/>
  <c r="K73" i="6"/>
  <c r="K39" i="6"/>
  <c r="K6" i="6"/>
  <c r="K72" i="6"/>
  <c r="K38" i="6"/>
  <c r="K5" i="6"/>
  <c r="K203" i="6"/>
  <c r="K170" i="6"/>
  <c r="K137" i="6"/>
  <c r="K104" i="6"/>
  <c r="K71" i="6"/>
  <c r="K37" i="6"/>
  <c r="K4" i="6"/>
  <c r="K202" i="6"/>
  <c r="K169" i="6"/>
  <c r="K136" i="6"/>
  <c r="K103" i="6"/>
  <c r="K70" i="6"/>
  <c r="K36" i="6"/>
  <c r="K3" i="6"/>
  <c r="K201" i="6"/>
  <c r="K168" i="6"/>
  <c r="K135" i="6"/>
  <c r="K102" i="6"/>
  <c r="K69" i="6"/>
  <c r="K35" i="6"/>
  <c r="K2" i="6"/>
  <c r="K167" i="6"/>
  <c r="K134" i="6"/>
  <c r="K101" i="6"/>
  <c r="K68" i="6"/>
  <c r="K34" i="6"/>
  <c r="K200" i="6"/>
  <c r="K231" i="6"/>
  <c r="K199" i="6"/>
  <c r="K166" i="6"/>
  <c r="K133" i="6"/>
  <c r="K100" i="6"/>
  <c r="K67" i="6"/>
  <c r="K33" i="6"/>
  <c r="K230" i="6"/>
  <c r="K198" i="6"/>
  <c r="K164" i="6"/>
  <c r="K132" i="6"/>
  <c r="K99" i="6"/>
  <c r="K66" i="6"/>
  <c r="K32" i="6"/>
  <c r="K229" i="6"/>
  <c r="K197" i="6"/>
  <c r="K163" i="6"/>
  <c r="K131" i="6"/>
  <c r="K98" i="6"/>
  <c r="K65" i="6"/>
  <c r="K31" i="6"/>
  <c r="K228" i="6"/>
  <c r="K196" i="6"/>
  <c r="K162" i="6"/>
  <c r="K130" i="6"/>
  <c r="K97" i="6"/>
  <c r="K64" i="6"/>
  <c r="K30" i="6"/>
  <c r="K195" i="6"/>
  <c r="K161" i="6"/>
  <c r="K129" i="6"/>
  <c r="K96" i="6"/>
  <c r="K63" i="6"/>
  <c r="K29" i="6"/>
  <c r="K194" i="6"/>
  <c r="K160" i="6"/>
  <c r="K95" i="6"/>
  <c r="K62" i="6"/>
  <c r="K27" i="6"/>
  <c r="K159" i="6"/>
  <c r="K127" i="6"/>
  <c r="K94" i="6"/>
  <c r="K61" i="6"/>
  <c r="K26" i="6"/>
  <c r="K224" i="6"/>
  <c r="K192" i="6"/>
  <c r="K158" i="6"/>
  <c r="K126" i="6"/>
  <c r="K93" i="6"/>
  <c r="K60" i="6"/>
  <c r="K25" i="6"/>
  <c r="K258" i="6"/>
  <c r="K225" i="6"/>
  <c r="K256" i="6"/>
  <c r="K223" i="6"/>
  <c r="K191" i="6"/>
  <c r="K157" i="6"/>
  <c r="K125" i="6"/>
  <c r="K92" i="6"/>
  <c r="K59" i="6"/>
  <c r="K24" i="6"/>
  <c r="K261" i="6"/>
  <c r="K259" i="6"/>
  <c r="K193" i="6"/>
  <c r="K255" i="6"/>
  <c r="K222" i="6"/>
  <c r="K190" i="6"/>
  <c r="K156" i="6"/>
  <c r="K124" i="6"/>
  <c r="K91" i="6"/>
  <c r="K58" i="6"/>
  <c r="K23" i="6"/>
  <c r="K254" i="6"/>
  <c r="K221" i="6"/>
  <c r="K189" i="6"/>
  <c r="K155" i="6"/>
  <c r="K123" i="6"/>
  <c r="K90" i="6"/>
  <c r="K57" i="6"/>
  <c r="K22" i="6"/>
  <c r="K253" i="6"/>
  <c r="K220" i="6"/>
  <c r="K188" i="6"/>
  <c r="K154" i="6"/>
  <c r="K122" i="6"/>
  <c r="K89" i="6"/>
  <c r="K56" i="6"/>
  <c r="K21" i="6"/>
  <c r="K252" i="6"/>
  <c r="K219" i="6"/>
  <c r="K187" i="6"/>
  <c r="K153" i="6"/>
  <c r="K121" i="6"/>
  <c r="K88" i="6"/>
  <c r="K54" i="6"/>
  <c r="K20" i="6"/>
  <c r="K251" i="6"/>
  <c r="K218" i="6"/>
  <c r="K186" i="6"/>
  <c r="K152" i="6"/>
  <c r="K120" i="6"/>
  <c r="K87" i="6"/>
  <c r="K53" i="6"/>
  <c r="K19" i="6"/>
  <c r="K185" i="6"/>
  <c r="K151" i="6"/>
  <c r="K119" i="6"/>
  <c r="K86" i="6"/>
  <c r="K52" i="6"/>
  <c r="K18" i="6"/>
  <c r="K250" i="6"/>
  <c r="K249" i="6"/>
  <c r="K216" i="6"/>
  <c r="K184" i="6"/>
  <c r="K150" i="6"/>
  <c r="K118" i="6"/>
  <c r="K85" i="6"/>
  <c r="K51" i="6"/>
  <c r="K17" i="6"/>
  <c r="C75" i="3"/>
  <c r="T57" i="3"/>
  <c r="D75" i="3"/>
  <c r="Q75" i="3"/>
  <c r="R93" i="3"/>
  <c r="G21" i="3"/>
  <c r="T39" i="3"/>
  <c r="E93" i="3"/>
  <c r="L75" i="3"/>
  <c r="C93" i="3"/>
  <c r="M75" i="3"/>
  <c r="O93" i="3"/>
  <c r="G93" i="3"/>
  <c r="I75" i="3"/>
  <c r="K93" i="3"/>
  <c r="N39" i="3"/>
  <c r="S93" i="3"/>
  <c r="L39" i="3"/>
  <c r="K39" i="3"/>
  <c r="L57" i="3"/>
  <c r="F57" i="3"/>
  <c r="C57" i="3"/>
  <c r="K75" i="3"/>
  <c r="U39" i="3"/>
  <c r="U75" i="3"/>
  <c r="Q93" i="3"/>
  <c r="N93" i="3"/>
  <c r="S75" i="3"/>
  <c r="Q57" i="3"/>
  <c r="L93" i="3"/>
  <c r="J75" i="3"/>
  <c r="G39" i="3"/>
  <c r="T21" i="3"/>
  <c r="R21" i="3"/>
  <c r="E21" i="3"/>
  <c r="K21" i="3"/>
  <c r="K57" i="3"/>
  <c r="R75" i="3"/>
  <c r="S57" i="3"/>
  <c r="G57" i="3"/>
  <c r="D39" i="3"/>
  <c r="J57" i="3"/>
  <c r="S39" i="3"/>
  <c r="O75" i="3"/>
  <c r="E39" i="3"/>
  <c r="T75" i="3"/>
  <c r="R57" i="3"/>
  <c r="E75" i="3"/>
  <c r="L21" i="3"/>
  <c r="O39" i="3"/>
  <c r="M93" i="3"/>
  <c r="M21" i="3"/>
  <c r="T93" i="3"/>
  <c r="N75" i="3"/>
  <c r="U93" i="3"/>
  <c r="C39" i="3"/>
  <c r="I57" i="3"/>
  <c r="U57" i="3"/>
  <c r="E57" i="3"/>
  <c r="F75" i="3"/>
  <c r="Q21" i="3"/>
  <c r="I21" i="3"/>
  <c r="F39" i="3"/>
  <c r="Q39" i="3"/>
  <c r="G75" i="3"/>
  <c r="S21" i="3"/>
  <c r="C21" i="3"/>
  <c r="U21" i="3"/>
  <c r="F21" i="3"/>
  <c r="J39" i="3"/>
  <c r="M39" i="3"/>
  <c r="D93" i="3"/>
  <c r="I93" i="3"/>
  <c r="O21" i="3"/>
  <c r="N57" i="3"/>
  <c r="F93" i="3"/>
  <c r="N21" i="3"/>
  <c r="O57" i="3"/>
  <c r="R39" i="3"/>
  <c r="D21" i="3"/>
  <c r="D57" i="3"/>
  <c r="J125" i="11"/>
  <c r="J183" i="11"/>
  <c r="L195" i="11"/>
  <c r="J162" i="11"/>
  <c r="J128" i="11"/>
  <c r="K169" i="11"/>
  <c r="K129" i="11"/>
  <c r="K197" i="11"/>
  <c r="L216" i="11"/>
  <c r="L208" i="11"/>
  <c r="N135" i="11"/>
  <c r="N136" i="11"/>
  <c r="N113" i="11"/>
  <c r="M151" i="11"/>
  <c r="O140" i="11"/>
  <c r="O148" i="11"/>
  <c r="K158" i="11"/>
  <c r="O149" i="11"/>
  <c r="J163" i="11"/>
  <c r="O161" i="11"/>
  <c r="M190" i="11"/>
  <c r="M207" i="11"/>
  <c r="O113" i="11"/>
  <c r="J168" i="11"/>
  <c r="M168" i="11"/>
  <c r="N168" i="11"/>
  <c r="O168" i="11"/>
  <c r="L170" i="11"/>
  <c r="M170" i="11"/>
  <c r="N170" i="11"/>
  <c r="J192" i="11"/>
  <c r="M203" i="11"/>
  <c r="O112" i="11"/>
  <c r="J186" i="11"/>
  <c r="J112" i="11"/>
  <c r="J215" i="11"/>
  <c r="K137" i="11"/>
  <c r="K133" i="11"/>
  <c r="L184" i="11"/>
  <c r="L106" i="11"/>
  <c r="L151" i="11"/>
  <c r="N204" i="11"/>
  <c r="N156" i="11"/>
  <c r="M216" i="11"/>
  <c r="M188" i="11"/>
  <c r="M143" i="11"/>
  <c r="O209" i="11"/>
  <c r="O111" i="11"/>
  <c r="L168" i="11"/>
  <c r="J180" i="11"/>
  <c r="M189" i="11"/>
  <c r="L116" i="11"/>
  <c r="J202" i="11"/>
  <c r="O134" i="11"/>
  <c r="K122" i="11"/>
  <c r="J154" i="11"/>
  <c r="J208" i="11"/>
  <c r="K206" i="11"/>
  <c r="K123" i="11"/>
  <c r="L152" i="11"/>
  <c r="L143" i="11"/>
  <c r="N172" i="11"/>
  <c r="N148" i="11"/>
  <c r="M184" i="11"/>
  <c r="M131" i="11"/>
  <c r="M117" i="11"/>
  <c r="O177" i="11"/>
  <c r="O153" i="11"/>
  <c r="O163" i="11"/>
  <c r="O117" i="11"/>
  <c r="M142" i="11"/>
  <c r="O142" i="11"/>
  <c r="M110" i="11"/>
  <c r="O110" i="11"/>
  <c r="L110" i="11"/>
  <c r="J151" i="11"/>
  <c r="N139" i="11"/>
  <c r="O139" i="11"/>
  <c r="J122" i="11"/>
  <c r="J197" i="11"/>
  <c r="K174" i="11"/>
  <c r="K121" i="11"/>
  <c r="L189" i="11"/>
  <c r="L205" i="11"/>
  <c r="L190" i="11"/>
  <c r="N140" i="11"/>
  <c r="N200" i="11"/>
  <c r="M152" i="11"/>
  <c r="M126" i="11"/>
  <c r="M113" i="11"/>
  <c r="O145" i="11"/>
  <c r="O169" i="11"/>
  <c r="O214" i="11"/>
  <c r="O193" i="11"/>
  <c r="O121" i="11"/>
  <c r="K210" i="11"/>
  <c r="L210" i="11"/>
  <c r="M210" i="11"/>
  <c r="J140" i="11"/>
  <c r="K140" i="11"/>
  <c r="L183" i="11"/>
  <c r="J143" i="11"/>
  <c r="K143" i="11"/>
  <c r="J191" i="11"/>
  <c r="J170" i="11"/>
  <c r="J133" i="11"/>
  <c r="K142" i="11"/>
  <c r="K146" i="11"/>
  <c r="L157" i="11"/>
  <c r="L139" i="11"/>
  <c r="L207" i="11"/>
  <c r="N209" i="11"/>
  <c r="N180" i="11"/>
  <c r="M104" i="11"/>
  <c r="O141" i="11"/>
  <c r="O171" i="11"/>
  <c r="J113" i="11"/>
  <c r="K113" i="11"/>
  <c r="L113" i="11"/>
  <c r="M108" i="11"/>
  <c r="N108" i="11"/>
  <c r="O108" i="11"/>
  <c r="M213" i="11"/>
  <c r="M166" i="11"/>
  <c r="J148" i="11"/>
  <c r="J159" i="11"/>
  <c r="J114" i="11"/>
  <c r="J177" i="11"/>
  <c r="K211" i="11"/>
  <c r="K124" i="11"/>
  <c r="K138" i="11"/>
  <c r="L125" i="11"/>
  <c r="L200" i="11"/>
  <c r="N177" i="11"/>
  <c r="N149" i="11"/>
  <c r="N161" i="11"/>
  <c r="M157" i="11"/>
  <c r="M156" i="11"/>
  <c r="O182" i="11"/>
  <c r="O166" i="11"/>
  <c r="O183" i="11"/>
  <c r="O154" i="11"/>
  <c r="J146" i="11"/>
  <c r="K186" i="11"/>
  <c r="O162" i="11"/>
  <c r="J127" i="11"/>
  <c r="J110" i="11"/>
  <c r="J207" i="11"/>
  <c r="K179" i="11"/>
  <c r="K108" i="11"/>
  <c r="K207" i="11"/>
  <c r="L194" i="11"/>
  <c r="N145" i="11"/>
  <c r="N153" i="11"/>
  <c r="M125" i="11"/>
  <c r="M148" i="11"/>
  <c r="O150" i="11"/>
  <c r="O178" i="11"/>
  <c r="O158" i="11"/>
  <c r="O203" i="11"/>
  <c r="L114" i="11"/>
  <c r="M114" i="11"/>
  <c r="N114" i="11"/>
  <c r="O114" i="11"/>
  <c r="J155" i="11"/>
  <c r="K155" i="11"/>
  <c r="L155" i="11"/>
  <c r="M155" i="11"/>
  <c r="M107" i="11"/>
  <c r="N107" i="11"/>
  <c r="L107" i="11"/>
  <c r="O107" i="11"/>
  <c r="M171" i="11"/>
  <c r="M195" i="11"/>
  <c r="N195" i="11"/>
  <c r="J196" i="11"/>
  <c r="J190" i="11"/>
  <c r="K147" i="11"/>
  <c r="K190" i="11"/>
  <c r="L162" i="11"/>
  <c r="L188" i="11"/>
  <c r="N201" i="11"/>
  <c r="N214" i="11"/>
  <c r="N166" i="11"/>
  <c r="M194" i="11"/>
  <c r="M175" i="11"/>
  <c r="O187" i="11"/>
  <c r="O143" i="11"/>
  <c r="K185" i="11"/>
  <c r="N205" i="11"/>
  <c r="J164" i="11"/>
  <c r="J200" i="11"/>
  <c r="K216" i="11"/>
  <c r="K200" i="11"/>
  <c r="L130" i="11"/>
  <c r="L131" i="11"/>
  <c r="N169" i="11"/>
  <c r="N182" i="11"/>
  <c r="N193" i="11"/>
  <c r="M162" i="11"/>
  <c r="M144" i="11"/>
  <c r="M200" i="11"/>
  <c r="O155" i="11"/>
  <c r="O198" i="11"/>
  <c r="K183" i="11"/>
  <c r="N183" i="11"/>
  <c r="K193" i="11"/>
  <c r="J132" i="11"/>
  <c r="J195" i="11"/>
  <c r="K203" i="11"/>
  <c r="K184" i="11"/>
  <c r="K134" i="11"/>
  <c r="L213" i="11"/>
  <c r="L199" i="11"/>
  <c r="L126" i="11"/>
  <c r="N137" i="11"/>
  <c r="N150" i="11"/>
  <c r="N178" i="11"/>
  <c r="N163" i="11"/>
  <c r="M130" i="11"/>
  <c r="M180" i="11"/>
  <c r="O123" i="11"/>
  <c r="K151" i="11"/>
  <c r="K118" i="11"/>
  <c r="L109" i="11"/>
  <c r="J201" i="11"/>
  <c r="J167" i="11"/>
  <c r="K171" i="11"/>
  <c r="K152" i="11"/>
  <c r="L181" i="11"/>
  <c r="L167" i="11"/>
  <c r="L104" i="11"/>
  <c r="N105" i="11"/>
  <c r="N187" i="11"/>
  <c r="N141" i="11"/>
  <c r="N210" i="11"/>
  <c r="M199" i="11"/>
  <c r="M183" i="11"/>
  <c r="O192" i="11"/>
  <c r="O104" i="11"/>
  <c r="O137" i="11"/>
  <c r="K156" i="11"/>
  <c r="J115" i="11"/>
  <c r="J104" i="11"/>
  <c r="J169" i="11"/>
  <c r="K139" i="11"/>
  <c r="K189" i="11"/>
  <c r="L149" i="11"/>
  <c r="L135" i="11"/>
  <c r="N155" i="11"/>
  <c r="N128" i="11"/>
  <c r="N203" i="11"/>
  <c r="O109" i="11"/>
  <c r="M167" i="11"/>
  <c r="M198" i="11"/>
  <c r="M193" i="11"/>
  <c r="O160" i="11"/>
  <c r="O156" i="11"/>
  <c r="J105" i="11"/>
  <c r="K105" i="11"/>
  <c r="O105" i="11"/>
  <c r="J156" i="11"/>
  <c r="J135" i="11"/>
  <c r="K135" i="11"/>
  <c r="J103" i="11"/>
  <c r="K103" i="11"/>
  <c r="L103" i="11"/>
  <c r="M103" i="11"/>
  <c r="N103" i="11"/>
  <c r="N165" i="11"/>
  <c r="N118" i="11"/>
  <c r="O144" i="11"/>
  <c r="J137" i="11"/>
  <c r="K107" i="11"/>
  <c r="K157" i="11"/>
  <c r="L117" i="11"/>
  <c r="L204" i="11"/>
  <c r="L175" i="11"/>
  <c r="N206" i="11"/>
  <c r="N123" i="11"/>
  <c r="K104" i="11"/>
  <c r="O122" i="11"/>
  <c r="M135" i="11"/>
  <c r="M136" i="11"/>
  <c r="O211" i="11"/>
  <c r="O128" i="11"/>
  <c r="M124" i="11"/>
  <c r="N124" i="11"/>
  <c r="O124" i="11"/>
  <c r="O213" i="11"/>
  <c r="M161" i="11"/>
  <c r="J153" i="11"/>
  <c r="J206" i="11"/>
  <c r="K125" i="11"/>
  <c r="K212" i="11"/>
  <c r="L172" i="11"/>
  <c r="L144" i="11"/>
  <c r="N174" i="11"/>
  <c r="N192" i="11"/>
  <c r="K116" i="11"/>
  <c r="O173" i="11"/>
  <c r="M204" i="11"/>
  <c r="O179" i="11"/>
  <c r="O197" i="11"/>
  <c r="J150" i="11"/>
  <c r="K150" i="11"/>
  <c r="L150" i="11"/>
  <c r="L132" i="11"/>
  <c r="N132" i="11"/>
  <c r="O132" i="11"/>
  <c r="M134" i="11"/>
  <c r="L173" i="11"/>
  <c r="O206" i="11"/>
  <c r="J174" i="11"/>
  <c r="J124" i="11"/>
  <c r="K208" i="11"/>
  <c r="K194" i="11"/>
  <c r="K106" i="11"/>
  <c r="L186" i="11"/>
  <c r="L140" i="11"/>
  <c r="N142" i="11"/>
  <c r="N160" i="11"/>
  <c r="J130" i="11"/>
  <c r="O188" i="11"/>
  <c r="M172" i="11"/>
  <c r="O147" i="11"/>
  <c r="O165" i="11"/>
  <c r="L161" i="11"/>
  <c r="J111" i="11"/>
  <c r="K111" i="11"/>
  <c r="L111" i="11"/>
  <c r="M111" i="11"/>
  <c r="N111" i="11"/>
  <c r="N152" i="11"/>
  <c r="M186" i="11"/>
  <c r="J193" i="11"/>
  <c r="J142" i="11"/>
  <c r="J108" i="11"/>
  <c r="K176" i="11"/>
  <c r="K162" i="11"/>
  <c r="L154" i="11"/>
  <c r="L209" i="11"/>
  <c r="N110" i="11"/>
  <c r="N197" i="11"/>
  <c r="N215" i="11"/>
  <c r="L148" i="11"/>
  <c r="M140" i="11"/>
  <c r="O115" i="11"/>
  <c r="O133" i="11"/>
  <c r="O146" i="11"/>
  <c r="O164" i="11"/>
  <c r="L129" i="11"/>
  <c r="M129" i="11"/>
  <c r="N129" i="11"/>
  <c r="O129" i="11"/>
  <c r="J160" i="11"/>
  <c r="K160" i="11"/>
  <c r="L160" i="11"/>
  <c r="M160" i="11"/>
  <c r="N127" i="11"/>
  <c r="O127" i="11"/>
  <c r="K180" i="11"/>
  <c r="L180" i="11"/>
  <c r="N171" i="11"/>
  <c r="O205" i="11"/>
  <c r="J161" i="11"/>
  <c r="J211" i="11"/>
  <c r="K144" i="11"/>
  <c r="K130" i="11"/>
  <c r="K205" i="11"/>
  <c r="L122" i="11"/>
  <c r="L177" i="11"/>
  <c r="N202" i="11"/>
  <c r="N154" i="11"/>
  <c r="K153" i="11"/>
  <c r="M191" i="11"/>
  <c r="M209" i="11"/>
  <c r="M149" i="11"/>
  <c r="O202" i="11"/>
  <c r="O208" i="11"/>
  <c r="J120" i="11"/>
  <c r="K120" i="11"/>
  <c r="L120" i="11"/>
  <c r="M120" i="11"/>
  <c r="N120" i="11"/>
  <c r="L185" i="11"/>
  <c r="J129" i="11"/>
  <c r="J179" i="11"/>
  <c r="K112" i="11"/>
  <c r="K199" i="11"/>
  <c r="L214" i="11"/>
  <c r="L198" i="11"/>
  <c r="N211" i="11"/>
  <c r="N207" i="11"/>
  <c r="N133" i="11"/>
  <c r="J158" i="11"/>
  <c r="M159" i="11"/>
  <c r="M177" i="11"/>
  <c r="O216" i="11"/>
  <c r="O170" i="11"/>
  <c r="O201" i="11"/>
  <c r="L166" i="11"/>
  <c r="L193" i="11"/>
  <c r="M109" i="11"/>
  <c r="J147" i="11"/>
  <c r="K167" i="11"/>
  <c r="L191" i="11"/>
  <c r="L182" i="11"/>
  <c r="L136" i="11"/>
  <c r="N179" i="11"/>
  <c r="N175" i="11"/>
  <c r="N121" i="11"/>
  <c r="K168" i="11"/>
  <c r="M127" i="11"/>
  <c r="M145" i="11"/>
  <c r="O184" i="11"/>
  <c r="O138" i="11"/>
  <c r="O191" i="11"/>
  <c r="O210" i="11"/>
  <c r="M174" i="11"/>
  <c r="O174" i="11"/>
  <c r="L203" i="11"/>
  <c r="K115" i="11"/>
  <c r="J198" i="11"/>
  <c r="J216" i="11"/>
  <c r="J212" i="11"/>
  <c r="K213" i="11"/>
  <c r="K204" i="11"/>
  <c r="K188" i="11"/>
  <c r="L159" i="11"/>
  <c r="L187" i="11"/>
  <c r="L178" i="11"/>
  <c r="N147" i="11"/>
  <c r="N212" i="11"/>
  <c r="M214" i="11"/>
  <c r="M178" i="11"/>
  <c r="O152" i="11"/>
  <c r="O207" i="11"/>
  <c r="O181" i="11"/>
  <c r="J119" i="11"/>
  <c r="M153" i="11"/>
  <c r="J123" i="11"/>
  <c r="O118" i="11"/>
  <c r="J166" i="11"/>
  <c r="J184" i="11"/>
  <c r="J144" i="11"/>
  <c r="K181" i="11"/>
  <c r="K209" i="11"/>
  <c r="K172" i="11"/>
  <c r="L127" i="11"/>
  <c r="L192" i="11"/>
  <c r="L141" i="11"/>
  <c r="N115" i="11"/>
  <c r="N190" i="11"/>
  <c r="N146" i="11"/>
  <c r="M196" i="11"/>
  <c r="M182" i="11"/>
  <c r="M141" i="11"/>
  <c r="O120" i="11"/>
  <c r="O175" i="11"/>
  <c r="O159" i="11"/>
  <c r="L171" i="11"/>
  <c r="K145" i="11"/>
  <c r="L145" i="11"/>
  <c r="J109" i="11"/>
  <c r="M122" i="11"/>
  <c r="J134" i="11"/>
  <c r="J152" i="11"/>
  <c r="J106" i="11"/>
  <c r="K149" i="11"/>
  <c r="K177" i="11"/>
  <c r="K131" i="11"/>
  <c r="L202" i="11"/>
  <c r="L128" i="11"/>
  <c r="N188" i="11"/>
  <c r="N191" i="11"/>
  <c r="M164" i="11"/>
  <c r="M150" i="11"/>
  <c r="M128" i="11"/>
  <c r="O212" i="11"/>
  <c r="O119" i="11"/>
  <c r="J121" i="11"/>
  <c r="M173" i="11"/>
  <c r="J189" i="11"/>
  <c r="J205" i="11"/>
  <c r="K117" i="11"/>
  <c r="K214" i="11"/>
  <c r="K126" i="11"/>
  <c r="L201" i="11"/>
  <c r="L212" i="11"/>
  <c r="L215" i="11"/>
  <c r="N216" i="11"/>
  <c r="N131" i="11"/>
  <c r="N181" i="11"/>
  <c r="M132" i="11"/>
  <c r="M187" i="11"/>
  <c r="M215" i="11"/>
  <c r="O189" i="11"/>
  <c r="O180" i="11"/>
  <c r="O151" i="11"/>
  <c r="K148" i="11"/>
  <c r="L156" i="11"/>
  <c r="O195" i="11"/>
  <c r="J203" i="11"/>
  <c r="J194" i="11"/>
  <c r="J188" i="11"/>
  <c r="K182" i="11"/>
  <c r="K175" i="11"/>
  <c r="L169" i="11"/>
  <c r="L176" i="11"/>
  <c r="L133" i="11"/>
  <c r="N189" i="11"/>
  <c r="N126" i="11"/>
  <c r="N159" i="11"/>
  <c r="M192" i="11"/>
  <c r="M154" i="11"/>
  <c r="O157" i="11"/>
  <c r="O185" i="11"/>
  <c r="M176" i="11"/>
  <c r="N176" i="11"/>
  <c r="O176" i="11"/>
  <c r="K173" i="11"/>
  <c r="K161" i="11"/>
  <c r="M206" i="11"/>
  <c r="J171" i="11"/>
  <c r="J199" i="11"/>
  <c r="J172" i="11"/>
  <c r="K191" i="11"/>
  <c r="K192" i="11"/>
  <c r="K198" i="11"/>
  <c r="L137" i="11"/>
  <c r="L124" i="11"/>
  <c r="L123" i="11"/>
  <c r="N157" i="11"/>
  <c r="N104" i="11"/>
  <c r="N138" i="11"/>
  <c r="N109" i="11"/>
  <c r="M201" i="11"/>
  <c r="M197" i="11"/>
  <c r="M133" i="11"/>
  <c r="O125" i="11"/>
  <c r="O190" i="11"/>
  <c r="O130" i="11"/>
  <c r="L158" i="11"/>
  <c r="M158" i="11"/>
  <c r="N158" i="11"/>
  <c r="J165" i="11"/>
  <c r="K165" i="11"/>
  <c r="L165" i="11"/>
  <c r="M165" i="11"/>
  <c r="K166" i="11"/>
  <c r="J139" i="11"/>
  <c r="J204" i="11"/>
  <c r="J131" i="11"/>
  <c r="K159" i="11"/>
  <c r="K202" i="11"/>
  <c r="K154" i="11"/>
  <c r="L105" i="11"/>
  <c r="L112" i="11"/>
  <c r="L121" i="11"/>
  <c r="N125" i="11"/>
  <c r="N119" i="11"/>
  <c r="N122" i="11"/>
  <c r="M169" i="11"/>
  <c r="M202" i="11"/>
  <c r="M123" i="11"/>
  <c r="O200" i="11"/>
  <c r="N213" i="11"/>
  <c r="M118" i="11"/>
  <c r="J118" i="11"/>
  <c r="L118" i="11"/>
  <c r="J107" i="11"/>
  <c r="J214" i="11"/>
  <c r="J126" i="11"/>
  <c r="K127" i="11"/>
  <c r="K170" i="11"/>
  <c r="K136" i="11"/>
  <c r="L206" i="11"/>
  <c r="L108" i="11"/>
  <c r="L197" i="11"/>
  <c r="N208" i="11"/>
  <c r="O126" i="11"/>
  <c r="M137" i="11"/>
  <c r="M212" i="11"/>
  <c r="M121" i="11"/>
  <c r="O199" i="11"/>
  <c r="M112" i="11"/>
  <c r="J116" i="11"/>
  <c r="J175" i="11"/>
  <c r="K114" i="11"/>
  <c r="K187" i="11"/>
  <c r="L174" i="11"/>
  <c r="L164" i="11"/>
  <c r="N194" i="11"/>
  <c r="N144" i="11"/>
  <c r="N151" i="11"/>
  <c r="N173" i="11"/>
  <c r="M105" i="11"/>
  <c r="M106" i="11"/>
  <c r="M146" i="11"/>
  <c r="O167" i="11"/>
  <c r="O215" i="11"/>
  <c r="J209" i="11"/>
  <c r="N134" i="11"/>
  <c r="J213" i="11"/>
  <c r="J136" i="11"/>
  <c r="K196" i="11"/>
  <c r="K110" i="11"/>
  <c r="K178" i="11"/>
  <c r="L142" i="11"/>
  <c r="L146" i="11"/>
  <c r="N162" i="11"/>
  <c r="N184" i="11"/>
  <c r="O186" i="11"/>
  <c r="M211" i="11"/>
  <c r="M181" i="11"/>
  <c r="O135" i="11"/>
  <c r="K163" i="11"/>
  <c r="L163" i="11"/>
  <c r="M163" i="11"/>
  <c r="N186" i="11"/>
  <c r="M116" i="11"/>
  <c r="N116" i="11"/>
  <c r="O116" i="11"/>
  <c r="J145" i="11"/>
  <c r="J138" i="11"/>
  <c r="J181" i="11"/>
  <c r="J185" i="11"/>
  <c r="J187" i="11"/>
  <c r="K164" i="11"/>
  <c r="K141" i="11"/>
  <c r="L211" i="11"/>
  <c r="L134" i="11"/>
  <c r="L138" i="11"/>
  <c r="N130" i="11"/>
  <c r="N164" i="11"/>
  <c r="N196" i="11"/>
  <c r="M179" i="11"/>
  <c r="M205" i="11"/>
  <c r="M138" i="11"/>
  <c r="O103" i="11"/>
  <c r="O136" i="11"/>
  <c r="O131" i="11"/>
  <c r="N112" i="11"/>
  <c r="K119" i="11"/>
  <c r="K109" i="11"/>
  <c r="J182" i="11"/>
  <c r="J157" i="11"/>
  <c r="J149" i="11"/>
  <c r="J176" i="11"/>
  <c r="J178" i="11"/>
  <c r="K132" i="11"/>
  <c r="K128" i="11"/>
  <c r="L179" i="11"/>
  <c r="L119" i="11"/>
  <c r="N199" i="11"/>
  <c r="N143" i="11"/>
  <c r="M147" i="11"/>
  <c r="M139" i="11"/>
  <c r="M119" i="11"/>
  <c r="O204" i="11"/>
  <c r="O196" i="11"/>
  <c r="L196" i="11"/>
  <c r="N185" i="11"/>
  <c r="N106" i="11"/>
  <c r="O106" i="11"/>
  <c r="J210" i="11"/>
  <c r="M185" i="11"/>
  <c r="J117" i="11"/>
  <c r="J173" i="11"/>
  <c r="J141" i="11"/>
  <c r="K201" i="11"/>
  <c r="K195" i="11"/>
  <c r="K215" i="11"/>
  <c r="L147" i="11"/>
  <c r="L115" i="11"/>
  <c r="N167" i="11"/>
  <c r="N198" i="11"/>
  <c r="N117" i="11"/>
  <c r="M115" i="11"/>
  <c r="M208" i="11"/>
  <c r="O172" i="11"/>
  <c r="O194" i="11"/>
  <c r="L153" i="11"/>
  <c r="F214" i="11" a="1"/>
  <c r="F214" i="11" s="1"/>
  <c r="F216" i="11" a="1"/>
  <c r="F216" i="11" s="1"/>
  <c r="F215" i="11" a="1"/>
  <c r="F215" i="11" s="1"/>
  <c r="F106" i="11" a="1"/>
  <c r="F106" i="11" s="1"/>
  <c r="F112" i="11" a="1"/>
  <c r="F112" i="11" s="1"/>
  <c r="F198" i="11" a="1"/>
  <c r="F198" i="11" s="1"/>
  <c r="F135" i="11" a="1"/>
  <c r="F135" i="11" s="1"/>
  <c r="F166" i="11" a="1"/>
  <c r="F166" i="11" s="1"/>
  <c r="F146" i="11" a="1"/>
  <c r="F146" i="11" s="1"/>
  <c r="F163" i="11" a="1"/>
  <c r="F163" i="11" s="1"/>
  <c r="F208" i="11" a="1"/>
  <c r="F208" i="11" s="1"/>
  <c r="F123" i="11" a="1"/>
  <c r="F123" i="11" s="1"/>
  <c r="F175" i="11" a="1"/>
  <c r="F175" i="11" s="1"/>
  <c r="F183" i="11" a="1"/>
  <c r="F183" i="11" s="1"/>
  <c r="F209" i="11" a="1"/>
  <c r="F209" i="11" s="1"/>
  <c r="F134" i="11" a="1"/>
  <c r="F134" i="11" s="1"/>
  <c r="F211" i="11" a="1"/>
  <c r="F211" i="11" s="1"/>
  <c r="F147" i="11" a="1"/>
  <c r="F147" i="11" s="1"/>
  <c r="F168" i="11" a="1"/>
  <c r="F168" i="11" s="1"/>
  <c r="F154" i="11" a="1"/>
  <c r="F154" i="11" s="1"/>
  <c r="F190" i="11" a="1"/>
  <c r="F190" i="11" s="1"/>
  <c r="F184" i="11" a="1"/>
  <c r="F184" i="11" s="1"/>
  <c r="F153" i="11" a="1"/>
  <c r="F153" i="11" s="1"/>
  <c r="F178" i="11" a="1"/>
  <c r="F178" i="11" s="1"/>
  <c r="F204" i="11" a="1"/>
  <c r="F204" i="11" s="1"/>
  <c r="F207" i="11" a="1"/>
  <c r="F207" i="11" s="1"/>
  <c r="F136" i="11" a="1"/>
  <c r="F136" i="11" s="1"/>
  <c r="F191" i="11" a="1"/>
  <c r="F191" i="11" s="1"/>
  <c r="F165" i="11" a="1"/>
  <c r="F165" i="11" s="1"/>
  <c r="F128" i="11" a="1"/>
  <c r="F128" i="11" s="1"/>
  <c r="F177" i="11" a="1"/>
  <c r="F177" i="11" s="1"/>
  <c r="F107" i="11" a="1"/>
  <c r="F107" i="11" s="1"/>
  <c r="F164" i="11" a="1"/>
  <c r="F164" i="11" s="1"/>
  <c r="F176" i="11" a="1"/>
  <c r="F176" i="11" s="1"/>
  <c r="F132" i="11" a="1"/>
  <c r="F132" i="11" s="1"/>
  <c r="F159" i="11" a="1"/>
  <c r="F159" i="11" s="1"/>
  <c r="F187" i="11" a="1"/>
  <c r="F187" i="11" s="1"/>
  <c r="F151" i="11" a="1"/>
  <c r="F151" i="11" s="1"/>
  <c r="F200" i="11" a="1"/>
  <c r="F200" i="11" s="1"/>
  <c r="F118" i="11" a="1"/>
  <c r="F118" i="11" s="1"/>
  <c r="F185" i="11" a="1"/>
  <c r="F185" i="11" s="1"/>
  <c r="F131" i="11" a="1"/>
  <c r="F131" i="11" s="1"/>
  <c r="F144" i="11" a="1"/>
  <c r="F144" i="11" s="1"/>
  <c r="F130" i="11" a="1"/>
  <c r="F130" i="11" s="1"/>
  <c r="F179" i="11" a="1"/>
  <c r="F179" i="11" s="1"/>
  <c r="F145" i="11" a="1"/>
  <c r="F145" i="11" s="1"/>
  <c r="F152" i="11" a="1"/>
  <c r="F152" i="11" s="1"/>
  <c r="F196" i="11" a="1"/>
  <c r="F196" i="11" s="1"/>
  <c r="F213" i="11" a="1"/>
  <c r="F213" i="11" s="1"/>
  <c r="F210" i="11" a="1"/>
  <c r="F210" i="11" s="1"/>
  <c r="F158" i="11" a="1"/>
  <c r="F158" i="11" s="1"/>
  <c r="F199" i="11" a="1"/>
  <c r="F199" i="11" s="1"/>
  <c r="F156" i="11" a="1"/>
  <c r="F156" i="11" s="1"/>
  <c r="F150" i="11" a="1"/>
  <c r="F150" i="11" s="1"/>
  <c r="F133" i="11" a="1"/>
  <c r="F133" i="11" s="1"/>
  <c r="F110" i="11" a="1"/>
  <c r="F110" i="11" s="1"/>
  <c r="F125" i="11" a="1"/>
  <c r="F125" i="11" s="1"/>
  <c r="F167" i="11" a="1"/>
  <c r="F167" i="11" s="1"/>
  <c r="F194" i="11" a="1"/>
  <c r="F194" i="11" s="1"/>
  <c r="F192" i="11" a="1"/>
  <c r="F192" i="11" s="1"/>
  <c r="F181" i="11" a="1"/>
  <c r="F181" i="11" s="1"/>
  <c r="F203" i="11" a="1"/>
  <c r="F203" i="11" s="1"/>
  <c r="F212" i="11" a="1"/>
  <c r="F212" i="11" s="1"/>
  <c r="F162" i="11" a="1"/>
  <c r="F162" i="11" s="1"/>
  <c r="F137" i="11" a="1"/>
  <c r="F137" i="11" s="1"/>
  <c r="F143" i="11" a="1"/>
  <c r="F143" i="11" s="1"/>
  <c r="F157" i="11" a="1"/>
  <c r="F157" i="11" s="1"/>
  <c r="F169" i="11" a="1"/>
  <c r="F169" i="11" s="1"/>
  <c r="F140" i="11" a="1"/>
  <c r="F140" i="11" s="1"/>
  <c r="F161" i="11" a="1"/>
  <c r="F161" i="11" s="1"/>
  <c r="F126" i="11" a="1"/>
  <c r="F126" i="11" s="1"/>
  <c r="F180" i="11" a="1"/>
  <c r="F180" i="11" s="1"/>
  <c r="F124" i="11" a="1"/>
  <c r="F124" i="11" s="1"/>
  <c r="F105" i="11" a="1"/>
  <c r="F105" i="11" s="1"/>
  <c r="F155" i="11" a="1"/>
  <c r="F155" i="11" s="1"/>
  <c r="F113" i="11" a="1"/>
  <c r="F113" i="11" s="1"/>
  <c r="F114" i="11" a="1"/>
  <c r="F114" i="11" s="1"/>
  <c r="F142" i="11" a="1"/>
  <c r="F142" i="11" s="1"/>
  <c r="F193" i="11" a="1"/>
  <c r="F193" i="11" s="1"/>
  <c r="F122" i="11" a="1"/>
  <c r="F122" i="11" s="1"/>
  <c r="F139" i="11" a="1"/>
  <c r="F139" i="11" s="1"/>
  <c r="F182" i="11" a="1"/>
  <c r="F182" i="11" s="1"/>
  <c r="F141" i="11" a="1"/>
  <c r="F141" i="11" s="1"/>
  <c r="F197" i="11" a="1"/>
  <c r="F197" i="11" s="1"/>
  <c r="F127" i="11" a="1"/>
  <c r="F127" i="11" s="1"/>
  <c r="F149" i="11" a="1"/>
  <c r="F149" i="11" s="1"/>
  <c r="F171" i="11" a="1"/>
  <c r="F171" i="11" s="1"/>
  <c r="F104" i="11" a="1"/>
  <c r="F104" i="11" s="1"/>
  <c r="F108" i="11" a="1"/>
  <c r="F108" i="11" s="1"/>
  <c r="F148" i="11" a="1"/>
  <c r="F148" i="11" s="1"/>
  <c r="F109" i="11" a="1"/>
  <c r="F109" i="11" s="1"/>
  <c r="F138" i="11" a="1"/>
  <c r="F138" i="11" s="1"/>
  <c r="F206" i="11" a="1"/>
  <c r="F206" i="11" s="1"/>
  <c r="F160" i="11" a="1"/>
  <c r="F160" i="11" s="1"/>
  <c r="F189" i="11" a="1"/>
  <c r="F189" i="11" s="1"/>
  <c r="F116" i="11" a="1"/>
  <c r="F116" i="11" s="1"/>
  <c r="F195" i="11" a="1"/>
  <c r="F195" i="11" s="1"/>
  <c r="F115" i="11" a="1"/>
  <c r="F115" i="11" s="1"/>
  <c r="F201" i="11" a="1"/>
  <c r="F201" i="11" s="1"/>
  <c r="F205" i="11" a="1"/>
  <c r="F205" i="11" s="1"/>
  <c r="F202" i="11" a="1"/>
  <c r="F202" i="11" s="1"/>
  <c r="F120" i="11" a="1"/>
  <c r="F120" i="11" s="1"/>
  <c r="F186" i="11" a="1"/>
  <c r="F186" i="11" s="1"/>
  <c r="F119" i="11" a="1"/>
  <c r="F119" i="11" s="1"/>
  <c r="F174" i="11" a="1"/>
  <c r="F174" i="11" s="1"/>
  <c r="F129" i="11" a="1"/>
  <c r="F129" i="11" s="1"/>
  <c r="F103" i="11" a="1"/>
  <c r="F103" i="11" s="1"/>
  <c r="F121" i="11" a="1"/>
  <c r="F121" i="11" s="1"/>
  <c r="F170" i="11" a="1"/>
  <c r="F170" i="11" s="1"/>
  <c r="F117" i="11" a="1"/>
  <c r="F117" i="11" s="1"/>
  <c r="F188" i="11" a="1"/>
  <c r="F188" i="11" s="1"/>
  <c r="F173" i="11" a="1"/>
  <c r="F173" i="11" s="1"/>
  <c r="F172" i="11" a="1"/>
  <c r="F172" i="11" s="1"/>
  <c r="F111" i="11" a="1"/>
  <c r="F111" i="11" s="1"/>
  <c r="I267" i="6"/>
  <c r="I234" i="6"/>
  <c r="I265" i="6"/>
  <c r="I245" i="6"/>
  <c r="I268" i="6"/>
  <c r="I204" i="6"/>
  <c r="I172" i="6"/>
  <c r="I203" i="6"/>
  <c r="I171" i="6"/>
  <c r="I266" i="6"/>
  <c r="I233" i="6"/>
  <c r="I202" i="6"/>
  <c r="I170" i="6"/>
  <c r="I137" i="6"/>
  <c r="I232" i="6"/>
  <c r="I201" i="6"/>
  <c r="I231" i="6"/>
  <c r="I229" i="6"/>
  <c r="I228" i="6"/>
  <c r="I188" i="6"/>
  <c r="I251" i="6"/>
  <c r="I219" i="6"/>
  <c r="I187" i="6"/>
  <c r="I250" i="6"/>
  <c r="I218" i="6"/>
  <c r="I186" i="6"/>
  <c r="I153" i="6"/>
  <c r="I249" i="6"/>
  <c r="I217" i="6"/>
  <c r="I185" i="6"/>
  <c r="I152" i="6"/>
  <c r="I248" i="6"/>
  <c r="I216" i="6"/>
  <c r="I150" i="6"/>
  <c r="I246" i="6"/>
  <c r="I253" i="6"/>
  <c r="I220" i="6"/>
  <c r="I189" i="6"/>
  <c r="I156" i="6"/>
  <c r="I124" i="6"/>
  <c r="I92" i="6"/>
  <c r="I59" i="6"/>
  <c r="I24" i="6"/>
  <c r="I252" i="6"/>
  <c r="I155" i="6"/>
  <c r="I123" i="6"/>
  <c r="I91" i="6"/>
  <c r="I58" i="6"/>
  <c r="I23" i="6"/>
  <c r="I154" i="6"/>
  <c r="I122" i="6"/>
  <c r="I90" i="6"/>
  <c r="I57" i="6"/>
  <c r="I22" i="6"/>
  <c r="I121" i="6"/>
  <c r="I89" i="6"/>
  <c r="I56" i="6"/>
  <c r="I21" i="6"/>
  <c r="I120" i="6"/>
  <c r="I88" i="6"/>
  <c r="I54" i="6"/>
  <c r="I20" i="6"/>
  <c r="I184" i="6"/>
  <c r="I151" i="6"/>
  <c r="I119" i="6"/>
  <c r="I87" i="6"/>
  <c r="I53" i="6"/>
  <c r="I19" i="6"/>
  <c r="I247" i="6"/>
  <c r="I215" i="6"/>
  <c r="I183" i="6"/>
  <c r="I118" i="6"/>
  <c r="I86" i="6"/>
  <c r="I52" i="6"/>
  <c r="I18" i="6"/>
  <c r="I214" i="6"/>
  <c r="I149" i="6"/>
  <c r="I117" i="6"/>
  <c r="I85" i="6"/>
  <c r="I51" i="6"/>
  <c r="I17" i="6"/>
  <c r="I182" i="6"/>
  <c r="I148" i="6"/>
  <c r="I116" i="6"/>
  <c r="I84" i="6"/>
  <c r="I50" i="6"/>
  <c r="I16" i="6"/>
  <c r="J244" i="6"/>
  <c r="I244" i="6"/>
  <c r="I212" i="6"/>
  <c r="J181" i="6"/>
  <c r="I181" i="6"/>
  <c r="I147" i="6"/>
  <c r="J115" i="6"/>
  <c r="I115" i="6"/>
  <c r="I83" i="6"/>
  <c r="I49" i="6"/>
  <c r="I15" i="6"/>
  <c r="J243" i="6"/>
  <c r="I243" i="6"/>
  <c r="I211" i="6"/>
  <c r="I180" i="6"/>
  <c r="I146" i="6"/>
  <c r="I114" i="6"/>
  <c r="I82" i="6"/>
  <c r="I47" i="6"/>
  <c r="I14" i="6"/>
  <c r="I242" i="6"/>
  <c r="I210" i="6"/>
  <c r="I178" i="6"/>
  <c r="I145" i="6"/>
  <c r="I113" i="6"/>
  <c r="I81" i="6"/>
  <c r="I46" i="6"/>
  <c r="I13" i="6"/>
  <c r="I272" i="6"/>
  <c r="I240" i="6"/>
  <c r="I209" i="6"/>
  <c r="I177" i="6"/>
  <c r="I144" i="6"/>
  <c r="I112" i="6"/>
  <c r="I79" i="6"/>
  <c r="I45" i="6"/>
  <c r="I12" i="6"/>
  <c r="I213" i="6"/>
  <c r="I271" i="6"/>
  <c r="J239" i="6"/>
  <c r="I239" i="6"/>
  <c r="I208" i="6"/>
  <c r="I176" i="6"/>
  <c r="I143" i="6"/>
  <c r="I111" i="6"/>
  <c r="I78" i="6"/>
  <c r="I44" i="6"/>
  <c r="I11" i="6"/>
  <c r="I270" i="6"/>
  <c r="I238" i="6"/>
  <c r="I207" i="6"/>
  <c r="I175" i="6"/>
  <c r="I142" i="6"/>
  <c r="I77" i="6"/>
  <c r="I43" i="6"/>
  <c r="I10" i="6"/>
  <c r="I237" i="6"/>
  <c r="I206" i="6"/>
  <c r="I174" i="6"/>
  <c r="I141" i="6"/>
  <c r="I109" i="6"/>
  <c r="I76" i="6"/>
  <c r="I42" i="6"/>
  <c r="I9" i="6"/>
  <c r="I269" i="6"/>
  <c r="I236" i="6"/>
  <c r="I205" i="6"/>
  <c r="I173" i="6"/>
  <c r="I140" i="6"/>
  <c r="I108" i="6"/>
  <c r="I75" i="6"/>
  <c r="I41" i="6"/>
  <c r="I8" i="6"/>
  <c r="I235" i="6"/>
  <c r="I139" i="6"/>
  <c r="I107" i="6"/>
  <c r="I74" i="6"/>
  <c r="I40" i="6"/>
  <c r="I7" i="6"/>
  <c r="I138" i="6"/>
  <c r="I106" i="6"/>
  <c r="I73" i="6"/>
  <c r="I39" i="6"/>
  <c r="I6" i="6"/>
  <c r="I105" i="6"/>
  <c r="I72" i="6"/>
  <c r="I38" i="6"/>
  <c r="I5" i="6"/>
  <c r="I169" i="6"/>
  <c r="I136" i="6"/>
  <c r="I104" i="6"/>
  <c r="I71" i="6"/>
  <c r="I37" i="6"/>
  <c r="I4" i="6"/>
  <c r="I264" i="6"/>
  <c r="I200" i="6"/>
  <c r="I168" i="6"/>
  <c r="I135" i="6"/>
  <c r="I103" i="6"/>
  <c r="I70" i="6"/>
  <c r="I36" i="6"/>
  <c r="I3" i="6"/>
  <c r="J263" i="6"/>
  <c r="I263" i="6"/>
  <c r="J230" i="6"/>
  <c r="I230" i="6"/>
  <c r="I199" i="6"/>
  <c r="I167" i="6"/>
  <c r="I134" i="6"/>
  <c r="I102" i="6"/>
  <c r="I69" i="6"/>
  <c r="I35" i="6"/>
  <c r="I2" i="6"/>
  <c r="J262" i="6"/>
  <c r="I262" i="6"/>
  <c r="I198" i="6"/>
  <c r="I166" i="6"/>
  <c r="I133" i="6"/>
  <c r="I101" i="6"/>
  <c r="I68" i="6"/>
  <c r="I34" i="6"/>
  <c r="I197" i="6"/>
  <c r="I164" i="6"/>
  <c r="I132" i="6"/>
  <c r="I100" i="6"/>
  <c r="I67" i="6"/>
  <c r="I33" i="6"/>
  <c r="J260" i="6"/>
  <c r="I260" i="6"/>
  <c r="J227" i="6"/>
  <c r="I227" i="6"/>
  <c r="I196" i="6"/>
  <c r="I163" i="6"/>
  <c r="I131" i="6"/>
  <c r="I99" i="6"/>
  <c r="I66" i="6"/>
  <c r="I32" i="6"/>
  <c r="J259" i="6"/>
  <c r="I259" i="6"/>
  <c r="J226" i="6"/>
  <c r="I226" i="6"/>
  <c r="J195" i="6"/>
  <c r="I195" i="6"/>
  <c r="J162" i="6"/>
  <c r="I162" i="6"/>
  <c r="I130" i="6"/>
  <c r="I98" i="6"/>
  <c r="I65" i="6"/>
  <c r="I31" i="6"/>
  <c r="I258" i="6"/>
  <c r="J225" i="6"/>
  <c r="I225" i="6"/>
  <c r="I194" i="6"/>
  <c r="I161" i="6"/>
  <c r="I129" i="6"/>
  <c r="I97" i="6"/>
  <c r="I64" i="6"/>
  <c r="I30" i="6"/>
  <c r="I257" i="6"/>
  <c r="I224" i="6"/>
  <c r="I193" i="6"/>
  <c r="I160" i="6"/>
  <c r="I128" i="6"/>
  <c r="I96" i="6"/>
  <c r="I63" i="6"/>
  <c r="I29" i="6"/>
  <c r="I256" i="6"/>
  <c r="I223" i="6"/>
  <c r="I192" i="6"/>
  <c r="I159" i="6"/>
  <c r="I127" i="6"/>
  <c r="I95" i="6"/>
  <c r="I62" i="6"/>
  <c r="I27" i="6"/>
  <c r="J261" i="6"/>
  <c r="I261" i="6"/>
  <c r="I255" i="6"/>
  <c r="J222" i="6"/>
  <c r="I222" i="6"/>
  <c r="I191" i="6"/>
  <c r="I158" i="6"/>
  <c r="I126" i="6"/>
  <c r="I94" i="6"/>
  <c r="I61" i="6"/>
  <c r="I26" i="6"/>
  <c r="I254" i="6"/>
  <c r="I221" i="6"/>
  <c r="I190" i="6"/>
  <c r="I157" i="6"/>
  <c r="I125" i="6"/>
  <c r="I93" i="6"/>
  <c r="I60" i="6"/>
  <c r="I25" i="6"/>
  <c r="J213" i="6"/>
  <c r="J182" i="6"/>
  <c r="J212" i="6"/>
  <c r="J147" i="6"/>
  <c r="J211" i="6"/>
  <c r="J242" i="6"/>
  <c r="J178" i="6"/>
  <c r="J271" i="6"/>
  <c r="J176" i="6"/>
  <c r="J238" i="6"/>
  <c r="J206" i="6"/>
  <c r="J174" i="6"/>
  <c r="J109" i="6"/>
  <c r="J136" i="6"/>
  <c r="J229" i="6"/>
  <c r="J228" i="6"/>
  <c r="J197" i="6"/>
  <c r="J164" i="6"/>
  <c r="J257" i="6"/>
  <c r="J127" i="6"/>
  <c r="J254" i="6"/>
  <c r="J253" i="6"/>
  <c r="J252" i="6"/>
  <c r="J250" i="6"/>
  <c r="J218" i="6"/>
  <c r="J185" i="6"/>
  <c r="J246" i="6"/>
  <c r="J214" i="6"/>
  <c r="J149" i="6"/>
  <c r="J117" i="6"/>
  <c r="J85" i="6"/>
  <c r="J51" i="6"/>
  <c r="J17" i="6"/>
  <c r="J245" i="6"/>
  <c r="J148" i="6"/>
  <c r="J116" i="6"/>
  <c r="J84" i="6"/>
  <c r="J50" i="6"/>
  <c r="J16" i="6"/>
  <c r="J83" i="6"/>
  <c r="J49" i="6"/>
  <c r="J15" i="6"/>
  <c r="J180" i="6"/>
  <c r="J146" i="6"/>
  <c r="J114" i="6"/>
  <c r="J82" i="6"/>
  <c r="J47" i="6"/>
  <c r="J14" i="6"/>
  <c r="J145" i="6"/>
  <c r="J113" i="6"/>
  <c r="J81" i="6"/>
  <c r="J46" i="6"/>
  <c r="J13" i="6"/>
  <c r="J210" i="6"/>
  <c r="J272" i="6"/>
  <c r="J240" i="6"/>
  <c r="J209" i="6"/>
  <c r="J177" i="6"/>
  <c r="J144" i="6"/>
  <c r="J112" i="6"/>
  <c r="J79" i="6"/>
  <c r="J45" i="6"/>
  <c r="J12" i="6"/>
  <c r="J143" i="6"/>
  <c r="J111" i="6"/>
  <c r="J78" i="6"/>
  <c r="J44" i="6"/>
  <c r="J11" i="6"/>
  <c r="J207" i="6"/>
  <c r="J175" i="6"/>
  <c r="J142" i="6"/>
  <c r="J77" i="6"/>
  <c r="J43" i="6"/>
  <c r="J10" i="6"/>
  <c r="J76" i="6"/>
  <c r="J42" i="6"/>
  <c r="J9" i="6"/>
  <c r="J236" i="6"/>
  <c r="J205" i="6"/>
  <c r="J173" i="6"/>
  <c r="J140" i="6"/>
  <c r="J108" i="6"/>
  <c r="J75" i="6"/>
  <c r="J41" i="6"/>
  <c r="J8" i="6"/>
  <c r="J235" i="6"/>
  <c r="J204" i="6"/>
  <c r="J172" i="6"/>
  <c r="J139" i="6"/>
  <c r="J107" i="6"/>
  <c r="J74" i="6"/>
  <c r="J40" i="6"/>
  <c r="J7" i="6"/>
  <c r="J270" i="6"/>
  <c r="J269" i="6"/>
  <c r="J171" i="6"/>
  <c r="J73" i="6"/>
  <c r="J39" i="6"/>
  <c r="J6" i="6"/>
  <c r="J237" i="6"/>
  <c r="J141" i="6"/>
  <c r="J170" i="6"/>
  <c r="J137" i="6"/>
  <c r="J105" i="6"/>
  <c r="J72" i="6"/>
  <c r="J38" i="6"/>
  <c r="J5" i="6"/>
  <c r="J104" i="6"/>
  <c r="J71" i="6"/>
  <c r="J37" i="6"/>
  <c r="J4" i="6"/>
  <c r="J208" i="6"/>
  <c r="J268" i="6"/>
  <c r="J267" i="6"/>
  <c r="J234" i="6"/>
  <c r="J203" i="6"/>
  <c r="J138" i="6"/>
  <c r="J106" i="6"/>
  <c r="J266" i="6"/>
  <c r="J233" i="6"/>
  <c r="J202" i="6"/>
  <c r="J265" i="6"/>
  <c r="J232" i="6"/>
  <c r="J201" i="6"/>
  <c r="J169" i="6"/>
  <c r="J264" i="6"/>
  <c r="J231" i="6"/>
  <c r="J200" i="6"/>
  <c r="J168" i="6"/>
  <c r="J135" i="6"/>
  <c r="J103" i="6"/>
  <c r="J70" i="6"/>
  <c r="J36" i="6"/>
  <c r="J3" i="6"/>
  <c r="A2" i="11" s="1" a="1"/>
  <c r="A2" i="11" s="1"/>
  <c r="J199" i="6"/>
  <c r="J167" i="6"/>
  <c r="J134" i="6"/>
  <c r="J102" i="6"/>
  <c r="J69" i="6"/>
  <c r="J35" i="6"/>
  <c r="J2" i="6"/>
  <c r="J198" i="6"/>
  <c r="J166" i="6"/>
  <c r="J133" i="6"/>
  <c r="J101" i="6"/>
  <c r="J68" i="6"/>
  <c r="J34" i="6"/>
  <c r="J132" i="6"/>
  <c r="J100" i="6"/>
  <c r="J67" i="6"/>
  <c r="J33" i="6"/>
  <c r="J196" i="6"/>
  <c r="J163" i="6"/>
  <c r="J131" i="6"/>
  <c r="J99" i="6"/>
  <c r="J66" i="6"/>
  <c r="J32" i="6"/>
  <c r="J130" i="6"/>
  <c r="J98" i="6"/>
  <c r="J65" i="6"/>
  <c r="J31" i="6"/>
  <c r="J194" i="6"/>
  <c r="J161" i="6"/>
  <c r="J129" i="6"/>
  <c r="J97" i="6"/>
  <c r="J64" i="6"/>
  <c r="J30" i="6"/>
  <c r="J224" i="6"/>
  <c r="J193" i="6"/>
  <c r="J160" i="6"/>
  <c r="J128" i="6"/>
  <c r="J96" i="6"/>
  <c r="J63" i="6"/>
  <c r="J29" i="6"/>
  <c r="J95" i="6"/>
  <c r="J62" i="6"/>
  <c r="J27" i="6"/>
  <c r="J191" i="6"/>
  <c r="J158" i="6"/>
  <c r="J126" i="6"/>
  <c r="J94" i="6"/>
  <c r="J61" i="6"/>
  <c r="J26" i="6"/>
  <c r="J223" i="6"/>
  <c r="J221" i="6"/>
  <c r="J190" i="6"/>
  <c r="J157" i="6"/>
  <c r="J125" i="6"/>
  <c r="J93" i="6"/>
  <c r="J60" i="6"/>
  <c r="J25" i="6"/>
  <c r="J258" i="6"/>
  <c r="J256" i="6"/>
  <c r="J192" i="6"/>
  <c r="J159" i="6"/>
  <c r="J255" i="6"/>
  <c r="J220" i="6"/>
  <c r="J189" i="6"/>
  <c r="J156" i="6"/>
  <c r="J124" i="6"/>
  <c r="J92" i="6"/>
  <c r="J59" i="6"/>
  <c r="J24" i="6"/>
  <c r="J188" i="6"/>
  <c r="J155" i="6"/>
  <c r="J123" i="6"/>
  <c r="J91" i="6"/>
  <c r="J58" i="6"/>
  <c r="J23" i="6"/>
  <c r="J251" i="6"/>
  <c r="J219" i="6"/>
  <c r="J187" i="6"/>
  <c r="J154" i="6"/>
  <c r="J122" i="6"/>
  <c r="J90" i="6"/>
  <c r="J57" i="6"/>
  <c r="J22" i="6"/>
  <c r="J186" i="6"/>
  <c r="J153" i="6"/>
  <c r="J121" i="6"/>
  <c r="J89" i="6"/>
  <c r="J56" i="6"/>
  <c r="J21" i="6"/>
  <c r="J152" i="6"/>
  <c r="J120" i="6"/>
  <c r="J88" i="6"/>
  <c r="J54" i="6"/>
  <c r="J20" i="6"/>
  <c r="J249" i="6"/>
  <c r="J248" i="6"/>
  <c r="J216" i="6"/>
  <c r="J184" i="6"/>
  <c r="J151" i="6"/>
  <c r="J119" i="6"/>
  <c r="J87" i="6"/>
  <c r="J53" i="6"/>
  <c r="J19" i="6"/>
  <c r="J217" i="6"/>
  <c r="J247" i="6"/>
  <c r="J215" i="6"/>
  <c r="J183" i="6"/>
  <c r="J150" i="6"/>
  <c r="J118" i="6"/>
  <c r="J86" i="6"/>
  <c r="J52" i="6"/>
  <c r="J18" i="6"/>
  <c r="A1" i="8" l="1" a="1"/>
  <c r="A1" i="8" s="1"/>
  <c r="C97" i="11" a="1"/>
  <c r="C96" i="11" a="1"/>
  <c r="C95" i="11" a="1"/>
  <c r="C98" i="11" a="1"/>
  <c r="C101" i="11" a="1"/>
  <c r="C100" i="11" a="1"/>
  <c r="C99" i="11" a="1"/>
  <c r="C102" i="11" a="1"/>
  <c r="K100" i="11" a="1"/>
  <c r="J95" i="11" a="1"/>
  <c r="J101" i="11" a="1"/>
  <c r="K98" i="11" a="1"/>
  <c r="J96" i="11" a="1"/>
  <c r="L101" i="11" a="1"/>
  <c r="K101" i="11" a="1"/>
  <c r="K96" i="11" a="1"/>
  <c r="J100" i="11" a="1"/>
  <c r="L96" i="11" a="1"/>
  <c r="N99" i="11" a="1"/>
  <c r="L100" i="11" a="1"/>
  <c r="J102" i="11" a="1"/>
  <c r="M99" i="11" a="1"/>
  <c r="N98" i="11" a="1"/>
  <c r="L102" i="11" a="1"/>
  <c r="L95" i="11" a="1"/>
  <c r="M101" i="11" a="1"/>
  <c r="N95" i="11" a="1"/>
  <c r="M95" i="11" a="1"/>
  <c r="J98" i="11" a="1"/>
  <c r="N96" i="11" a="1"/>
  <c r="K97" i="11" a="1"/>
  <c r="O98" i="11" a="1"/>
  <c r="N100" i="11" a="1"/>
  <c r="O95" i="11" a="1"/>
  <c r="O102" i="11" a="1"/>
  <c r="N102" i="11" a="1"/>
  <c r="N97" i="11" a="1"/>
  <c r="M100" i="11" a="1"/>
  <c r="O96" i="11" a="1"/>
  <c r="N101" i="11" a="1"/>
  <c r="M98" i="11" a="1"/>
  <c r="M102" i="11" a="1"/>
  <c r="O97" i="11" a="1"/>
  <c r="L97" i="11" a="1"/>
  <c r="J99" i="11" a="1"/>
  <c r="K102" i="11" a="1"/>
  <c r="J97" i="11" a="1"/>
  <c r="O100" i="11" a="1"/>
  <c r="L98" i="11" a="1"/>
  <c r="O99" i="11" a="1"/>
  <c r="L99" i="11" a="1"/>
  <c r="K99" i="11" a="1"/>
  <c r="O101" i="11" a="1"/>
  <c r="K95" i="11" a="1"/>
  <c r="M96" i="11" a="1"/>
  <c r="M97" i="11" a="1"/>
  <c r="C6" i="11" l="1" a="1"/>
  <c r="F6" i="11" s="1" a="1"/>
  <c r="F6" i="11" s="1"/>
  <c r="C7" i="11" a="1"/>
  <c r="F7" i="11" s="1" a="1"/>
  <c r="F7" i="11" s="1"/>
  <c r="C26" i="11" a="1"/>
  <c r="I26" i="11" s="1"/>
  <c r="C45" i="11" a="1"/>
  <c r="I45" i="11" s="1"/>
  <c r="C63" i="11" a="1"/>
  <c r="F63" i="11" s="1" a="1"/>
  <c r="F63" i="11" s="1"/>
  <c r="C46" i="11" a="1"/>
  <c r="H46" i="11" s="1"/>
  <c r="C47" i="11" a="1"/>
  <c r="C82" i="11" a="1"/>
  <c r="C78" i="11" a="1"/>
  <c r="C93" i="11" a="1"/>
  <c r="F93" i="11" s="1" a="1"/>
  <c r="F93" i="11" s="1"/>
  <c r="C87" i="11" a="1"/>
  <c r="C81" i="11" a="1"/>
  <c r="C44" i="11" a="1"/>
  <c r="C35" i="11" a="1"/>
  <c r="F35" i="11" s="1" a="1"/>
  <c r="F35" i="11" s="1"/>
  <c r="C53" i="11" a="1"/>
  <c r="C11" i="11" a="1"/>
  <c r="C67" i="11" a="1"/>
  <c r="C21" i="11" a="1"/>
  <c r="C66" i="11" a="1"/>
  <c r="C34" i="11" a="1"/>
  <c r="I34" i="11" s="1"/>
  <c r="C92" i="11" a="1"/>
  <c r="C64" i="11" a="1"/>
  <c r="C43" i="11" a="1"/>
  <c r="C43" i="11" s="1"/>
  <c r="C36" i="11" a="1"/>
  <c r="C9" i="11" a="1"/>
  <c r="I9" i="11" s="1"/>
  <c r="C16" i="11" a="1"/>
  <c r="C24" i="11" a="1"/>
  <c r="C91" i="11" a="1"/>
  <c r="C40" i="11" a="1"/>
  <c r="C31" i="11" a="1"/>
  <c r="C83" i="11" a="1"/>
  <c r="C58" i="11" a="1"/>
  <c r="I58" i="11" s="1"/>
  <c r="C85" i="11" a="1"/>
  <c r="C77" i="11" a="1"/>
  <c r="C77" i="11" s="1"/>
  <c r="C5" i="11" a="1"/>
  <c r="C17" i="11" a="1"/>
  <c r="C17" i="11" s="1"/>
  <c r="C8" i="11" a="1"/>
  <c r="C23" i="11" a="1"/>
  <c r="F23" i="11" s="1" a="1"/>
  <c r="F23" i="11" s="1"/>
  <c r="C28" i="11" a="1"/>
  <c r="C28" i="11" s="1"/>
  <c r="C48" i="11" a="1"/>
  <c r="F48" i="11" s="1" a="1"/>
  <c r="F48" i="11" s="1"/>
  <c r="C65" i="11" a="1"/>
  <c r="I65" i="11" s="1"/>
  <c r="C20" i="11" a="1"/>
  <c r="F20" i="11" s="1" a="1"/>
  <c r="F20" i="11" s="1"/>
  <c r="C39" i="11" a="1"/>
  <c r="I39" i="11" s="1"/>
  <c r="C80" i="11" a="1"/>
  <c r="C61" i="11" a="1"/>
  <c r="I61" i="11" s="1"/>
  <c r="C33" i="11" a="1"/>
  <c r="I33" i="11" s="1"/>
  <c r="C18" i="11" a="1"/>
  <c r="C69" i="11" a="1"/>
  <c r="C69" i="11" s="1"/>
  <c r="C59" i="11" a="1"/>
  <c r="C42" i="11" a="1"/>
  <c r="I42" i="11" s="1"/>
  <c r="C75" i="11" a="1"/>
  <c r="C88" i="11" a="1"/>
  <c r="C88" i="11" s="1"/>
  <c r="C19" i="11" a="1"/>
  <c r="C79" i="11" a="1"/>
  <c r="C79" i="11" s="1"/>
  <c r="C38" i="11" a="1"/>
  <c r="C60" i="11" a="1"/>
  <c r="I60" i="11" s="1"/>
  <c r="C10" i="11" a="1"/>
  <c r="C89" i="11" a="1"/>
  <c r="C90" i="11" a="1"/>
  <c r="C27" i="11" a="1"/>
  <c r="C76" i="11" a="1"/>
  <c r="C29" i="11" a="1"/>
  <c r="C94" i="11" a="1"/>
  <c r="C41" i="11" a="1"/>
  <c r="I41" i="11" s="1"/>
  <c r="C51" i="11" a="1"/>
  <c r="F51" i="11" s="1" a="1"/>
  <c r="F51" i="11" s="1"/>
  <c r="C52" i="11" a="1"/>
  <c r="C72" i="11" a="1"/>
  <c r="C50" i="11" a="1"/>
  <c r="C4" i="11" a="1"/>
  <c r="I4" i="11" s="1"/>
  <c r="C30" i="11" a="1"/>
  <c r="C62" i="11" a="1"/>
  <c r="F62" i="11" s="1" a="1"/>
  <c r="F62" i="11" s="1"/>
  <c r="C55" i="11" a="1"/>
  <c r="I55" i="11" s="1"/>
  <c r="C54" i="11" a="1"/>
  <c r="C37" i="11" a="1"/>
  <c r="C12" i="11" a="1"/>
  <c r="C12" i="11" s="1"/>
  <c r="C74" i="11" a="1"/>
  <c r="C70" i="11" a="1"/>
  <c r="I70" i="11" s="1"/>
  <c r="C49" i="11" a="1"/>
  <c r="I49" i="11" s="1"/>
  <c r="C14" i="11" a="1"/>
  <c r="C14" i="11" s="1"/>
  <c r="C56" i="11" a="1"/>
  <c r="C25" i="11" a="1"/>
  <c r="C68" i="11" a="1"/>
  <c r="C13" i="11" a="1"/>
  <c r="F13" i="11" s="1" a="1"/>
  <c r="F13" i="11" s="1"/>
  <c r="C71" i="11" a="1"/>
  <c r="C84" i="11" a="1"/>
  <c r="F84" i="11" s="1" a="1"/>
  <c r="F84" i="11" s="1"/>
  <c r="C22" i="11" a="1"/>
  <c r="H22" i="11" s="1"/>
  <c r="C15" i="11" a="1"/>
  <c r="C57" i="11" a="1"/>
  <c r="C32" i="11" a="1"/>
  <c r="C73" i="11" a="1"/>
  <c r="C73" i="11" s="1"/>
  <c r="C86" i="11" a="1"/>
  <c r="F86" i="11" s="1" a="1"/>
  <c r="F86" i="11" s="1"/>
  <c r="N98" i="11"/>
  <c r="O98" i="11"/>
  <c r="J98" i="11"/>
  <c r="K98" i="11"/>
  <c r="L98" i="11"/>
  <c r="M98" i="11"/>
  <c r="J95" i="11"/>
  <c r="N95" i="11"/>
  <c r="O95" i="11"/>
  <c r="M95" i="11"/>
  <c r="L95" i="11"/>
  <c r="K95" i="11"/>
  <c r="N102" i="11"/>
  <c r="M102" i="11"/>
  <c r="K102" i="11"/>
  <c r="L102" i="11"/>
  <c r="J102" i="11"/>
  <c r="O102" i="11"/>
  <c r="O100" i="11"/>
  <c r="N100" i="11"/>
  <c r="L100" i="11"/>
  <c r="J100" i="11"/>
  <c r="K100" i="11"/>
  <c r="M100" i="11"/>
  <c r="O96" i="11"/>
  <c r="M96" i="11"/>
  <c r="J96" i="11"/>
  <c r="K96" i="11"/>
  <c r="L96" i="11"/>
  <c r="N96" i="11"/>
  <c r="N101" i="11"/>
  <c r="K101" i="11"/>
  <c r="L101" i="11"/>
  <c r="M101" i="11"/>
  <c r="J101" i="11"/>
  <c r="O101" i="11"/>
  <c r="M99" i="11"/>
  <c r="N99" i="11"/>
  <c r="J99" i="11"/>
  <c r="O99" i="11"/>
  <c r="K99" i="11"/>
  <c r="L99" i="11"/>
  <c r="O97" i="11"/>
  <c r="N97" i="11"/>
  <c r="K97" i="11"/>
  <c r="L97" i="11"/>
  <c r="J97" i="11"/>
  <c r="M97" i="11"/>
  <c r="I98" i="11"/>
  <c r="C98" i="11"/>
  <c r="F98" i="11" a="1"/>
  <c r="F98" i="11" s="1"/>
  <c r="H98" i="11"/>
  <c r="C95" i="11"/>
  <c r="I95" i="11"/>
  <c r="F95" i="11" a="1"/>
  <c r="F95" i="11" s="1"/>
  <c r="I102" i="11"/>
  <c r="F102" i="11" a="1"/>
  <c r="F102" i="11" s="1"/>
  <c r="C102" i="11"/>
  <c r="H102" i="11"/>
  <c r="H103" i="11"/>
  <c r="F100" i="11" a="1"/>
  <c r="F100" i="11" s="1"/>
  <c r="I100" i="11"/>
  <c r="H100" i="11"/>
  <c r="C100" i="11"/>
  <c r="F96" i="11" a="1"/>
  <c r="F96" i="11" s="1"/>
  <c r="I96" i="11"/>
  <c r="C96" i="11"/>
  <c r="H96" i="11"/>
  <c r="H101" i="11"/>
  <c r="I101" i="11"/>
  <c r="C101" i="11"/>
  <c r="F101" i="11" a="1"/>
  <c r="F101" i="11" s="1"/>
  <c r="C99" i="11"/>
  <c r="F99" i="11" a="1"/>
  <c r="F99" i="11" s="1"/>
  <c r="I99" i="11"/>
  <c r="H99" i="11"/>
  <c r="H97" i="11"/>
  <c r="C97" i="11"/>
  <c r="F97" i="11" a="1"/>
  <c r="F97" i="11" s="1"/>
  <c r="I97" i="11"/>
  <c r="C2" i="8" a="1"/>
  <c r="C55" i="8" a="1"/>
  <c r="C175" i="8" a="1"/>
  <c r="C79" i="8" a="1"/>
  <c r="C113" i="8" a="1"/>
  <c r="C143" i="8" a="1"/>
  <c r="C202" i="8" a="1"/>
  <c r="C163" i="8" a="1"/>
  <c r="C191" i="8" a="1"/>
  <c r="C142" i="8" a="1"/>
  <c r="C46" i="8" a="1"/>
  <c r="C176" i="8" a="1"/>
  <c r="C78" i="8" a="1"/>
  <c r="C73" i="8" a="1"/>
  <c r="C131" i="8" a="1"/>
  <c r="C97" i="8" a="1"/>
  <c r="C205" i="8" a="1"/>
  <c r="C141" i="8" a="1"/>
  <c r="C15" i="8" a="1"/>
  <c r="C173" i="8" a="1"/>
  <c r="C196" i="8" a="1"/>
  <c r="C99" i="8" a="1"/>
  <c r="C98" i="8" a="1"/>
  <c r="C108" i="8" a="1"/>
  <c r="C44" i="8" a="1"/>
  <c r="C206" i="8" a="1"/>
  <c r="C140" i="8" a="1"/>
  <c r="C164" i="8" a="1"/>
  <c r="C67" i="8" a="1"/>
  <c r="C3" i="8" a="1"/>
  <c r="C203" i="8" a="1"/>
  <c r="C107" i="8" a="1"/>
  <c r="C45" i="8" a="1"/>
  <c r="C139" i="8" a="1"/>
  <c r="C132" i="8" a="1"/>
  <c r="C35" i="8" a="1"/>
  <c r="C14" i="8" a="1"/>
  <c r="C138" i="8" a="1"/>
  <c r="C74" i="8" a="1"/>
  <c r="C76" i="8" a="1"/>
  <c r="C170" i="8" a="1"/>
  <c r="C100" i="8" a="1"/>
  <c r="C129" i="8" a="1"/>
  <c r="C168" i="8" a="1"/>
  <c r="C137" i="8" a="1"/>
  <c r="C171" i="8" a="1"/>
  <c r="C41" i="8" a="1"/>
  <c r="C68" i="8" a="1"/>
  <c r="C13" i="8" a="1"/>
  <c r="C136" i="8" a="1"/>
  <c r="C200" i="8" a="1"/>
  <c r="C42" i="8" a="1"/>
  <c r="C197" i="8" a="1"/>
  <c r="C36" i="8" a="1"/>
  <c r="C63" i="8" a="1"/>
  <c r="C104" i="8" a="1"/>
  <c r="C199" i="8" a="1"/>
  <c r="C201" i="8" a="1"/>
  <c r="C165" i="8" a="1"/>
  <c r="C4" i="8" a="1"/>
  <c r="C130" i="8" a="1"/>
  <c r="C12" i="8" a="1"/>
  <c r="C72" i="8" a="1"/>
  <c r="C167" i="8" a="1"/>
  <c r="C105" i="8" a="1"/>
  <c r="C133" i="8" a="1"/>
  <c r="C127" i="8" a="1"/>
  <c r="C30" i="8" a="1"/>
  <c r="C31" i="8" a="1"/>
  <c r="C40" i="8" a="1"/>
  <c r="C135" i="8" a="1"/>
  <c r="C198" i="8" a="1"/>
  <c r="C101" i="8" a="1"/>
  <c r="C61" i="8" a="1"/>
  <c r="C161" i="8" a="1"/>
  <c r="C11" i="8" a="1"/>
  <c r="C8" i="8" a="1"/>
  <c r="C103" i="8" a="1"/>
  <c r="C166" i="8" a="1"/>
  <c r="C69" i="8" a="1"/>
  <c r="C91" i="8" a="1"/>
  <c r="C29" i="8" a="1"/>
  <c r="C193" i="8" a="1"/>
  <c r="C95" i="8" a="1"/>
  <c r="C71" i="8" a="1"/>
  <c r="C134" i="8" a="1"/>
  <c r="C37" i="8" a="1"/>
  <c r="C154" i="8" a="1"/>
  <c r="C194" i="8" a="1"/>
  <c r="C10" i="8" a="1"/>
  <c r="C125" i="8" a="1"/>
  <c r="C39" i="8" a="1"/>
  <c r="C102" i="8" a="1"/>
  <c r="C5" i="8" a="1"/>
  <c r="C121" i="8" a="1"/>
  <c r="C123" i="8" a="1"/>
  <c r="C65" i="8" a="1"/>
  <c r="C7" i="8" a="1"/>
  <c r="C70" i="8" a="1"/>
  <c r="C159" i="8" a="1"/>
  <c r="C56" i="8" a="1"/>
  <c r="C32" i="8" a="1"/>
  <c r="C9" i="8" a="1"/>
  <c r="C59" i="8" a="1"/>
  <c r="C64" i="8" a="1"/>
  <c r="C38" i="8" a="1"/>
  <c r="C189" i="8" a="1"/>
  <c r="C183" i="8" a="1"/>
  <c r="C93" i="8" a="1"/>
  <c r="C33" i="8" a="1"/>
  <c r="C186" i="8" a="1"/>
  <c r="C190" i="8" a="1"/>
  <c r="C6" i="8" a="1"/>
  <c r="C188" i="8" a="1"/>
  <c r="C86" i="8" a="1"/>
  <c r="C58" i="8" a="1"/>
  <c r="C62" i="8" a="1"/>
  <c r="C153" i="8" a="1"/>
  <c r="C157" i="8" a="1"/>
  <c r="C162" i="8" a="1"/>
  <c r="C187" i="8" a="1"/>
  <c r="C181" i="8" a="1"/>
  <c r="C128" i="8" a="1"/>
  <c r="C60" i="8" a="1"/>
  <c r="C184" i="8" a="1"/>
  <c r="C124" i="8" a="1"/>
  <c r="C192" i="8" a="1"/>
  <c r="C122" i="8" a="1"/>
  <c r="C52" i="8" a="1"/>
  <c r="C158" i="8" a="1"/>
  <c r="C90" i="8" a="1"/>
  <c r="C88" i="8" a="1"/>
  <c r="C27" i="8" a="1"/>
  <c r="C18" i="8" a="1"/>
  <c r="C92" i="8" a="1"/>
  <c r="C185" i="8" a="1"/>
  <c r="C87" i="8" a="1"/>
  <c r="C25" i="8" a="1"/>
  <c r="C152" i="8" a="1"/>
  <c r="C81" i="8" a="1"/>
  <c r="C24" i="8" a="1"/>
  <c r="C182" i="8" a="1"/>
  <c r="C156" i="8" a="1"/>
  <c r="C119" i="8" a="1"/>
  <c r="C208" i="8" a="1"/>
  <c r="C26" i="8" a="1"/>
  <c r="C151" i="8" a="1"/>
  <c r="C54" i="8" a="1"/>
  <c r="C23" i="8" a="1"/>
  <c r="C155" i="8" a="1"/>
  <c r="C53" i="8" a="1"/>
  <c r="C112" i="8" a="1"/>
  <c r="C85" i="8" a="1"/>
  <c r="C150" i="8" a="1"/>
  <c r="C19" i="8" a="1"/>
  <c r="C207" i="8" a="1"/>
  <c r="C34" i="8" a="1"/>
  <c r="C21" i="8" a="1"/>
  <c r="C212" i="8" a="1"/>
  <c r="C22" i="8" a="1"/>
  <c r="C89" i="8" a="1"/>
  <c r="C146" i="8" a="1"/>
  <c r="C47" i="8" a="1"/>
  <c r="C96" i="8" a="1"/>
  <c r="C180" i="8" a="1"/>
  <c r="C84" i="8" a="1"/>
  <c r="C120" i="8" a="1"/>
  <c r="C49" i="8" a="1"/>
  <c r="C110" i="8" a="1"/>
  <c r="C126" i="8" a="1"/>
  <c r="C116" i="8" a="1"/>
  <c r="C179" i="8" a="1"/>
  <c r="C149" i="8" a="1"/>
  <c r="C118" i="8" a="1"/>
  <c r="C80" i="8" a="1"/>
  <c r="C77" i="8" a="1"/>
  <c r="C57" i="8" a="1"/>
  <c r="C211" i="8" a="1"/>
  <c r="C83" i="8" a="1"/>
  <c r="C20" i="8" a="1"/>
  <c r="C117" i="8" a="1"/>
  <c r="C111" i="8" a="1"/>
  <c r="C204" i="8" a="1"/>
  <c r="C66" i="8" a="1"/>
  <c r="C147" i="8" a="1"/>
  <c r="C178" i="8" a="1"/>
  <c r="C115" i="8" a="1"/>
  <c r="C148" i="8" a="1"/>
  <c r="C174" i="8" a="1"/>
  <c r="C43" i="8" a="1"/>
  <c r="C160" i="8" a="1"/>
  <c r="C114" i="8" a="1"/>
  <c r="C50" i="8" a="1"/>
  <c r="C210" i="8" a="1"/>
  <c r="C51" i="8" a="1"/>
  <c r="C109" i="8" a="1"/>
  <c r="C106" i="8" a="1"/>
  <c r="C94" i="8" a="1"/>
  <c r="C177" i="8" a="1"/>
  <c r="C145" i="8" a="1"/>
  <c r="C82" i="8" a="1"/>
  <c r="C17" i="8" a="1"/>
  <c r="C172" i="8" a="1"/>
  <c r="C169" i="8" a="1"/>
  <c r="C28" i="8" a="1"/>
  <c r="C48" i="8" a="1"/>
  <c r="C16" i="8" a="1"/>
  <c r="C209" i="8" a="1"/>
  <c r="C144" i="8" a="1"/>
  <c r="C75" i="8" a="1"/>
  <c r="C195" i="8" a="1"/>
  <c r="H54" i="11" l="1"/>
  <c r="H85" i="11"/>
  <c r="C2" i="8"/>
  <c r="H75" i="11"/>
  <c r="H11" i="11"/>
  <c r="H87" i="11"/>
  <c r="H50" i="11"/>
  <c r="H72" i="11"/>
  <c r="S72" i="11" s="1"/>
  <c r="H52" i="11"/>
  <c r="G99" i="11"/>
  <c r="F15" i="11" a="1"/>
  <c r="F15" i="11" s="1"/>
  <c r="I15" i="11"/>
  <c r="H15" i="11"/>
  <c r="C15" i="11"/>
  <c r="G15" i="11" s="1"/>
  <c r="I64" i="11"/>
  <c r="H64" i="11"/>
  <c r="F64" i="11" a="1"/>
  <c r="F64" i="11" s="1"/>
  <c r="C64" i="11"/>
  <c r="C19" i="11"/>
  <c r="F19" i="11" a="1"/>
  <c r="F19" i="11" s="1"/>
  <c r="I19" i="11"/>
  <c r="H19" i="11"/>
  <c r="I92" i="11"/>
  <c r="F92" i="11" a="1"/>
  <c r="F92" i="11" s="1"/>
  <c r="C92" i="11"/>
  <c r="H92" i="11"/>
  <c r="I71" i="11"/>
  <c r="F71" i="11" a="1"/>
  <c r="F71" i="11" s="1"/>
  <c r="C71" i="11"/>
  <c r="H71" i="11"/>
  <c r="H84" i="11"/>
  <c r="I83" i="11"/>
  <c r="F76" i="11" a="1"/>
  <c r="F76" i="11" s="1"/>
  <c r="C76" i="11"/>
  <c r="G77" i="11" s="1"/>
  <c r="I76" i="11"/>
  <c r="H76" i="11"/>
  <c r="C27" i="11"/>
  <c r="G28" i="11" s="1"/>
  <c r="H27" i="11"/>
  <c r="I27" i="11"/>
  <c r="F27" i="11" a="1"/>
  <c r="F27" i="11" s="1"/>
  <c r="F89" i="11" a="1"/>
  <c r="F89" i="11" s="1"/>
  <c r="I89" i="11"/>
  <c r="C89" i="11"/>
  <c r="G89" i="11" s="1"/>
  <c r="H89" i="11"/>
  <c r="F57" i="11" a="1"/>
  <c r="F57" i="11" s="1"/>
  <c r="C57" i="11"/>
  <c r="I57" i="11"/>
  <c r="H57" i="11"/>
  <c r="U57" i="11" s="1"/>
  <c r="C66" i="11"/>
  <c r="F66" i="11" a="1"/>
  <c r="F66" i="11" s="1"/>
  <c r="I66" i="11"/>
  <c r="H66" i="11"/>
  <c r="I36" i="11"/>
  <c r="F36" i="11" a="1"/>
  <c r="F36" i="11" s="1"/>
  <c r="C36" i="11"/>
  <c r="H36" i="11"/>
  <c r="C38" i="11"/>
  <c r="I38" i="11"/>
  <c r="H38" i="11"/>
  <c r="F38" i="11" a="1"/>
  <c r="F38" i="11" s="1"/>
  <c r="H21" i="11"/>
  <c r="C21" i="11"/>
  <c r="F21" i="11" a="1"/>
  <c r="F21" i="11" s="1"/>
  <c r="I68" i="11"/>
  <c r="H68" i="11"/>
  <c r="F68" i="11" a="1"/>
  <c r="F68" i="11" s="1"/>
  <c r="C68" i="11"/>
  <c r="G69" i="11" s="1"/>
  <c r="F25" i="11" a="1"/>
  <c r="F25" i="11" s="1"/>
  <c r="C25" i="11"/>
  <c r="I25" i="11"/>
  <c r="H25" i="11"/>
  <c r="I59" i="11"/>
  <c r="C59" i="11"/>
  <c r="F59" i="11" a="1"/>
  <c r="F59" i="11" s="1"/>
  <c r="H67" i="11"/>
  <c r="F67" i="11" a="1"/>
  <c r="F67" i="11" s="1"/>
  <c r="C67" i="11"/>
  <c r="I67" i="11"/>
  <c r="I31" i="11"/>
  <c r="H31" i="11"/>
  <c r="F31" i="11" a="1"/>
  <c r="F31" i="11" s="1"/>
  <c r="H91" i="11"/>
  <c r="F91" i="11" a="1"/>
  <c r="F91" i="11" s="1"/>
  <c r="C91" i="11"/>
  <c r="G92" i="11" s="1"/>
  <c r="I91" i="11"/>
  <c r="I16" i="11"/>
  <c r="F16" i="11" a="1"/>
  <c r="F16" i="11" s="1"/>
  <c r="C16" i="11"/>
  <c r="G17" i="11" s="1"/>
  <c r="F56" i="11" a="1"/>
  <c r="F56" i="11" s="1"/>
  <c r="C56" i="11"/>
  <c r="H56" i="11"/>
  <c r="Q56" i="11" s="1"/>
  <c r="I56" i="11"/>
  <c r="F29" i="11" a="1"/>
  <c r="F29" i="11" s="1"/>
  <c r="C29" i="11"/>
  <c r="G29" i="11" s="1"/>
  <c r="I29" i="11"/>
  <c r="H29" i="11"/>
  <c r="I24" i="11"/>
  <c r="F24" i="11" a="1"/>
  <c r="F24" i="11" s="1"/>
  <c r="H24" i="11"/>
  <c r="C24" i="11"/>
  <c r="H10" i="11"/>
  <c r="C10" i="11"/>
  <c r="F10" i="11" a="1"/>
  <c r="F10" i="11" s="1"/>
  <c r="I10" i="11"/>
  <c r="C18" i="11"/>
  <c r="G18" i="11" s="1"/>
  <c r="F18" i="11" a="1"/>
  <c r="F18" i="11" s="1"/>
  <c r="I18" i="11"/>
  <c r="C53" i="11"/>
  <c r="I53" i="11"/>
  <c r="F53" i="11" a="1"/>
  <c r="F53" i="11" s="1"/>
  <c r="H53" i="11"/>
  <c r="I44" i="11"/>
  <c r="H44" i="11"/>
  <c r="C44" i="11"/>
  <c r="G44" i="11" s="1"/>
  <c r="F44" i="11" a="1"/>
  <c r="F44" i="11" s="1"/>
  <c r="I74" i="11"/>
  <c r="C74" i="11"/>
  <c r="G74" i="11" s="1"/>
  <c r="F80" i="11" a="1"/>
  <c r="F80" i="11" s="1"/>
  <c r="I80" i="11"/>
  <c r="C80" i="11"/>
  <c r="G80" i="11" s="1"/>
  <c r="H80" i="11"/>
  <c r="I81" i="11"/>
  <c r="H81" i="11"/>
  <c r="F81" i="11" a="1"/>
  <c r="F81" i="11" s="1"/>
  <c r="I78" i="11"/>
  <c r="H78" i="11"/>
  <c r="C78" i="11"/>
  <c r="G78" i="11" s="1"/>
  <c r="F78" i="11" a="1"/>
  <c r="F78" i="11" s="1"/>
  <c r="F82" i="11" a="1"/>
  <c r="F82" i="11" s="1"/>
  <c r="C82" i="11"/>
  <c r="H82" i="11"/>
  <c r="H47" i="11"/>
  <c r="C47" i="11"/>
  <c r="I40" i="11"/>
  <c r="H40" i="11"/>
  <c r="R40" i="11" s="1"/>
  <c r="F40" i="11" a="1"/>
  <c r="F40" i="11" s="1"/>
  <c r="C40" i="11"/>
  <c r="H90" i="11"/>
  <c r="R90" i="11" s="1"/>
  <c r="I90" i="11"/>
  <c r="F90" i="11" a="1"/>
  <c r="F90" i="11" s="1"/>
  <c r="C90" i="11"/>
  <c r="H32" i="11"/>
  <c r="S32" i="11" s="1"/>
  <c r="C32" i="11"/>
  <c r="F32" i="11" a="1"/>
  <c r="F32" i="11" s="1"/>
  <c r="H37" i="11"/>
  <c r="I37" i="11"/>
  <c r="C37" i="11"/>
  <c r="G37" i="11" s="1"/>
  <c r="C8" i="11"/>
  <c r="I8" i="11"/>
  <c r="I30" i="11"/>
  <c r="C30" i="11"/>
  <c r="G30" i="11" s="1"/>
  <c r="C5" i="11"/>
  <c r="H5" i="11"/>
  <c r="R5" i="11" s="1"/>
  <c r="I86" i="11"/>
  <c r="I14" i="11"/>
  <c r="I52" i="11"/>
  <c r="H63" i="11"/>
  <c r="U63" i="11" s="1"/>
  <c r="C48" i="11"/>
  <c r="C60" i="11"/>
  <c r="F61" i="11" a="1"/>
  <c r="F61" i="11" s="1"/>
  <c r="F30" i="11" a="1"/>
  <c r="F30" i="11" s="1"/>
  <c r="F79" i="11" a="1"/>
  <c r="F79" i="11" s="1"/>
  <c r="I5" i="11"/>
  <c r="I47" i="11"/>
  <c r="I21" i="11"/>
  <c r="C86" i="11"/>
  <c r="H14" i="11"/>
  <c r="C52" i="11"/>
  <c r="G53" i="11" s="1"/>
  <c r="I63" i="11"/>
  <c r="H48" i="11"/>
  <c r="H60" i="11"/>
  <c r="V60" i="11" s="1"/>
  <c r="H61" i="11"/>
  <c r="V61" i="11" s="1"/>
  <c r="I11" i="11"/>
  <c r="I79" i="11"/>
  <c r="F5" i="11" a="1"/>
  <c r="F5" i="11" s="1"/>
  <c r="F47" i="11" a="1"/>
  <c r="F47" i="11" s="1"/>
  <c r="C75" i="11"/>
  <c r="H86" i="11"/>
  <c r="F14" i="11" a="1"/>
  <c r="F14" i="11" s="1"/>
  <c r="F52" i="11" a="1"/>
  <c r="F52" i="11" s="1"/>
  <c r="C63" i="11"/>
  <c r="I48" i="11"/>
  <c r="F60" i="11" a="1"/>
  <c r="F60" i="11" s="1"/>
  <c r="C61" i="11"/>
  <c r="C11" i="11"/>
  <c r="G12" i="11" s="1"/>
  <c r="H79" i="11"/>
  <c r="C9" i="11"/>
  <c r="H93" i="11"/>
  <c r="F75" i="11" a="1"/>
  <c r="F75" i="11" s="1"/>
  <c r="F73" i="11" a="1"/>
  <c r="F73" i="11" s="1"/>
  <c r="H49" i="11"/>
  <c r="I85" i="11"/>
  <c r="H23" i="11"/>
  <c r="F11" i="11" a="1"/>
  <c r="F11" i="11" s="1"/>
  <c r="H9" i="11"/>
  <c r="I93" i="11"/>
  <c r="I75" i="11"/>
  <c r="I73" i="11"/>
  <c r="C49" i="11"/>
  <c r="F85" i="11" a="1"/>
  <c r="F85" i="11" s="1"/>
  <c r="I62" i="11"/>
  <c r="F17" i="11" a="1"/>
  <c r="F17" i="11" s="1"/>
  <c r="I23" i="11"/>
  <c r="C55" i="11"/>
  <c r="F9" i="11" a="1"/>
  <c r="F9" i="11" s="1"/>
  <c r="C93" i="11"/>
  <c r="H73" i="11"/>
  <c r="Q73" i="11" s="1"/>
  <c r="F49" i="11" a="1"/>
  <c r="F49" i="11" s="1"/>
  <c r="C85" i="11"/>
  <c r="C62" i="11"/>
  <c r="I17" i="11"/>
  <c r="C23" i="11"/>
  <c r="H69" i="11"/>
  <c r="F55" i="11" a="1"/>
  <c r="F55" i="11" s="1"/>
  <c r="C34" i="11"/>
  <c r="H62" i="11"/>
  <c r="U62" i="11" s="1"/>
  <c r="H17" i="11"/>
  <c r="F69" i="11" a="1"/>
  <c r="F69" i="11" s="1"/>
  <c r="H55" i="11"/>
  <c r="S55" i="11" s="1"/>
  <c r="F43" i="11" a="1"/>
  <c r="F43" i="11" s="1"/>
  <c r="C35" i="11"/>
  <c r="F34" i="11" a="1"/>
  <c r="F34" i="11" s="1"/>
  <c r="I32" i="11"/>
  <c r="C39" i="11"/>
  <c r="I69" i="11"/>
  <c r="H43" i="11"/>
  <c r="H35" i="11"/>
  <c r="H34" i="11"/>
  <c r="F39" i="11" a="1"/>
  <c r="F39" i="11" s="1"/>
  <c r="C54" i="11"/>
  <c r="H13" i="11"/>
  <c r="F22" i="11" a="1"/>
  <c r="F22" i="11" s="1"/>
  <c r="C4" i="11"/>
  <c r="I43" i="11"/>
  <c r="I35" i="11"/>
  <c r="H39" i="11"/>
  <c r="R39" i="11" s="1"/>
  <c r="F54" i="11" a="1"/>
  <c r="F54" i="11" s="1"/>
  <c r="I13" i="11"/>
  <c r="I22" i="11"/>
  <c r="F87" i="11" a="1"/>
  <c r="F87" i="11" s="1"/>
  <c r="F4" i="11" a="1"/>
  <c r="F4" i="11" s="1"/>
  <c r="F72" i="11" a="1"/>
  <c r="F72" i="11" s="1"/>
  <c r="I54" i="11"/>
  <c r="C13" i="11"/>
  <c r="G13" i="11" s="1"/>
  <c r="C22" i="11"/>
  <c r="G22" i="11" s="1"/>
  <c r="I84" i="11"/>
  <c r="C87" i="11"/>
  <c r="C33" i="11"/>
  <c r="G33" i="11" s="1"/>
  <c r="H88" i="11"/>
  <c r="R88" i="11" s="1"/>
  <c r="I72" i="11"/>
  <c r="C70" i="11"/>
  <c r="C20" i="11"/>
  <c r="C84" i="11"/>
  <c r="I87" i="11"/>
  <c r="C42" i="11"/>
  <c r="G43" i="11" s="1"/>
  <c r="F33" i="11" a="1"/>
  <c r="F33" i="11" s="1"/>
  <c r="F88" i="11" a="1"/>
  <c r="F88" i="11" s="1"/>
  <c r="C72" i="11"/>
  <c r="G73" i="11" s="1"/>
  <c r="F70" i="11" a="1"/>
  <c r="F70" i="11" s="1"/>
  <c r="H20" i="11"/>
  <c r="C50" i="11"/>
  <c r="F42" i="11" a="1"/>
  <c r="F42" i="11" s="1"/>
  <c r="H33" i="11"/>
  <c r="I88" i="11"/>
  <c r="H70" i="11"/>
  <c r="S70" i="11" s="1"/>
  <c r="I20" i="11"/>
  <c r="F50" i="11" a="1"/>
  <c r="F50" i="11" s="1"/>
  <c r="F77" i="11" a="1"/>
  <c r="F77" i="11" s="1"/>
  <c r="I50" i="11"/>
  <c r="H51" i="11"/>
  <c r="I77" i="11"/>
  <c r="F12" i="11" a="1"/>
  <c r="F12" i="11" s="1"/>
  <c r="F65" i="11" a="1"/>
  <c r="F65" i="11" s="1"/>
  <c r="I51" i="11"/>
  <c r="H77" i="11"/>
  <c r="I12" i="11"/>
  <c r="H65" i="11"/>
  <c r="C51" i="11"/>
  <c r="H12" i="11"/>
  <c r="C65" i="11"/>
  <c r="H18" i="11"/>
  <c r="C45" i="11"/>
  <c r="H74" i="11"/>
  <c r="U74" i="11" s="1"/>
  <c r="F45" i="11" a="1"/>
  <c r="F45" i="11" s="1"/>
  <c r="C81" i="11"/>
  <c r="F28" i="11" a="1"/>
  <c r="F28" i="11" s="1"/>
  <c r="F74" i="11" a="1"/>
  <c r="F74" i="11" s="1"/>
  <c r="H45" i="11"/>
  <c r="I28" i="11"/>
  <c r="H28" i="11"/>
  <c r="F37" i="11" a="1"/>
  <c r="F37" i="11" s="1"/>
  <c r="C46" i="11"/>
  <c r="I46" i="11"/>
  <c r="I82" i="11"/>
  <c r="F46" i="11" a="1"/>
  <c r="F46" i="11" s="1"/>
  <c r="C6" i="11"/>
  <c r="G6" i="11" s="1"/>
  <c r="F8" i="11" a="1"/>
  <c r="F8" i="11" s="1"/>
  <c r="H26" i="11"/>
  <c r="H6" i="11"/>
  <c r="Q6" i="11" s="1"/>
  <c r="I7" i="11"/>
  <c r="H8" i="11"/>
  <c r="F26" i="11" a="1"/>
  <c r="F26" i="11" s="1"/>
  <c r="I6" i="11"/>
  <c r="H7" i="11"/>
  <c r="C26" i="11"/>
  <c r="C7" i="11"/>
  <c r="H59" i="11"/>
  <c r="Q59" i="11" s="1"/>
  <c r="H42" i="11"/>
  <c r="H95" i="11"/>
  <c r="H41" i="11"/>
  <c r="F41" i="11" a="1"/>
  <c r="F41" i="11" s="1"/>
  <c r="C94" i="11"/>
  <c r="C41" i="11"/>
  <c r="H94" i="11"/>
  <c r="H16" i="11"/>
  <c r="Q16" i="11" s="1"/>
  <c r="F94" i="11" a="1"/>
  <c r="F94" i="11" s="1"/>
  <c r="I94" i="11"/>
  <c r="C58" i="11"/>
  <c r="G58" i="11" s="1"/>
  <c r="H58" i="11"/>
  <c r="R58" i="11" s="1"/>
  <c r="H30" i="11"/>
  <c r="F58" i="11" a="1"/>
  <c r="F58" i="11" s="1"/>
  <c r="C83" i="11"/>
  <c r="F83" i="11" a="1"/>
  <c r="F83" i="11" s="1"/>
  <c r="H83" i="11"/>
  <c r="C31" i="11"/>
  <c r="G91" i="11"/>
  <c r="G101" i="11"/>
  <c r="A102" i="10" s="1"/>
  <c r="Q103" i="11"/>
  <c r="R103" i="11"/>
  <c r="S103" i="11"/>
  <c r="T103" i="11"/>
  <c r="U103" i="11"/>
  <c r="V103" i="11"/>
  <c r="U88" i="11"/>
  <c r="Q102" i="11"/>
  <c r="T102" i="11"/>
  <c r="S102" i="11"/>
  <c r="R102" i="11"/>
  <c r="U102" i="11"/>
  <c r="V102" i="11"/>
  <c r="Q101" i="11"/>
  <c r="R101" i="11"/>
  <c r="S101" i="11"/>
  <c r="T101" i="11"/>
  <c r="U101" i="11"/>
  <c r="V101" i="11"/>
  <c r="Q72" i="11"/>
  <c r="V57" i="11"/>
  <c r="R57" i="11"/>
  <c r="T57" i="11"/>
  <c r="Q57" i="11"/>
  <c r="S57" i="11"/>
  <c r="Q71" i="11"/>
  <c r="R71" i="11"/>
  <c r="S71" i="11"/>
  <c r="T71" i="11"/>
  <c r="U71" i="11"/>
  <c r="V71" i="11"/>
  <c r="U32" i="11"/>
  <c r="V32" i="11"/>
  <c r="Q32" i="11"/>
  <c r="V89" i="11"/>
  <c r="U89" i="11"/>
  <c r="T89" i="11"/>
  <c r="Q89" i="11"/>
  <c r="S89" i="11"/>
  <c r="R89" i="11"/>
  <c r="Q63" i="11"/>
  <c r="R63" i="11"/>
  <c r="S63" i="11"/>
  <c r="T63" i="11"/>
  <c r="V63" i="11"/>
  <c r="Q60" i="11"/>
  <c r="R60" i="11"/>
  <c r="Q15" i="11"/>
  <c r="R15" i="11"/>
  <c r="S15" i="11"/>
  <c r="T15" i="11"/>
  <c r="U15" i="11"/>
  <c r="V15" i="11"/>
  <c r="T39" i="11"/>
  <c r="T61" i="11"/>
  <c r="U5" i="11"/>
  <c r="T5" i="11"/>
  <c r="V5" i="11"/>
  <c r="Q100" i="11"/>
  <c r="T100" i="11"/>
  <c r="R100" i="11"/>
  <c r="V100" i="11"/>
  <c r="S100" i="11"/>
  <c r="U100" i="11"/>
  <c r="Q55" i="11"/>
  <c r="R55" i="11"/>
  <c r="T55" i="11"/>
  <c r="Q54" i="11"/>
  <c r="R54" i="11"/>
  <c r="S54" i="11"/>
  <c r="T54" i="11"/>
  <c r="U54" i="11"/>
  <c r="V54" i="11"/>
  <c r="R56" i="11"/>
  <c r="T56" i="11"/>
  <c r="V56" i="11"/>
  <c r="G96" i="11"/>
  <c r="A97" i="10" s="1"/>
  <c r="G100" i="11"/>
  <c r="A101" i="10" s="1"/>
  <c r="A100" i="10"/>
  <c r="G103" i="11"/>
  <c r="A104" i="10" s="1"/>
  <c r="G102" i="11"/>
  <c r="A103" i="10" s="1"/>
  <c r="G98" i="11"/>
  <c r="A99" i="10" s="1"/>
  <c r="G97" i="11"/>
  <c r="A98" i="10" s="1"/>
  <c r="G79" i="11"/>
  <c r="F53" i="8" a="1"/>
  <c r="F53" i="8" s="1"/>
  <c r="F67" i="8" a="1"/>
  <c r="F67" i="8" s="1"/>
  <c r="F164" i="8" a="1"/>
  <c r="F164" i="8" s="1"/>
  <c r="F140" i="8" a="1"/>
  <c r="F140" i="8" s="1"/>
  <c r="F12" i="8" a="1"/>
  <c r="F12" i="8" s="1"/>
  <c r="F206" i="8" a="1"/>
  <c r="F206" i="8" s="1"/>
  <c r="F211" i="8" a="1"/>
  <c r="F211" i="8" s="1"/>
  <c r="F44" i="8" a="1"/>
  <c r="F44" i="8" s="1"/>
  <c r="F144" i="8" a="1"/>
  <c r="F144" i="8" s="1"/>
  <c r="F108" i="8" a="1"/>
  <c r="F108" i="8" s="1"/>
  <c r="F23" i="8" a="1"/>
  <c r="F23" i="8" s="1"/>
  <c r="F98" i="8" a="1"/>
  <c r="F98" i="8" s="1"/>
  <c r="F157" i="8" a="1"/>
  <c r="F157" i="8" s="1"/>
  <c r="F95" i="8" a="1"/>
  <c r="F95" i="8" s="1"/>
  <c r="F42" i="8" a="1"/>
  <c r="F42" i="8" s="1"/>
  <c r="F99" i="8" a="1"/>
  <c r="F99" i="8" s="1"/>
  <c r="F83" i="8" a="1"/>
  <c r="F83" i="8" s="1"/>
  <c r="F162" i="8" a="1"/>
  <c r="F162" i="8" s="1"/>
  <c r="F36" i="8" a="1"/>
  <c r="F36" i="8" s="1"/>
  <c r="F193" i="8" a="1"/>
  <c r="F193" i="8" s="1"/>
  <c r="F200" i="8" a="1"/>
  <c r="F200" i="8" s="1"/>
  <c r="F196" i="8" a="1"/>
  <c r="F196" i="8" s="1"/>
  <c r="F20" i="8" a="1"/>
  <c r="F20" i="8" s="1"/>
  <c r="F54" i="8" a="1"/>
  <c r="F54" i="8" s="1"/>
  <c r="F169" i="8" a="1"/>
  <c r="F169" i="8" s="1"/>
  <c r="F29" i="8" a="1"/>
  <c r="F29" i="8" s="1"/>
  <c r="F136" i="8" a="1"/>
  <c r="F136" i="8" s="1"/>
  <c r="F173" i="8" a="1"/>
  <c r="F173" i="8" s="1"/>
  <c r="F112" i="8" a="1"/>
  <c r="F112" i="8" s="1"/>
  <c r="F201" i="8" a="1"/>
  <c r="F201" i="8" s="1"/>
  <c r="F179" i="8" a="1"/>
  <c r="F179" i="8" s="1"/>
  <c r="F156" i="8" a="1"/>
  <c r="F156" i="8" s="1"/>
  <c r="F190" i="8" a="1"/>
  <c r="F190" i="8" s="1"/>
  <c r="F91" i="8" a="1"/>
  <c r="F91" i="8" s="1"/>
  <c r="F13" i="8" a="1"/>
  <c r="F13" i="8" s="1"/>
  <c r="F15" i="8" a="1"/>
  <c r="F15" i="8" s="1"/>
  <c r="F130" i="8" a="1"/>
  <c r="F130" i="8" s="1"/>
  <c r="F80" i="8" a="1"/>
  <c r="F80" i="8" s="1"/>
  <c r="F71" i="8" a="1"/>
  <c r="F71" i="8" s="1"/>
  <c r="F186" i="8" a="1"/>
  <c r="F186" i="8" s="1"/>
  <c r="F69" i="8" a="1"/>
  <c r="F69" i="8" s="1"/>
  <c r="F68" i="8" a="1"/>
  <c r="F68" i="8" s="1"/>
  <c r="F141" i="8" a="1"/>
  <c r="F141" i="8" s="1"/>
  <c r="F77" i="8" a="1"/>
  <c r="F77" i="8" s="1"/>
  <c r="F149" i="8" a="1"/>
  <c r="F149" i="8" s="1"/>
  <c r="F17" i="8" a="1"/>
  <c r="F17" i="8" s="1"/>
  <c r="F84" i="8" a="1"/>
  <c r="F84" i="8" s="1"/>
  <c r="F166" i="8" a="1"/>
  <c r="F166" i="8" s="1"/>
  <c r="F41" i="8" a="1"/>
  <c r="F41" i="8" s="1"/>
  <c r="F205" i="8" a="1"/>
  <c r="F205" i="8" s="1"/>
  <c r="F58" i="8" a="1"/>
  <c r="F58" i="8" s="1"/>
  <c r="F103" i="8" a="1"/>
  <c r="F103" i="8" s="1"/>
  <c r="F171" i="8" a="1"/>
  <c r="F171" i="8" s="1"/>
  <c r="F97" i="8" a="1"/>
  <c r="F97" i="8" s="1"/>
  <c r="F104" i="8" a="1"/>
  <c r="F104" i="8" s="1"/>
  <c r="F49" i="8" a="1"/>
  <c r="F49" i="8" s="1"/>
  <c r="F137" i="8" a="1"/>
  <c r="F137" i="8" s="1"/>
  <c r="F131" i="8" a="1"/>
  <c r="F131" i="8" s="1"/>
  <c r="F128" i="8" a="1"/>
  <c r="F128" i="8" s="1"/>
  <c r="F153" i="8" a="1"/>
  <c r="F153" i="8" s="1"/>
  <c r="F110" i="8" a="1"/>
  <c r="F110" i="8" s="1"/>
  <c r="F168" i="8" a="1"/>
  <c r="F168" i="8" s="1"/>
  <c r="F73" i="8" a="1"/>
  <c r="F73" i="8" s="1"/>
  <c r="F60" i="8" a="1"/>
  <c r="F60" i="8" s="1"/>
  <c r="F37" i="8" a="1"/>
  <c r="F37" i="8" s="1"/>
  <c r="F177" i="8" a="1"/>
  <c r="F177" i="8" s="1"/>
  <c r="F161" i="8" a="1"/>
  <c r="F161" i="8" s="1"/>
  <c r="F129" i="8" a="1"/>
  <c r="F129" i="8" s="1"/>
  <c r="F78" i="8" a="1"/>
  <c r="F78" i="8" s="1"/>
  <c r="F199" i="8" a="1"/>
  <c r="F199" i="8" s="1"/>
  <c r="F61" i="8" a="1"/>
  <c r="F61" i="8" s="1"/>
  <c r="F100" i="8" a="1"/>
  <c r="F100" i="8" s="1"/>
  <c r="F176" i="8" a="1"/>
  <c r="F176" i="8" s="1"/>
  <c r="F155" i="8" a="1"/>
  <c r="F155" i="8" s="1"/>
  <c r="F48" i="8" a="1"/>
  <c r="F48" i="8" s="1"/>
  <c r="F182" i="8" a="1"/>
  <c r="F182" i="8" s="1"/>
  <c r="F101" i="8" a="1"/>
  <c r="F101" i="8" s="1"/>
  <c r="F170" i="8" a="1"/>
  <c r="F170" i="8" s="1"/>
  <c r="F46" i="8" a="1"/>
  <c r="F46" i="8" s="1"/>
  <c r="F184" i="8" a="1"/>
  <c r="F184" i="8" s="1"/>
  <c r="F194" i="8" a="1"/>
  <c r="F194" i="8" s="1"/>
  <c r="F24" i="8" a="1"/>
  <c r="F24" i="8" s="1"/>
  <c r="F76" i="8" a="1"/>
  <c r="F76" i="8" s="1"/>
  <c r="F142" i="8" a="1"/>
  <c r="F142" i="8" s="1"/>
  <c r="F57" i="8" a="1"/>
  <c r="F57" i="8" s="1"/>
  <c r="F119" i="8" a="1"/>
  <c r="F119" i="8" s="1"/>
  <c r="F145" i="8" a="1"/>
  <c r="F145" i="8" s="1"/>
  <c r="F74" i="8" a="1"/>
  <c r="F74" i="8" s="1"/>
  <c r="F191" i="8" a="1"/>
  <c r="F191" i="8" s="1"/>
  <c r="F39" i="8" a="1"/>
  <c r="F39" i="8" s="1"/>
  <c r="F188" i="8" a="1"/>
  <c r="F188" i="8" s="1"/>
  <c r="F138" i="8" a="1"/>
  <c r="F138" i="8" s="1"/>
  <c r="F163" i="8" a="1"/>
  <c r="F163" i="8" s="1"/>
  <c r="F16" i="8" a="1"/>
  <c r="F16" i="8" s="1"/>
  <c r="F28" i="8" a="1"/>
  <c r="F28" i="8" s="1"/>
  <c r="F116" i="8" a="1"/>
  <c r="F116" i="8" s="1"/>
  <c r="F81" i="8" a="1"/>
  <c r="F81" i="8" s="1"/>
  <c r="F210" i="8" a="1"/>
  <c r="F210" i="8" s="1"/>
  <c r="F146" i="8" a="1"/>
  <c r="F146" i="8" s="1"/>
  <c r="F89" i="8" a="1"/>
  <c r="F89" i="8" s="1"/>
  <c r="F59" i="8" a="1"/>
  <c r="F59" i="8" s="1"/>
  <c r="F88" i="8" a="1"/>
  <c r="F88" i="8" s="1"/>
  <c r="F159" i="8" a="1"/>
  <c r="F159" i="8" s="1"/>
  <c r="F31" i="8" a="1"/>
  <c r="F31" i="8" s="1"/>
  <c r="F14" i="8" a="1"/>
  <c r="F14" i="8" s="1"/>
  <c r="F202" i="8" a="1"/>
  <c r="F202" i="8" s="1"/>
  <c r="F195" i="8" a="1"/>
  <c r="F195" i="8" s="1"/>
  <c r="F187" i="8" a="1"/>
  <c r="F187" i="8" s="1"/>
  <c r="F208" i="8" a="1"/>
  <c r="F208" i="8" s="1"/>
  <c r="F172" i="8" a="1"/>
  <c r="F172" i="8" s="1"/>
  <c r="F109" i="8" a="1"/>
  <c r="F109" i="8" s="1"/>
  <c r="F96" i="8" a="1"/>
  <c r="F96" i="8" s="1"/>
  <c r="F38" i="8" a="1"/>
  <c r="F38" i="8" s="1"/>
  <c r="F22" i="8" a="1"/>
  <c r="F22" i="8" s="1"/>
  <c r="F212" i="8" a="1"/>
  <c r="F212" i="8" s="1"/>
  <c r="F21" i="8" a="1"/>
  <c r="F21" i="8" s="1"/>
  <c r="F34" i="8" a="1"/>
  <c r="F34" i="8" s="1"/>
  <c r="F90" i="8" a="1"/>
  <c r="F90" i="8" s="1"/>
  <c r="F70" i="8" a="1"/>
  <c r="F70" i="8" s="1"/>
  <c r="F30" i="8" a="1"/>
  <c r="F30" i="8" s="1"/>
  <c r="F35" i="8" a="1"/>
  <c r="F35" i="8" s="1"/>
  <c r="F143" i="8" a="1"/>
  <c r="F143" i="8" s="1"/>
  <c r="F165" i="8" a="1"/>
  <c r="F165" i="8" s="1"/>
  <c r="F154" i="8" a="1"/>
  <c r="F154" i="8" s="1"/>
  <c r="F197" i="8" a="1"/>
  <c r="F197" i="8" s="1"/>
  <c r="F94" i="8" a="1"/>
  <c r="F94" i="8" s="1"/>
  <c r="F180" i="8" a="1"/>
  <c r="F180" i="8" s="1"/>
  <c r="F47" i="8" a="1"/>
  <c r="F47" i="8" s="1"/>
  <c r="F114" i="8" a="1"/>
  <c r="F114" i="8" s="1"/>
  <c r="F43" i="8" a="1"/>
  <c r="F43" i="8" s="1"/>
  <c r="F135" i="8" a="1"/>
  <c r="F135" i="8" s="1"/>
  <c r="F207" i="8" a="1"/>
  <c r="F207" i="8" s="1"/>
  <c r="F158" i="8" a="1"/>
  <c r="F158" i="8" s="1"/>
  <c r="F127" i="8" a="1"/>
  <c r="F127" i="8" s="1"/>
  <c r="F132" i="8" a="1"/>
  <c r="F132" i="8" s="1"/>
  <c r="F113" i="8" a="1"/>
  <c r="F113" i="8" s="1"/>
  <c r="F75" i="8" a="1"/>
  <c r="F75" i="8" s="1"/>
  <c r="F151" i="8" a="1"/>
  <c r="F151" i="8" s="1"/>
  <c r="F62" i="8" a="1"/>
  <c r="F62" i="8" s="1"/>
  <c r="F82" i="8" a="1"/>
  <c r="F82" i="8" s="1"/>
  <c r="F152" i="8" a="1"/>
  <c r="F152" i="8" s="1"/>
  <c r="F51" i="8" a="1"/>
  <c r="F51" i="8" s="1"/>
  <c r="F189" i="8" a="1"/>
  <c r="F189" i="8" s="1"/>
  <c r="F92" i="8" a="1"/>
  <c r="F92" i="8" s="1"/>
  <c r="F32" i="8" a="1"/>
  <c r="F32" i="8" s="1"/>
  <c r="F148" i="8" a="1"/>
  <c r="F148" i="8" s="1"/>
  <c r="F115" i="8" a="1"/>
  <c r="F115" i="8" s="1"/>
  <c r="F66" i="8" a="1"/>
  <c r="F66" i="8" s="1"/>
  <c r="F52" i="8" a="1"/>
  <c r="F52" i="8" s="1"/>
  <c r="F133" i="8" a="1"/>
  <c r="F133" i="8" s="1"/>
  <c r="F139" i="8" a="1"/>
  <c r="F139" i="8" s="1"/>
  <c r="F79" i="8" a="1"/>
  <c r="F79" i="8" s="1"/>
  <c r="F181" i="8" a="1"/>
  <c r="F181" i="8" s="1"/>
  <c r="F118" i="8" a="1"/>
  <c r="F118" i="8" s="1"/>
  <c r="F134" i="8" a="1"/>
  <c r="F134" i="8" s="1"/>
  <c r="F120" i="8" a="1"/>
  <c r="F120" i="8" s="1"/>
  <c r="F33" i="8" a="1"/>
  <c r="F33" i="8" s="1"/>
  <c r="F25" i="8" a="1"/>
  <c r="F25" i="8" s="1"/>
  <c r="F50" i="8" a="1"/>
  <c r="F50" i="8" s="1"/>
  <c r="F18" i="8" a="1"/>
  <c r="F18" i="8" s="1"/>
  <c r="F174" i="8" a="1"/>
  <c r="F174" i="8" s="1"/>
  <c r="F56" i="8" a="1"/>
  <c r="F56" i="8" s="1"/>
  <c r="F19" i="8" a="1"/>
  <c r="F19" i="8" s="1"/>
  <c r="F204" i="8" a="1"/>
  <c r="F204" i="8" s="1"/>
  <c r="F122" i="8" a="1"/>
  <c r="F122" i="8" s="1"/>
  <c r="F65" i="8" a="1"/>
  <c r="F65" i="8" s="1"/>
  <c r="F105" i="8" a="1"/>
  <c r="F105" i="8" s="1"/>
  <c r="F45" i="8" a="1"/>
  <c r="F45" i="8" s="1"/>
  <c r="F175" i="8" a="1"/>
  <c r="F175" i="8" s="1"/>
  <c r="F125" i="8" a="1"/>
  <c r="F125" i="8" s="1"/>
  <c r="F63" i="8" a="1"/>
  <c r="F63" i="8" s="1"/>
  <c r="F126" i="8" a="1"/>
  <c r="F126" i="8" s="1"/>
  <c r="F93" i="8" a="1"/>
  <c r="F93" i="8" s="1"/>
  <c r="F87" i="8" a="1"/>
  <c r="F87" i="8" s="1"/>
  <c r="F64" i="8" a="1"/>
  <c r="F64" i="8" s="1"/>
  <c r="F27" i="8" a="1"/>
  <c r="F27" i="8" s="1"/>
  <c r="F178" i="8" a="1"/>
  <c r="F178" i="8" s="1"/>
  <c r="F111" i="8" a="1"/>
  <c r="F111" i="8" s="1"/>
  <c r="F192" i="8" a="1"/>
  <c r="F192" i="8" s="1"/>
  <c r="F123" i="8" a="1"/>
  <c r="F123" i="8" s="1"/>
  <c r="F167" i="8" a="1"/>
  <c r="F167" i="8" s="1"/>
  <c r="F107" i="8" a="1"/>
  <c r="F107" i="8" s="1"/>
  <c r="F55" i="8" a="1"/>
  <c r="F55" i="8" s="1"/>
  <c r="F102" i="8" a="1"/>
  <c r="F102" i="8" s="1"/>
  <c r="F209" i="8" a="1"/>
  <c r="F209" i="8" s="1"/>
  <c r="F26" i="8" a="1"/>
  <c r="F26" i="8" s="1"/>
  <c r="F86" i="8" a="1"/>
  <c r="F86" i="8" s="1"/>
  <c r="F106" i="8" a="1"/>
  <c r="F106" i="8" s="1"/>
  <c r="F183" i="8" a="1"/>
  <c r="F183" i="8" s="1"/>
  <c r="F185" i="8" a="1"/>
  <c r="F185" i="8" s="1"/>
  <c r="F160" i="8" a="1"/>
  <c r="F160" i="8" s="1"/>
  <c r="F198" i="8" a="1"/>
  <c r="F198" i="8" s="1"/>
  <c r="F40" i="8" a="1"/>
  <c r="F40" i="8" s="1"/>
  <c r="F147" i="8" a="1"/>
  <c r="F147" i="8" s="1"/>
  <c r="F150" i="8" a="1"/>
  <c r="F150" i="8" s="1"/>
  <c r="F85" i="8" a="1"/>
  <c r="F85" i="8" s="1"/>
  <c r="F117" i="8" a="1"/>
  <c r="F117" i="8" s="1"/>
  <c r="F124" i="8" a="1"/>
  <c r="F124" i="8" s="1"/>
  <c r="F121" i="8" a="1"/>
  <c r="F121" i="8" s="1"/>
  <c r="F72" i="8" a="1"/>
  <c r="F72" i="8" s="1"/>
  <c r="F203" i="8" a="1"/>
  <c r="F203" i="8" s="1"/>
  <c r="F11" i="8" a="1"/>
  <c r="F11" i="8" s="1"/>
  <c r="F5" i="8" a="1"/>
  <c r="F5" i="8" s="1"/>
  <c r="F3" i="8" a="1"/>
  <c r="F3" i="8" s="1"/>
  <c r="F4" i="8" a="1"/>
  <c r="F4" i="8" s="1"/>
  <c r="F10" i="8" a="1"/>
  <c r="F10" i="8" s="1"/>
  <c r="F2" i="8" a="1"/>
  <c r="F2" i="8" s="1"/>
  <c r="F6" i="8" a="1"/>
  <c r="F6" i="8" s="1"/>
  <c r="F8" i="8" a="1"/>
  <c r="F8" i="8" s="1"/>
  <c r="F9" i="8" a="1"/>
  <c r="F9" i="8" s="1"/>
  <c r="F7" i="8" a="1"/>
  <c r="F7" i="8" s="1"/>
  <c r="H3" i="8"/>
  <c r="I3" i="8"/>
  <c r="C3" i="8"/>
  <c r="H67" i="8"/>
  <c r="I67" i="8"/>
  <c r="C67" i="8"/>
  <c r="H164" i="8"/>
  <c r="I164" i="8"/>
  <c r="C164" i="8"/>
  <c r="I140" i="8"/>
  <c r="H140" i="8"/>
  <c r="C140" i="8"/>
  <c r="I206" i="8"/>
  <c r="H206" i="8"/>
  <c r="C206" i="8"/>
  <c r="I44" i="8"/>
  <c r="H44" i="8"/>
  <c r="C44" i="8"/>
  <c r="H39" i="8"/>
  <c r="I39" i="8"/>
  <c r="C39" i="8"/>
  <c r="I108" i="8"/>
  <c r="H108" i="8"/>
  <c r="C108" i="8"/>
  <c r="H4" i="8"/>
  <c r="I4" i="8"/>
  <c r="C4" i="8"/>
  <c r="H98" i="8"/>
  <c r="I98" i="8"/>
  <c r="C98" i="8"/>
  <c r="I2" i="8"/>
  <c r="H2" i="8"/>
  <c r="G2" i="8"/>
  <c r="H60" i="8"/>
  <c r="I60" i="8"/>
  <c r="C60" i="8"/>
  <c r="I77" i="8"/>
  <c r="H77" i="8"/>
  <c r="C77" i="8"/>
  <c r="I208" i="8"/>
  <c r="H208" i="8"/>
  <c r="C208" i="8"/>
  <c r="I42" i="8"/>
  <c r="H42" i="8"/>
  <c r="C42" i="8"/>
  <c r="H99" i="8"/>
  <c r="I99" i="8"/>
  <c r="C99" i="8"/>
  <c r="I128" i="8"/>
  <c r="H128" i="8"/>
  <c r="C128" i="8"/>
  <c r="I104" i="8"/>
  <c r="H104" i="8"/>
  <c r="C104" i="8"/>
  <c r="I82" i="8"/>
  <c r="H82" i="8"/>
  <c r="C82" i="8"/>
  <c r="I193" i="8"/>
  <c r="H193" i="8"/>
  <c r="C193" i="8"/>
  <c r="I200" i="8"/>
  <c r="H200" i="8"/>
  <c r="C200" i="8"/>
  <c r="H196" i="8"/>
  <c r="I196" i="8"/>
  <c r="C196" i="8"/>
  <c r="I201" i="8"/>
  <c r="H201" i="8"/>
  <c r="C201" i="8"/>
  <c r="I179" i="8"/>
  <c r="H179" i="8"/>
  <c r="C179" i="8"/>
  <c r="I6" i="8"/>
  <c r="H6" i="8"/>
  <c r="C6" i="8"/>
  <c r="I29" i="8"/>
  <c r="H29" i="8"/>
  <c r="C29" i="8"/>
  <c r="I136" i="8"/>
  <c r="H136" i="8"/>
  <c r="C136" i="8"/>
  <c r="I173" i="8"/>
  <c r="H173" i="8"/>
  <c r="C173" i="8"/>
  <c r="H5" i="8"/>
  <c r="I5" i="8"/>
  <c r="C5" i="8"/>
  <c r="H194" i="8"/>
  <c r="I194" i="8"/>
  <c r="C194" i="8"/>
  <c r="H36" i="8"/>
  <c r="I36" i="8"/>
  <c r="C36" i="8"/>
  <c r="I190" i="8"/>
  <c r="H190" i="8"/>
  <c r="C190" i="8"/>
  <c r="I91" i="8"/>
  <c r="H91" i="8"/>
  <c r="C91" i="8"/>
  <c r="I13" i="8"/>
  <c r="H13" i="8"/>
  <c r="C13" i="8"/>
  <c r="I15" i="8"/>
  <c r="H15" i="8"/>
  <c r="C15" i="8"/>
  <c r="I102" i="8"/>
  <c r="H102" i="8"/>
  <c r="C102" i="8"/>
  <c r="I54" i="8"/>
  <c r="H54" i="8"/>
  <c r="C54" i="8"/>
  <c r="I119" i="8"/>
  <c r="H119" i="8"/>
  <c r="C119" i="8"/>
  <c r="I17" i="8"/>
  <c r="H17" i="8"/>
  <c r="C17" i="8"/>
  <c r="H186" i="8"/>
  <c r="I186" i="8"/>
  <c r="C186" i="8"/>
  <c r="H69" i="8"/>
  <c r="I69" i="8"/>
  <c r="C69" i="8"/>
  <c r="H68" i="8"/>
  <c r="I68" i="8"/>
  <c r="C68" i="8"/>
  <c r="I141" i="8"/>
  <c r="H141" i="8"/>
  <c r="C141" i="8"/>
  <c r="I20" i="8"/>
  <c r="H20" i="8"/>
  <c r="C20" i="8"/>
  <c r="I23" i="8"/>
  <c r="H23" i="8"/>
  <c r="C23" i="8"/>
  <c r="I48" i="8"/>
  <c r="H48" i="8"/>
  <c r="C48" i="8"/>
  <c r="I62" i="8"/>
  <c r="H62" i="8"/>
  <c r="C62" i="8"/>
  <c r="I110" i="8"/>
  <c r="H110" i="8"/>
  <c r="C110" i="8"/>
  <c r="I33" i="8"/>
  <c r="H33" i="8"/>
  <c r="C33" i="8"/>
  <c r="I166" i="8"/>
  <c r="H166" i="8"/>
  <c r="C166" i="8"/>
  <c r="I41" i="8"/>
  <c r="H41" i="8"/>
  <c r="C41" i="8"/>
  <c r="I205" i="8"/>
  <c r="H205" i="8"/>
  <c r="C205" i="8"/>
  <c r="I83" i="8"/>
  <c r="H83" i="8"/>
  <c r="C83" i="8"/>
  <c r="I57" i="8"/>
  <c r="H57" i="8"/>
  <c r="C57" i="8"/>
  <c r="I134" i="8"/>
  <c r="H134" i="8"/>
  <c r="C134" i="8"/>
  <c r="I120" i="8"/>
  <c r="H120" i="8"/>
  <c r="C120" i="8"/>
  <c r="I103" i="8"/>
  <c r="H103" i="8"/>
  <c r="C103" i="8"/>
  <c r="I171" i="8"/>
  <c r="H171" i="8"/>
  <c r="C171" i="8"/>
  <c r="I97" i="8"/>
  <c r="H97" i="8"/>
  <c r="C97" i="8"/>
  <c r="I184" i="8"/>
  <c r="H184" i="8"/>
  <c r="C184" i="8"/>
  <c r="H162" i="8"/>
  <c r="I162" i="8"/>
  <c r="C162" i="8"/>
  <c r="I172" i="8"/>
  <c r="H172" i="8"/>
  <c r="C172" i="8"/>
  <c r="I51" i="8"/>
  <c r="H51" i="8"/>
  <c r="C51" i="8"/>
  <c r="I8" i="8"/>
  <c r="H8" i="8"/>
  <c r="C8" i="8"/>
  <c r="I137" i="8"/>
  <c r="H137" i="8"/>
  <c r="C137" i="8"/>
  <c r="H131" i="8"/>
  <c r="I131" i="8"/>
  <c r="C131" i="8"/>
  <c r="I63" i="8"/>
  <c r="H63" i="8"/>
  <c r="C63" i="8"/>
  <c r="I49" i="8"/>
  <c r="H49" i="8"/>
  <c r="C49" i="8"/>
  <c r="I11" i="8"/>
  <c r="H11" i="8"/>
  <c r="C11" i="8"/>
  <c r="I168" i="8"/>
  <c r="H168" i="8"/>
  <c r="C168" i="8"/>
  <c r="I73" i="8"/>
  <c r="H73" i="8"/>
  <c r="C73" i="8"/>
  <c r="I155" i="8"/>
  <c r="H155" i="8"/>
  <c r="C155" i="8"/>
  <c r="I16" i="8"/>
  <c r="H16" i="8"/>
  <c r="C16" i="8"/>
  <c r="I188" i="8"/>
  <c r="H188" i="8"/>
  <c r="C188" i="8"/>
  <c r="I161" i="8"/>
  <c r="H161" i="8"/>
  <c r="C161" i="8"/>
  <c r="I129" i="8"/>
  <c r="H129" i="8"/>
  <c r="C129" i="8"/>
  <c r="I78" i="8"/>
  <c r="H78" i="8"/>
  <c r="C78" i="8"/>
  <c r="I53" i="8"/>
  <c r="H53" i="8"/>
  <c r="C53" i="8"/>
  <c r="I80" i="8"/>
  <c r="H80" i="8"/>
  <c r="C80" i="8"/>
  <c r="I95" i="8"/>
  <c r="H95" i="8"/>
  <c r="C95" i="8"/>
  <c r="I61" i="8"/>
  <c r="H61" i="8"/>
  <c r="C61" i="8"/>
  <c r="H100" i="8"/>
  <c r="I100" i="8"/>
  <c r="C100" i="8"/>
  <c r="I176" i="8"/>
  <c r="H176" i="8"/>
  <c r="C176" i="8"/>
  <c r="I75" i="8"/>
  <c r="H75" i="8"/>
  <c r="C75" i="8"/>
  <c r="I118" i="8"/>
  <c r="H118" i="8"/>
  <c r="C118" i="8"/>
  <c r="I24" i="8"/>
  <c r="H24" i="8"/>
  <c r="C24" i="8"/>
  <c r="I59" i="8"/>
  <c r="H59" i="8"/>
  <c r="C59" i="8"/>
  <c r="I170" i="8"/>
  <c r="H170" i="8"/>
  <c r="C170" i="8"/>
  <c r="I46" i="8"/>
  <c r="H46" i="8"/>
  <c r="C46" i="8"/>
  <c r="I144" i="8"/>
  <c r="H144" i="8"/>
  <c r="C144" i="8"/>
  <c r="I169" i="8"/>
  <c r="H169" i="8"/>
  <c r="C169" i="8"/>
  <c r="I145" i="8"/>
  <c r="H145" i="8"/>
  <c r="C145" i="8"/>
  <c r="I76" i="8"/>
  <c r="H76" i="8"/>
  <c r="C76" i="8"/>
  <c r="I142" i="8"/>
  <c r="H142" i="8"/>
  <c r="C142" i="8"/>
  <c r="I211" i="8"/>
  <c r="H211" i="8"/>
  <c r="C211" i="8"/>
  <c r="I157" i="8"/>
  <c r="H157" i="8"/>
  <c r="C157" i="8"/>
  <c r="I177" i="8"/>
  <c r="H177" i="8"/>
  <c r="C177" i="8"/>
  <c r="I74" i="8"/>
  <c r="H74" i="8"/>
  <c r="C74" i="8"/>
  <c r="I191" i="8"/>
  <c r="H191" i="8"/>
  <c r="C191" i="8"/>
  <c r="I199" i="8"/>
  <c r="H199" i="8"/>
  <c r="C199" i="8"/>
  <c r="I182" i="8"/>
  <c r="H182" i="8"/>
  <c r="C182" i="8"/>
  <c r="I40" i="8"/>
  <c r="H40" i="8"/>
  <c r="C40" i="8"/>
  <c r="H163" i="8"/>
  <c r="I163" i="8"/>
  <c r="C163" i="8"/>
  <c r="H130" i="8"/>
  <c r="I130" i="8"/>
  <c r="C130" i="8"/>
  <c r="I151" i="8"/>
  <c r="H151" i="8"/>
  <c r="C151" i="8"/>
  <c r="H197" i="8"/>
  <c r="I197" i="8"/>
  <c r="C197" i="8"/>
  <c r="I106" i="8"/>
  <c r="H106" i="8"/>
  <c r="C106" i="8"/>
  <c r="I109" i="8"/>
  <c r="H109" i="8"/>
  <c r="C109" i="8"/>
  <c r="I47" i="8"/>
  <c r="H47" i="8"/>
  <c r="C47" i="8"/>
  <c r="I114" i="8"/>
  <c r="H114" i="8"/>
  <c r="C114" i="8"/>
  <c r="I22" i="8"/>
  <c r="H22" i="8"/>
  <c r="C22" i="8"/>
  <c r="I9" i="8"/>
  <c r="H9" i="8"/>
  <c r="C9" i="8"/>
  <c r="I174" i="8"/>
  <c r="H174" i="8"/>
  <c r="C174" i="8"/>
  <c r="I207" i="8"/>
  <c r="H207" i="8"/>
  <c r="C207" i="8"/>
  <c r="I88" i="8"/>
  <c r="H88" i="8"/>
  <c r="C88" i="8"/>
  <c r="I159" i="8"/>
  <c r="H159" i="8"/>
  <c r="C159" i="8"/>
  <c r="I31" i="8"/>
  <c r="H31" i="8"/>
  <c r="C31" i="8"/>
  <c r="I14" i="8"/>
  <c r="H14" i="8"/>
  <c r="C14" i="8"/>
  <c r="I202" i="8"/>
  <c r="H202" i="8"/>
  <c r="C202" i="8"/>
  <c r="I125" i="8"/>
  <c r="H125" i="8"/>
  <c r="C125" i="8"/>
  <c r="H37" i="8"/>
  <c r="I37" i="8"/>
  <c r="C37" i="8"/>
  <c r="I58" i="8"/>
  <c r="H58" i="8"/>
  <c r="C58" i="8"/>
  <c r="I94" i="8"/>
  <c r="H94" i="8"/>
  <c r="C94" i="8"/>
  <c r="I87" i="8"/>
  <c r="H87" i="8"/>
  <c r="C87" i="8"/>
  <c r="H92" i="8"/>
  <c r="I92" i="8"/>
  <c r="C92" i="8"/>
  <c r="I56" i="8"/>
  <c r="H56" i="8"/>
  <c r="C56" i="8"/>
  <c r="I90" i="8"/>
  <c r="H90" i="8"/>
  <c r="C90" i="8"/>
  <c r="I70" i="8"/>
  <c r="H70" i="8"/>
  <c r="C70" i="8"/>
  <c r="I30" i="8"/>
  <c r="H30" i="8"/>
  <c r="C30" i="8"/>
  <c r="H35" i="8"/>
  <c r="I35" i="8"/>
  <c r="C35" i="8"/>
  <c r="I143" i="8"/>
  <c r="H143" i="8"/>
  <c r="C143" i="8"/>
  <c r="I181" i="8"/>
  <c r="H181" i="8"/>
  <c r="C181" i="8"/>
  <c r="H154" i="8"/>
  <c r="I154" i="8"/>
  <c r="C154" i="8"/>
  <c r="I86" i="8"/>
  <c r="H86" i="8"/>
  <c r="C86" i="8"/>
  <c r="I152" i="8"/>
  <c r="H152" i="8"/>
  <c r="C152" i="8"/>
  <c r="I96" i="8"/>
  <c r="H96" i="8"/>
  <c r="C96" i="8"/>
  <c r="I50" i="8"/>
  <c r="H50" i="8"/>
  <c r="C50" i="8"/>
  <c r="I89" i="8"/>
  <c r="H89" i="8"/>
  <c r="C89" i="8"/>
  <c r="I212" i="8"/>
  <c r="H212" i="8"/>
  <c r="C212" i="8"/>
  <c r="I21" i="8"/>
  <c r="H21" i="8"/>
  <c r="C21" i="8"/>
  <c r="H34" i="8"/>
  <c r="I34" i="8"/>
  <c r="C34" i="8"/>
  <c r="I147" i="8"/>
  <c r="H147" i="8"/>
  <c r="C147" i="8"/>
  <c r="I158" i="8"/>
  <c r="H158" i="8"/>
  <c r="C158" i="8"/>
  <c r="I7" i="8"/>
  <c r="H7" i="8"/>
  <c r="C7" i="8"/>
  <c r="I127" i="8"/>
  <c r="H127" i="8"/>
  <c r="C127" i="8"/>
  <c r="H132" i="8"/>
  <c r="I132" i="8"/>
  <c r="C132" i="8"/>
  <c r="I113" i="8"/>
  <c r="H113" i="8"/>
  <c r="C113" i="8"/>
  <c r="H195" i="8"/>
  <c r="I195" i="8"/>
  <c r="C195" i="8"/>
  <c r="I10" i="8"/>
  <c r="H10" i="8"/>
  <c r="C10" i="8"/>
  <c r="I28" i="8"/>
  <c r="H28" i="8"/>
  <c r="C28" i="8"/>
  <c r="I126" i="8"/>
  <c r="H126" i="8"/>
  <c r="C126" i="8"/>
  <c r="I84" i="8"/>
  <c r="H84" i="8"/>
  <c r="C84" i="8"/>
  <c r="I183" i="8"/>
  <c r="H183" i="8"/>
  <c r="C183" i="8"/>
  <c r="I38" i="8"/>
  <c r="H38" i="8"/>
  <c r="C38" i="8"/>
  <c r="I18" i="8"/>
  <c r="H18" i="8"/>
  <c r="C18" i="8"/>
  <c r="I32" i="8"/>
  <c r="H32" i="8"/>
  <c r="C32" i="8"/>
  <c r="I148" i="8"/>
  <c r="H148" i="8"/>
  <c r="C148" i="8"/>
  <c r="I19" i="8"/>
  <c r="H19" i="8"/>
  <c r="C19" i="8"/>
  <c r="I150" i="8"/>
  <c r="H150" i="8"/>
  <c r="C150" i="8"/>
  <c r="I52" i="8"/>
  <c r="H52" i="8"/>
  <c r="C52" i="8"/>
  <c r="H133" i="8"/>
  <c r="I133" i="8"/>
  <c r="C133" i="8"/>
  <c r="I139" i="8"/>
  <c r="H139" i="8"/>
  <c r="C139" i="8"/>
  <c r="I79" i="8"/>
  <c r="H79" i="8"/>
  <c r="C79" i="8"/>
  <c r="I12" i="8"/>
  <c r="H12" i="8"/>
  <c r="C12" i="8"/>
  <c r="I209" i="8"/>
  <c r="H209" i="8"/>
  <c r="C209" i="8"/>
  <c r="I153" i="8"/>
  <c r="H153" i="8"/>
  <c r="C153" i="8"/>
  <c r="H156" i="8"/>
  <c r="I156" i="8"/>
  <c r="C156" i="8"/>
  <c r="I81" i="8"/>
  <c r="H81" i="8"/>
  <c r="C81" i="8"/>
  <c r="I25" i="8"/>
  <c r="H25" i="8"/>
  <c r="C25" i="8"/>
  <c r="I185" i="8"/>
  <c r="H185" i="8"/>
  <c r="C185" i="8"/>
  <c r="H101" i="8"/>
  <c r="I101" i="8"/>
  <c r="C101" i="8"/>
  <c r="I135" i="8"/>
  <c r="H135" i="8"/>
  <c r="C135" i="8"/>
  <c r="I115" i="8"/>
  <c r="H115" i="8"/>
  <c r="C115" i="8"/>
  <c r="I204" i="8"/>
  <c r="H204" i="8"/>
  <c r="C204" i="8"/>
  <c r="H122" i="8"/>
  <c r="I122" i="8"/>
  <c r="C122" i="8"/>
  <c r="I65" i="8"/>
  <c r="H65" i="8"/>
  <c r="C65" i="8"/>
  <c r="I105" i="8"/>
  <c r="H105" i="8"/>
  <c r="C105" i="8"/>
  <c r="I45" i="8"/>
  <c r="H45" i="8"/>
  <c r="C45" i="8"/>
  <c r="I175" i="8"/>
  <c r="H175" i="8"/>
  <c r="C175" i="8"/>
  <c r="I112" i="8"/>
  <c r="H112" i="8"/>
  <c r="C112" i="8"/>
  <c r="I187" i="8"/>
  <c r="H187" i="8"/>
  <c r="C187" i="8"/>
  <c r="I149" i="8"/>
  <c r="H149" i="8"/>
  <c r="C149" i="8"/>
  <c r="I116" i="8"/>
  <c r="H116" i="8"/>
  <c r="C116" i="8"/>
  <c r="I180" i="8"/>
  <c r="H180" i="8"/>
  <c r="C180" i="8"/>
  <c r="I210" i="8"/>
  <c r="H210" i="8"/>
  <c r="C210" i="8"/>
  <c r="I146" i="8"/>
  <c r="H146" i="8"/>
  <c r="C146" i="8"/>
  <c r="I160" i="8"/>
  <c r="H160" i="8"/>
  <c r="C160" i="8"/>
  <c r="I198" i="8"/>
  <c r="H198" i="8"/>
  <c r="C198" i="8"/>
  <c r="I27" i="8"/>
  <c r="H27" i="8"/>
  <c r="C27" i="8"/>
  <c r="I178" i="8"/>
  <c r="H178" i="8"/>
  <c r="C178" i="8"/>
  <c r="I111" i="8"/>
  <c r="H111" i="8"/>
  <c r="C111" i="8"/>
  <c r="H192" i="8"/>
  <c r="I192" i="8"/>
  <c r="C192" i="8"/>
  <c r="I123" i="8"/>
  <c r="H123" i="8"/>
  <c r="C123" i="8"/>
  <c r="I167" i="8"/>
  <c r="H167" i="8"/>
  <c r="C167" i="8"/>
  <c r="I107" i="8"/>
  <c r="H107" i="8"/>
  <c r="C107" i="8"/>
  <c r="I55" i="8"/>
  <c r="H55" i="8"/>
  <c r="C55" i="8"/>
  <c r="H165" i="8"/>
  <c r="I165" i="8"/>
  <c r="C165" i="8"/>
  <c r="I26" i="8"/>
  <c r="H26" i="8"/>
  <c r="C26" i="8"/>
  <c r="I71" i="8"/>
  <c r="H71" i="8"/>
  <c r="C71" i="8"/>
  <c r="I93" i="8"/>
  <c r="H93" i="8"/>
  <c r="C93" i="8"/>
  <c r="I189" i="8"/>
  <c r="H189" i="8"/>
  <c r="C189" i="8"/>
  <c r="I64" i="8"/>
  <c r="H64" i="8"/>
  <c r="C64" i="8"/>
  <c r="I43" i="8"/>
  <c r="H43" i="8"/>
  <c r="C43" i="8"/>
  <c r="I138" i="8"/>
  <c r="H138" i="8"/>
  <c r="C138" i="8"/>
  <c r="H66" i="8"/>
  <c r="I66" i="8"/>
  <c r="C66" i="8"/>
  <c r="I85" i="8"/>
  <c r="H85" i="8"/>
  <c r="C85" i="8"/>
  <c r="I117" i="8"/>
  <c r="H117" i="8"/>
  <c r="C117" i="8"/>
  <c r="I124" i="8"/>
  <c r="H124" i="8"/>
  <c r="C124" i="8"/>
  <c r="I121" i="8"/>
  <c r="H121" i="8"/>
  <c r="C121" i="8"/>
  <c r="I72" i="8"/>
  <c r="H72" i="8"/>
  <c r="C72" i="8"/>
  <c r="I203" i="8"/>
  <c r="H203" i="8"/>
  <c r="C203" i="8"/>
  <c r="R192" i="8" a="1"/>
  <c r="O180" i="8" a="1"/>
  <c r="V181" i="8" a="1"/>
  <c r="S68" i="8" a="1"/>
  <c r="L94" i="8" a="1"/>
  <c r="S109" i="8" a="1"/>
  <c r="N79" i="8" a="1"/>
  <c r="Q131" i="8" a="1"/>
  <c r="T188" i="8" a="1"/>
  <c r="T196" i="8" a="1"/>
  <c r="R61" i="8" a="1"/>
  <c r="M31" i="11" a="1"/>
  <c r="L167" i="8" a="1"/>
  <c r="O20" i="8" a="1"/>
  <c r="S31" i="8" a="1"/>
  <c r="M207" i="8" a="1"/>
  <c r="Q66" i="8" a="1"/>
  <c r="N212" i="8" a="1"/>
  <c r="Q5" i="8" a="1"/>
  <c r="J44" i="8" a="1"/>
  <c r="L131" i="8" a="1"/>
  <c r="M20" i="8" a="1"/>
  <c r="T158" i="8" a="1"/>
  <c r="O128" i="8" a="1"/>
  <c r="N31" i="11" a="1"/>
  <c r="O160" i="8" a="1"/>
  <c r="M94" i="8" a="1"/>
  <c r="S152" i="8" a="1"/>
  <c r="S172" i="8" a="1"/>
  <c r="V158" i="8" a="1"/>
  <c r="R111" i="8" a="1"/>
  <c r="Q147" i="8" a="1"/>
  <c r="N162" i="8" a="1"/>
  <c r="U132" i="8" a="1"/>
  <c r="Q184" i="8" a="1"/>
  <c r="L44" i="11" a="1"/>
  <c r="J113" i="8" a="1"/>
  <c r="R186" i="8" a="1"/>
  <c r="N198" i="8" a="1"/>
  <c r="O109" i="8" a="1"/>
  <c r="V56" i="8" a="1"/>
  <c r="Q61" i="8" a="1"/>
  <c r="V52" i="8" a="1"/>
  <c r="V9" i="8" a="1"/>
  <c r="J11" i="8" a="1"/>
  <c r="O86" i="11" a="1"/>
  <c r="S6" i="8" a="1"/>
  <c r="L176" i="8" a="1"/>
  <c r="R80" i="8" a="1"/>
  <c r="U51" i="8" a="1"/>
  <c r="O96" i="8" a="1"/>
  <c r="N39" i="8" a="1"/>
  <c r="R37" i="8" a="1"/>
  <c r="N90" i="8" a="1"/>
  <c r="L64" i="8" a="1"/>
  <c r="K4" i="11" a="1"/>
  <c r="V81" i="8" a="1"/>
  <c r="O147" i="8" a="1"/>
  <c r="U16" i="8" a="1"/>
  <c r="L22" i="8" a="1"/>
  <c r="M50" i="11" a="1"/>
  <c r="J92" i="8" a="1"/>
  <c r="Q67" i="8" a="1"/>
  <c r="J11" i="11" a="1"/>
  <c r="K59" i="11" a="1"/>
  <c r="V163" i="8" a="1"/>
  <c r="L23" i="8" a="1"/>
  <c r="Q176" i="8" a="1"/>
  <c r="S153" i="8" a="1"/>
  <c r="R91" i="8" a="1"/>
  <c r="S72" i="8" a="1"/>
  <c r="L170" i="8" a="1"/>
  <c r="J45" i="11" a="1"/>
  <c r="M45" i="8" a="1"/>
  <c r="M83" i="8" a="1"/>
  <c r="N146" i="8" a="1"/>
  <c r="N62" i="11" a="1"/>
  <c r="J5" i="11" a="1"/>
  <c r="R48" i="8" a="1"/>
  <c r="U187" i="8" a="1"/>
  <c r="M179" i="8" a="1"/>
  <c r="K125" i="8" a="1"/>
  <c r="U105" i="8" a="1"/>
  <c r="O78" i="8" a="1"/>
  <c r="Q199" i="8" a="1"/>
  <c r="K14" i="8" a="1"/>
  <c r="R73" i="8" a="1"/>
  <c r="O172" i="8" a="1"/>
  <c r="K73" i="11" a="1"/>
  <c r="K46" i="11" a="1"/>
  <c r="J2" i="8" a="1"/>
  <c r="U184" i="8" a="1"/>
  <c r="M72" i="11" a="1"/>
  <c r="U178" i="8" a="1"/>
  <c r="S156" i="8" a="1"/>
  <c r="Q130" i="8" a="1"/>
  <c r="T141" i="8" a="1"/>
  <c r="U170" i="8" a="1"/>
  <c r="R13" i="8" a="1"/>
  <c r="V48" i="8" a="1"/>
  <c r="S55" i="8" a="1"/>
  <c r="O174" i="8" a="1"/>
  <c r="K190" i="8" a="1"/>
  <c r="M137" i="8" a="1"/>
  <c r="O56" i="8" a="1"/>
  <c r="M91" i="11" a="1"/>
  <c r="U209" i="8" a="1"/>
  <c r="V125" i="8" a="1"/>
  <c r="L137" i="8" a="1"/>
  <c r="Q204" i="8" a="1"/>
  <c r="R196" i="8" a="1"/>
  <c r="J206" i="8" a="1"/>
  <c r="S17" i="8" a="1"/>
  <c r="J140" i="8" a="1"/>
  <c r="T153" i="8" a="1"/>
  <c r="M40" i="8" a="1"/>
  <c r="S191" i="8" a="1"/>
  <c r="R15" i="8" a="1"/>
  <c r="O13" i="8" a="1"/>
  <c r="K48" i="11" a="1"/>
  <c r="M48" i="8" a="1"/>
  <c r="R144" i="8" a="1"/>
  <c r="J10" i="11" a="1"/>
  <c r="R29" i="8" a="1"/>
  <c r="L4" i="11" a="1"/>
  <c r="Q9" i="8" a="1"/>
  <c r="Q195" i="8" a="1"/>
  <c r="L90" i="11" a="1"/>
  <c r="N148" i="8" a="1"/>
  <c r="M6" i="11" a="1"/>
  <c r="V53" i="8" a="1"/>
  <c r="R171" i="8" a="1"/>
  <c r="V207" i="8" a="1"/>
  <c r="L169" i="8" a="1"/>
  <c r="O159" i="8" a="1"/>
  <c r="K143" i="8" a="1"/>
  <c r="R31" i="8" a="1"/>
  <c r="V192" i="8" a="1"/>
  <c r="Q126" i="8" a="1"/>
  <c r="V3" i="8" a="1"/>
  <c r="V102" i="8" a="1"/>
  <c r="J123" i="8" a="1"/>
  <c r="O210" i="8" a="1"/>
  <c r="K92" i="8" a="1"/>
  <c r="J109" i="8" a="1"/>
  <c r="N62" i="8" a="1"/>
  <c r="T19" i="8" a="1"/>
  <c r="Q193" i="8" a="1"/>
  <c r="M79" i="8" a="1"/>
  <c r="M70" i="11" a="1"/>
  <c r="L49" i="11" a="1"/>
  <c r="M167" i="8" a="1"/>
  <c r="U130" i="8" a="1"/>
  <c r="K92" i="11" a="1"/>
  <c r="S132" i="8" a="1"/>
  <c r="M44" i="11" a="1"/>
  <c r="N64" i="11" a="1"/>
  <c r="J189" i="8" a="1"/>
  <c r="O114" i="8" a="1"/>
  <c r="J27" i="8" a="1"/>
  <c r="L114" i="8" a="1"/>
  <c r="U119" i="8" a="1"/>
  <c r="O4" i="11" a="1"/>
  <c r="N45" i="8" a="1"/>
  <c r="V8" i="8" a="1"/>
  <c r="J194" i="8" a="1"/>
  <c r="Q64" i="8" a="1"/>
  <c r="U45" i="8" a="1"/>
  <c r="V144" i="8" a="1"/>
  <c r="J62" i="8" a="1"/>
  <c r="S71" i="8" a="1"/>
  <c r="J168" i="8" a="1"/>
  <c r="Q110" i="8" a="1"/>
  <c r="R177" i="8" a="1"/>
  <c r="N172" i="8" a="1"/>
  <c r="L26" i="11" a="1"/>
  <c r="K24" i="11" a="1"/>
  <c r="K42" i="11" a="1"/>
  <c r="U56" i="8" a="1"/>
  <c r="K101" i="8" a="1"/>
  <c r="O111" i="8" a="1"/>
  <c r="M164" i="8" a="1"/>
  <c r="N140" i="8" a="1"/>
  <c r="L25" i="8" a="1"/>
  <c r="R70" i="8" a="1"/>
  <c r="T179" i="8" a="1"/>
  <c r="V84" i="8" a="1"/>
  <c r="T34" i="8" a="1"/>
  <c r="J74" i="11" a="1"/>
  <c r="M4" i="11" a="1"/>
  <c r="M140" i="8" a="1"/>
  <c r="L100" i="8" a="1"/>
  <c r="L56" i="8" a="1"/>
  <c r="R18" i="8" a="1"/>
  <c r="N63" i="8" a="1"/>
  <c r="R130" i="8" a="1"/>
  <c r="M128" i="8" a="1"/>
  <c r="N40" i="8" a="1"/>
  <c r="T70" i="8" a="1"/>
  <c r="R193" i="8" a="1"/>
  <c r="V145" i="8" a="1"/>
  <c r="M51" i="8" a="1"/>
  <c r="K32" i="8" a="1"/>
  <c r="Q143" i="8" a="1"/>
  <c r="O85" i="8" a="1"/>
  <c r="M52" i="8" a="1"/>
  <c r="N66" i="8" a="1"/>
  <c r="T68" i="8" a="1"/>
  <c r="S53" i="8" a="1"/>
  <c r="M54" i="11" a="1"/>
  <c r="O152" i="8" a="1"/>
  <c r="J84" i="8" a="1"/>
  <c r="T76" i="8" a="1"/>
  <c r="V34" i="8" a="1"/>
  <c r="J77" i="11" a="1"/>
  <c r="U133" i="8" a="1"/>
  <c r="K12" i="8" a="1"/>
  <c r="V7" i="8" a="1"/>
  <c r="J195" i="8" a="1"/>
  <c r="O86" i="8" a="1"/>
  <c r="J155" i="8" a="1"/>
  <c r="J34" i="11" a="1"/>
  <c r="K89" i="11" a="1"/>
  <c r="Q48" i="8" a="1"/>
  <c r="O33" i="8" a="1"/>
  <c r="O56" i="11" a="1"/>
  <c r="J120" i="8" a="1"/>
  <c r="N7" i="11" a="1"/>
  <c r="S171" i="8" a="1"/>
  <c r="R82" i="8" a="1"/>
  <c r="T130" i="8" a="1"/>
  <c r="N114" i="8" a="1"/>
  <c r="K157" i="8" a="1"/>
  <c r="N46" i="8" a="1"/>
  <c r="R179" i="8" a="1"/>
  <c r="S2" i="8" a="1"/>
  <c r="U34" i="8" a="1"/>
  <c r="O5" i="8" a="1"/>
  <c r="M157" i="8" a="1"/>
  <c r="L3" i="8" a="1"/>
  <c r="M103" i="8" a="1"/>
  <c r="T54" i="8" a="1"/>
  <c r="N49" i="8" a="1"/>
  <c r="M209" i="8" a="1"/>
  <c r="L149" i="8" a="1"/>
  <c r="K11" i="8" a="1"/>
  <c r="L14" i="8" a="1"/>
  <c r="T132" i="8" a="1"/>
  <c r="N168" i="8" a="1"/>
  <c r="V161" i="8" a="1"/>
  <c r="J82" i="8" a="1"/>
  <c r="L92" i="11" a="1"/>
  <c r="K205" i="8" a="1"/>
  <c r="T195" i="8" a="1"/>
  <c r="J182" i="8" a="1"/>
  <c r="L52" i="8" a="1"/>
  <c r="K109" i="8" a="1"/>
  <c r="O50" i="8" a="1"/>
  <c r="O179" i="8" a="1"/>
  <c r="L148" i="8" a="1"/>
  <c r="N89" i="11" a="1"/>
  <c r="Q129" i="8" a="1"/>
  <c r="T31" i="8" a="1"/>
  <c r="U164" i="8" a="1"/>
  <c r="Q125" i="8" a="1"/>
  <c r="Q42" i="8" a="1"/>
  <c r="T143" i="8" a="1"/>
  <c r="J34" i="8" a="1"/>
  <c r="U39" i="8" a="1"/>
  <c r="V33" i="8" a="1"/>
  <c r="L63" i="11" a="1"/>
  <c r="K153" i="8" a="1"/>
  <c r="N70" i="8" a="1"/>
  <c r="M14" i="11" a="1"/>
  <c r="M109" i="8" a="1"/>
  <c r="J96" i="8" a="1"/>
  <c r="S208" i="8" a="1"/>
  <c r="N24" i="11" a="1"/>
  <c r="Q169" i="8" a="1"/>
  <c r="L90" i="8" a="1"/>
  <c r="K105" i="8" a="1"/>
  <c r="M11" i="11" a="1"/>
  <c r="U180" i="8" a="1"/>
  <c r="O75" i="8" a="1"/>
  <c r="L124" i="8" a="1"/>
  <c r="S176" i="8" a="1"/>
  <c r="L33" i="8" a="1"/>
  <c r="L77" i="8" a="1"/>
  <c r="N46" i="11" a="1"/>
  <c r="R166" i="8" a="1"/>
  <c r="O43" i="11" a="1"/>
  <c r="K72" i="8" a="1"/>
  <c r="Q65" i="8" a="1"/>
  <c r="N164" i="8" a="1"/>
  <c r="O103" i="8" a="1"/>
  <c r="J85" i="8" a="1"/>
  <c r="J169" i="8" a="1"/>
  <c r="M198" i="8" a="1"/>
  <c r="L67" i="11" a="1"/>
  <c r="J63" i="8" a="1"/>
  <c r="M10" i="8" a="1"/>
  <c r="J33" i="11" a="1"/>
  <c r="N38" i="8" a="1"/>
  <c r="J91" i="8" a="1"/>
  <c r="R43" i="8" a="1"/>
  <c r="M155" i="8" a="1"/>
  <c r="U171" i="8" a="1"/>
  <c r="R184" i="8" a="1"/>
  <c r="M125" i="8" a="1"/>
  <c r="K99" i="8" a="1"/>
  <c r="O16" i="8" a="1"/>
  <c r="M26" i="8" a="1"/>
  <c r="S37" i="8" a="1"/>
  <c r="M87" i="8" a="1"/>
  <c r="L163" i="8" a="1"/>
  <c r="K133" i="8" a="1"/>
  <c r="J58" i="8" a="1"/>
  <c r="T205" i="8" a="1"/>
  <c r="Q52" i="8" a="1"/>
  <c r="S181" i="8" a="1"/>
  <c r="K70" i="11" a="1"/>
  <c r="N129" i="8" a="1"/>
  <c r="J71" i="11" a="1"/>
  <c r="L189" i="8" a="1"/>
  <c r="Q36" i="8" a="1"/>
  <c r="U120" i="8" a="1"/>
  <c r="M93" i="8" a="1"/>
  <c r="L197" i="8" a="1"/>
  <c r="K82" i="11" a="1"/>
  <c r="K103" i="8" a="1"/>
  <c r="V112" i="8" a="1"/>
  <c r="R26" i="8" a="1"/>
  <c r="J81" i="8" a="1"/>
  <c r="L81" i="11" a="1"/>
  <c r="L162" i="8" a="1"/>
  <c r="V80" i="8" a="1"/>
  <c r="K51" i="8" a="1"/>
  <c r="O10" i="11" a="1"/>
  <c r="M28" i="8" a="1"/>
  <c r="L150" i="8" a="1"/>
  <c r="L180" i="8" a="1"/>
  <c r="T37" i="8" a="1"/>
  <c r="U161" i="8" a="1"/>
  <c r="Q168" i="8" a="1"/>
  <c r="M130" i="8" a="1"/>
  <c r="N99" i="8" a="1"/>
  <c r="M47" i="8" a="1"/>
  <c r="U114" i="8" a="1"/>
  <c r="K73" i="8" a="1"/>
  <c r="L49" i="8" a="1"/>
  <c r="K54" i="8" a="1"/>
  <c r="S63" i="8" a="1"/>
  <c r="J20" i="11" a="1"/>
  <c r="R57" i="8" a="1"/>
  <c r="S117" i="8" a="1"/>
  <c r="V66" i="8" a="1"/>
  <c r="O14" i="8" a="1"/>
  <c r="J198" i="8" a="1"/>
  <c r="N89" i="8" a="1"/>
  <c r="K176" i="8" a="1"/>
  <c r="O39" i="8" a="1"/>
  <c r="J75" i="8" a="1"/>
  <c r="N18" i="8" a="1"/>
  <c r="N183" i="8" a="1"/>
  <c r="U24" i="8" a="1"/>
  <c r="Q41" i="8" a="1"/>
  <c r="L81" i="8" a="1"/>
  <c r="N177" i="8" a="1"/>
  <c r="R16" i="8" a="1"/>
  <c r="O130" i="8" a="1"/>
  <c r="K139" i="8" a="1"/>
  <c r="N136" i="8" a="1"/>
  <c r="R5" i="8" a="1"/>
  <c r="R99" i="8" a="1"/>
  <c r="K16" i="8" a="1"/>
  <c r="Q183" i="8" a="1"/>
  <c r="L192" i="8" a="1"/>
  <c r="V105" i="8" a="1"/>
  <c r="V14" i="8" a="1"/>
  <c r="M74" i="11" a="1"/>
  <c r="R108" i="8" a="1"/>
  <c r="V179" i="8" a="1"/>
  <c r="J25" i="11" a="1"/>
  <c r="M43" i="8" a="1"/>
  <c r="M101" i="8" a="1"/>
  <c r="M51" i="11" a="1"/>
  <c r="U65" i="8" a="1"/>
  <c r="N145" i="8" a="1"/>
  <c r="L110" i="8" a="1"/>
  <c r="L61" i="8" a="1"/>
  <c r="O77" i="8" a="1"/>
  <c r="T53" i="8" a="1"/>
  <c r="S185" i="8" a="1"/>
  <c r="S22" i="8" a="1"/>
  <c r="V45" i="8" a="1"/>
  <c r="O79" i="8" a="1"/>
  <c r="V151" i="8" a="1"/>
  <c r="M112" i="8" a="1"/>
  <c r="N27" i="8" a="1"/>
  <c r="L210" i="8" a="1"/>
  <c r="O66" i="8" a="1"/>
  <c r="M133" i="8" a="1"/>
  <c r="L40" i="8" a="1"/>
  <c r="K5" i="11" a="1"/>
  <c r="T172" i="8" a="1"/>
  <c r="O98" i="8" a="1"/>
  <c r="V38" i="8" a="1"/>
  <c r="Q201" i="8" a="1"/>
  <c r="Q151" i="8" a="1"/>
  <c r="K55" i="8" a="1"/>
  <c r="U23" i="8" a="1"/>
  <c r="S43" i="8" a="1"/>
  <c r="U195" i="8" a="1"/>
  <c r="U59" i="8" a="1"/>
  <c r="R189" i="8" a="1"/>
  <c r="L194" i="8" a="1"/>
  <c r="J32" i="11" a="1"/>
  <c r="T66" i="8" a="1"/>
  <c r="J90" i="11" a="1"/>
  <c r="L117" i="8" a="1"/>
  <c r="M22" i="11" a="1"/>
  <c r="L85" i="11" a="1"/>
  <c r="T146" i="8" a="1"/>
  <c r="N81" i="8" a="1"/>
  <c r="N87" i="8" a="1"/>
  <c r="M106" i="8" a="1"/>
  <c r="L9" i="8" a="1"/>
  <c r="T147" i="8" a="1"/>
  <c r="M69" i="11" a="1"/>
  <c r="V110" i="8" a="1"/>
  <c r="N52" i="11" a="1"/>
  <c r="R51" i="8" a="1"/>
  <c r="R105" i="8" a="1"/>
  <c r="N17" i="11" a="1"/>
  <c r="T62" i="8" a="1"/>
  <c r="L166" i="8" a="1"/>
  <c r="K28" i="11" a="1"/>
  <c r="L125" i="8" a="1"/>
  <c r="L16" i="8" a="1"/>
  <c r="O84" i="8" a="1"/>
  <c r="M108" i="8" a="1"/>
  <c r="L174" i="8" a="1"/>
  <c r="J12" i="11" a="1"/>
  <c r="L11" i="8" a="1"/>
  <c r="J23" i="11" a="1"/>
  <c r="N39" i="11" a="1"/>
  <c r="N199" i="8" a="1"/>
  <c r="S47" i="8" a="1"/>
  <c r="Q180" i="8" a="1"/>
  <c r="V188" i="8" a="1"/>
  <c r="M41" i="11" a="1"/>
  <c r="N124" i="8" a="1"/>
  <c r="Q71" i="8" a="1"/>
  <c r="V174" i="8" a="1"/>
  <c r="O68" i="8" a="1"/>
  <c r="O63" i="11" a="1"/>
  <c r="Q200" i="8" a="1"/>
  <c r="J106" i="8" a="1"/>
  <c r="V47" i="8" a="1"/>
  <c r="U96" i="8" a="1"/>
  <c r="N43" i="11" a="1"/>
  <c r="U156" i="8" a="1"/>
  <c r="N44" i="8" a="1"/>
  <c r="T129" i="8" a="1"/>
  <c r="O40" i="8" a="1"/>
  <c r="T178" i="8" a="1"/>
  <c r="K2" i="8" a="1"/>
  <c r="L31" i="11" a="1"/>
  <c r="N93" i="11" a="1"/>
  <c r="M195" i="8" a="1"/>
  <c r="J79" i="8" a="1"/>
  <c r="O6" i="11" a="1"/>
  <c r="Q45" i="8" a="1"/>
  <c r="J6" i="11" a="1"/>
  <c r="N10" i="8" a="1"/>
  <c r="R169" i="8" a="1"/>
  <c r="M64" i="8" a="1"/>
  <c r="Q51" i="8" a="1"/>
  <c r="L8" i="8" a="1"/>
  <c r="N4" i="8" a="1"/>
  <c r="R183" i="8" a="1"/>
  <c r="Q13" i="8" a="1"/>
  <c r="J59" i="11" a="1"/>
  <c r="J100" i="8" a="1"/>
  <c r="O9" i="8" a="1"/>
  <c r="L21" i="8" a="1"/>
  <c r="O206" i="8" a="1"/>
  <c r="O58" i="11" a="1"/>
  <c r="V190" i="8" a="1"/>
  <c r="O129" i="8" a="1"/>
  <c r="M196" i="8" a="1"/>
  <c r="V169" i="8" a="1"/>
  <c r="K19" i="8" a="1"/>
  <c r="U153" i="8" a="1"/>
  <c r="L105" i="8" a="1"/>
  <c r="U107" i="8" a="1"/>
  <c r="V150" i="8" a="1"/>
  <c r="U98" i="8" a="1"/>
  <c r="N82" i="8" a="1"/>
  <c r="K119" i="8" a="1"/>
  <c r="R132" i="8" a="1"/>
  <c r="M122" i="8" a="1"/>
  <c r="L199" i="8" a="1"/>
  <c r="M156" i="8" a="1"/>
  <c r="N67" i="11" a="1"/>
  <c r="J95" i="8" a="1"/>
  <c r="M16" i="11" a="1"/>
  <c r="O48" i="8" a="1"/>
  <c r="Q87" i="8" a="1"/>
  <c r="R143" i="8" a="1"/>
  <c r="L74" i="11" a="1"/>
  <c r="M99" i="8" a="1"/>
  <c r="V173" i="8" a="1"/>
  <c r="O204" i="8" a="1"/>
  <c r="M81" i="11" a="1"/>
  <c r="Q152" i="8" a="1"/>
  <c r="K87" i="11" a="1"/>
  <c r="T202" i="8" a="1"/>
  <c r="K23" i="8" a="1"/>
  <c r="L88" i="11" a="1"/>
  <c r="R182" i="8" a="1"/>
  <c r="O212" i="8" a="1"/>
  <c r="U2" i="8" a="1"/>
  <c r="L146" i="8" a="1"/>
  <c r="N53" i="8" a="1"/>
  <c r="L57" i="11" a="1"/>
  <c r="L130" i="8" a="1"/>
  <c r="J135" i="8" a="1"/>
  <c r="M71" i="11" a="1"/>
  <c r="J144" i="8" a="1"/>
  <c r="J64" i="8" a="1"/>
  <c r="L35" i="8" a="1"/>
  <c r="U70" i="8" a="1"/>
  <c r="J102" i="8" a="1"/>
  <c r="N127" i="8" a="1"/>
  <c r="K185" i="8" a="1"/>
  <c r="K110" i="8" a="1"/>
  <c r="J179" i="8" a="1"/>
  <c r="N155" i="8" a="1"/>
  <c r="Q85" i="8" a="1"/>
  <c r="T10" i="8" a="1"/>
  <c r="T27" i="8" a="1"/>
  <c r="R41" i="8" a="1"/>
  <c r="M18" i="8" a="1"/>
  <c r="L116" i="8" a="1"/>
  <c r="U104" i="8" a="1"/>
  <c r="U66" i="8" a="1"/>
  <c r="J55" i="8" a="1"/>
  <c r="Q43" i="8" a="1"/>
  <c r="O131" i="8" a="1"/>
  <c r="K48" i="8" a="1"/>
  <c r="K50" i="8" a="1"/>
  <c r="T134" i="8" a="1"/>
  <c r="O124" i="8" a="1"/>
  <c r="S99" i="8" a="1"/>
  <c r="U205" i="8" a="1"/>
  <c r="N45" i="11" a="1"/>
  <c r="T138" i="8" a="1"/>
  <c r="N154" i="8" a="1"/>
  <c r="Q111" i="8" a="1"/>
  <c r="S96" i="8" a="1"/>
  <c r="N16" i="11" a="1"/>
  <c r="V37" i="8" a="1"/>
  <c r="M107" i="8" a="1"/>
  <c r="K8" i="11" a="1"/>
  <c r="O125" i="8" a="1"/>
  <c r="N176" i="8" a="1"/>
  <c r="M24" i="11" a="1"/>
  <c r="T155" i="8" a="1"/>
  <c r="J42" i="8" a="1"/>
  <c r="V167" i="8" a="1"/>
  <c r="O76" i="8" a="1"/>
  <c r="M211" i="8" a="1"/>
  <c r="O99" i="8" a="1"/>
  <c r="K45" i="11" a="1"/>
  <c r="J8" i="11" a="1"/>
  <c r="R153" i="8" a="1"/>
  <c r="K34" i="8" a="1"/>
  <c r="L10" i="11" a="1"/>
  <c r="V36" i="8" a="1"/>
  <c r="S60" i="8" a="1"/>
  <c r="V10" i="8" a="1"/>
  <c r="V170" i="8" a="1"/>
  <c r="R52" i="8" a="1"/>
  <c r="O191" i="8" a="1"/>
  <c r="M115" i="8" a="1"/>
  <c r="J132" i="8" a="1"/>
  <c r="T160" i="8" a="1"/>
  <c r="L50" i="8" a="1"/>
  <c r="N9" i="8" a="1"/>
  <c r="N60" i="11" a="1"/>
  <c r="K111" i="8" a="1"/>
  <c r="S58" i="8" a="1"/>
  <c r="J205" i="8" a="1"/>
  <c r="O202" i="8" a="1"/>
  <c r="K93" i="11" a="1"/>
  <c r="O32" i="8" a="1"/>
  <c r="R155" i="8" a="1"/>
  <c r="U142" i="8" a="1"/>
  <c r="Q86" i="8" a="1"/>
  <c r="M153" i="8" a="1"/>
  <c r="O42" i="8" a="1"/>
  <c r="J115" i="8" a="1"/>
  <c r="U80" i="8" a="1"/>
  <c r="L58" i="8" a="1"/>
  <c r="R17" i="8" a="1"/>
  <c r="K52" i="11" a="1"/>
  <c r="V29" i="8" a="1"/>
  <c r="S148" i="8" a="1"/>
  <c r="U127" i="8" a="1"/>
  <c r="O26" i="8" a="1"/>
  <c r="U79" i="8" a="1"/>
  <c r="M32" i="8" a="1"/>
  <c r="N72" i="11" a="1"/>
  <c r="L47" i="8" a="1"/>
  <c r="M57" i="11" a="1"/>
  <c r="R116" i="8" a="1"/>
  <c r="V15" i="8" a="1"/>
  <c r="O51" i="11" a="1"/>
  <c r="J149" i="8" a="1"/>
  <c r="V99" i="8" a="1"/>
  <c r="M72" i="8" a="1"/>
  <c r="N34" i="11" a="1"/>
  <c r="O69" i="11" a="1"/>
  <c r="L12" i="11" a="1"/>
  <c r="O17" i="8" a="1"/>
  <c r="K57" i="8" a="1"/>
  <c r="N121" i="8" a="1"/>
  <c r="R12" i="8" a="1"/>
  <c r="U136" i="8" a="1"/>
  <c r="Q162" i="8" a="1"/>
  <c r="O81" i="11" a="1"/>
  <c r="K14" i="11" a="1"/>
  <c r="L143" i="8" a="1"/>
  <c r="J209" i="8" a="1"/>
  <c r="J24" i="11" a="1"/>
  <c r="O64" i="11" a="1"/>
  <c r="Q124" i="8" a="1"/>
  <c r="V26" i="8" a="1"/>
  <c r="O171" i="8" a="1"/>
  <c r="J173" i="8" a="1"/>
  <c r="N64" i="8" a="1"/>
  <c r="S179" i="8" a="1"/>
  <c r="M92" i="11" a="1"/>
  <c r="U126" i="8" a="1"/>
  <c r="V168" i="8" a="1"/>
  <c r="O55" i="11" a="1"/>
  <c r="U139" i="8" a="1"/>
  <c r="K179" i="8" a="1"/>
  <c r="J186" i="8" a="1"/>
  <c r="Q149" i="8" a="1"/>
  <c r="N68" i="8" a="1"/>
  <c r="O7" i="11" a="1"/>
  <c r="M192" i="8" a="1"/>
  <c r="L19" i="11" a="1"/>
  <c r="L165" i="8" a="1"/>
  <c r="K17" i="11" a="1"/>
  <c r="O91" i="8" a="1"/>
  <c r="O46" i="8" a="1"/>
  <c r="J6" i="8" a="1"/>
  <c r="R30" i="8" a="1"/>
  <c r="V111" i="8" a="1"/>
  <c r="S75" i="8" a="1"/>
  <c r="Q173" i="8" a="1"/>
  <c r="N186" i="8" a="1"/>
  <c r="S104" i="8" a="1"/>
  <c r="M169" i="8" a="1"/>
  <c r="L177" i="8" a="1"/>
  <c r="M20" i="11" a="1"/>
  <c r="K35" i="11" a="1"/>
  <c r="L72" i="8" a="1"/>
  <c r="M49" i="11" a="1"/>
  <c r="K82" i="8" a="1"/>
  <c r="U92" i="8" a="1"/>
  <c r="R120" i="8" a="1"/>
  <c r="K9" i="11" a="1"/>
  <c r="O165" i="8" a="1"/>
  <c r="J103" i="8" a="1"/>
  <c r="O51" i="8" a="1"/>
  <c r="R63" i="8" a="1"/>
  <c r="O161" i="8" a="1"/>
  <c r="L122" i="8" a="1"/>
  <c r="K20" i="8" a="1"/>
  <c r="R2" i="8" a="1"/>
  <c r="T139" i="8" a="1"/>
  <c r="T163" i="8" a="1"/>
  <c r="K203" i="8" a="1"/>
  <c r="J66" i="11" a="1"/>
  <c r="M34" i="11" a="1"/>
  <c r="S82" i="8" a="1"/>
  <c r="O175" i="8" a="1"/>
  <c r="N65" i="8" a="1"/>
  <c r="S98" i="8" a="1"/>
  <c r="U71" i="8" a="1"/>
  <c r="J85" i="11" a="1"/>
  <c r="M210" i="8" a="1"/>
  <c r="N208" i="8" a="1"/>
  <c r="V73" i="8" a="1"/>
  <c r="J211" i="8" a="1"/>
  <c r="K210" i="8" a="1"/>
  <c r="U62" i="8" a="1"/>
  <c r="J207" i="8" a="1"/>
  <c r="O157" i="8" a="1"/>
  <c r="M181" i="8" a="1"/>
  <c r="M17" i="11" a="1"/>
  <c r="K118" i="8" a="1"/>
  <c r="J112" i="8" a="1"/>
  <c r="O67" i="8" a="1"/>
  <c r="Q136" i="8" a="1"/>
  <c r="O12" i="11" a="1"/>
  <c r="S167" i="8" a="1"/>
  <c r="U76" i="8" a="1"/>
  <c r="L104" i="8" a="1"/>
  <c r="O31" i="8" a="1"/>
  <c r="L29" i="8" a="1"/>
  <c r="L42" i="8" a="1"/>
  <c r="Q37" i="8" a="1"/>
  <c r="V177" i="8" a="1"/>
  <c r="N21" i="11" a="1"/>
  <c r="M123" i="8" a="1"/>
  <c r="T161" i="8" a="1"/>
  <c r="T55" i="8" a="1"/>
  <c r="O95" i="8" a="1"/>
  <c r="V24" i="8" a="1"/>
  <c r="S107" i="8" a="1"/>
  <c r="K177" i="8" a="1"/>
  <c r="O82" i="11" a="1"/>
  <c r="O70" i="8" a="1"/>
  <c r="M143" i="8" a="1"/>
  <c r="Q194" i="8" a="1"/>
  <c r="V200" i="8" a="1"/>
  <c r="N71" i="8" a="1"/>
  <c r="T113" i="8" a="1"/>
  <c r="S81" i="8" a="1"/>
  <c r="R20" i="8" a="1"/>
  <c r="K27" i="11" a="1"/>
  <c r="K195" i="8" a="1"/>
  <c r="S103" i="8" a="1"/>
  <c r="K120" i="8" a="1"/>
  <c r="V162" i="8" a="1"/>
  <c r="J196" i="8" a="1"/>
  <c r="O74" i="8" a="1"/>
  <c r="M34" i="8" a="1"/>
  <c r="R102" i="8" a="1"/>
  <c r="M46" i="8" a="1"/>
  <c r="N109" i="8" a="1"/>
  <c r="V51" i="8" a="1"/>
  <c r="N19" i="8" a="1"/>
  <c r="J40" i="8" a="1"/>
  <c r="N179" i="8" a="1"/>
  <c r="T149" i="8" a="1"/>
  <c r="J151" i="8" a="1"/>
  <c r="O211" i="8" a="1"/>
  <c r="N41" i="8" a="1"/>
  <c r="K6" i="11" a="1"/>
  <c r="O209" i="8" a="1"/>
  <c r="T176" i="8" a="1"/>
  <c r="R170" i="8" a="1"/>
  <c r="M165" i="8" a="1"/>
  <c r="T204" i="8" a="1"/>
  <c r="J192" i="8" a="1"/>
  <c r="V141" i="8" a="1"/>
  <c r="J76" i="8" a="1"/>
  <c r="M39" i="11" a="1"/>
  <c r="K28" i="8" a="1"/>
  <c r="O188" i="8" a="1"/>
  <c r="L153" i="8" a="1"/>
  <c r="K18" i="11" a="1"/>
  <c r="Q161" i="8" a="1"/>
  <c r="J153" i="8" a="1"/>
  <c r="O168" i="8" a="1"/>
  <c r="U31" i="8" a="1"/>
  <c r="J181" i="8" a="1"/>
  <c r="Q31" i="8" a="1"/>
  <c r="S193" i="8" a="1"/>
  <c r="O54" i="11" a="1"/>
  <c r="M18" i="11" a="1"/>
  <c r="N47" i="8" a="1"/>
  <c r="N40" i="11" a="1"/>
  <c r="O80" i="11" a="1"/>
  <c r="L55" i="8" a="1"/>
  <c r="J121" i="8" a="1"/>
  <c r="Q150" i="8" a="1"/>
  <c r="N178" i="8" a="1"/>
  <c r="O75" i="11" a="1"/>
  <c r="L103" i="8" a="1"/>
  <c r="T28" i="8" a="1"/>
  <c r="J16" i="8" a="1"/>
  <c r="V76" i="8" a="1"/>
  <c r="U68" i="8" a="1"/>
  <c r="M95" i="8" a="1"/>
  <c r="V11" i="8" a="1"/>
  <c r="R109" i="8" a="1"/>
  <c r="T111" i="8" a="1"/>
  <c r="K44" i="8" a="1"/>
  <c r="S4" i="8" a="1"/>
  <c r="J27" i="11" a="1"/>
  <c r="L92" i="8" a="1"/>
  <c r="J65" i="11" a="1"/>
  <c r="J38" i="8" a="1"/>
  <c r="S162" i="8" a="1"/>
  <c r="O57" i="11" a="1"/>
  <c r="V191" i="8" a="1"/>
  <c r="Q7" i="8" a="1"/>
  <c r="U69" i="8" a="1"/>
  <c r="S136" i="8" a="1"/>
  <c r="V130" i="8" a="1"/>
  <c r="L19" i="8" a="1"/>
  <c r="N193" i="8" a="1"/>
  <c r="L32" i="8" a="1"/>
  <c r="L108" i="8" a="1"/>
  <c r="K49" i="8" a="1"/>
  <c r="Q30" i="8" a="1"/>
  <c r="R50" i="8" a="1"/>
  <c r="V107" i="8" a="1"/>
  <c r="N57" i="8" a="1"/>
  <c r="O193" i="8" a="1"/>
  <c r="N211" i="8" a="1"/>
  <c r="O82" i="8" a="1"/>
  <c r="V120" i="8" a="1"/>
  <c r="T20" i="8" a="1"/>
  <c r="Q127" i="8" a="1"/>
  <c r="Q53" i="8" a="1"/>
  <c r="K21" i="8" a="1"/>
  <c r="L128" i="8" a="1"/>
  <c r="J81" i="11" a="1"/>
  <c r="U196" i="8" a="1"/>
  <c r="U174" i="8" a="1"/>
  <c r="K76" i="11" a="1"/>
  <c r="J200" i="8" a="1"/>
  <c r="Q3" i="8" a="1"/>
  <c r="M41" i="8" a="1"/>
  <c r="O58" i="8" a="1"/>
  <c r="N13" i="8" a="1"/>
  <c r="V206" i="8" a="1"/>
  <c r="V57" i="8" a="1"/>
  <c r="L68" i="11" a="1"/>
  <c r="L133" i="8" a="1"/>
  <c r="U148" i="8" a="1"/>
  <c r="U149" i="8" a="1"/>
  <c r="J114" i="8" a="1"/>
  <c r="V55" i="8" a="1"/>
  <c r="K84" i="11" a="1"/>
  <c r="N41" i="11" a="1"/>
  <c r="N36" i="11" a="1"/>
  <c r="M81" i="8" a="1"/>
  <c r="L79" i="11" a="1"/>
  <c r="V86" i="8" a="1"/>
  <c r="O46" i="11" a="1"/>
  <c r="L15" i="11" a="1"/>
  <c r="V67" i="8" a="1"/>
  <c r="K151" i="8" a="1"/>
  <c r="O148" i="8" a="1"/>
  <c r="J21" i="8" a="1"/>
  <c r="L9" i="11" a="1"/>
  <c r="S123" i="8" a="1"/>
  <c r="U176" i="8" a="1"/>
  <c r="L102" i="8" a="1"/>
  <c r="O143" i="8" a="1"/>
  <c r="J118" i="8" a="1"/>
  <c r="O89" i="11" a="1"/>
  <c r="N103" i="8" a="1"/>
  <c r="O181" i="8" a="1"/>
  <c r="T17" i="8" a="1"/>
  <c r="O39" i="11" a="1"/>
  <c r="N123" i="8" a="1"/>
  <c r="M191" i="8" a="1"/>
  <c r="J26" i="8" a="1"/>
  <c r="K11" i="11" a="1"/>
  <c r="O45" i="11" a="1"/>
  <c r="N201" i="8" a="1"/>
  <c r="V74" i="8" a="1"/>
  <c r="K49" i="11" a="1"/>
  <c r="O182" i="8" a="1"/>
  <c r="J148" i="8" a="1"/>
  <c r="L158" i="8" a="1"/>
  <c r="V4" i="8" a="1"/>
  <c r="Q16" i="8" a="1"/>
  <c r="U12" i="8" a="1"/>
  <c r="N191" i="8" a="1"/>
  <c r="K65" i="8" a="1"/>
  <c r="S207" i="8" a="1"/>
  <c r="T101" i="8" a="1"/>
  <c r="L88" i="8" a="1"/>
  <c r="U6" i="8" a="1"/>
  <c r="N83" i="8" a="1"/>
  <c r="K174" i="8" a="1"/>
  <c r="N204" i="8" a="1"/>
  <c r="N157" i="8" a="1"/>
  <c r="L37" i="11" a="1"/>
  <c r="L82" i="8" a="1"/>
  <c r="V32" i="8" a="1"/>
  <c r="O112" i="8" a="1"/>
  <c r="M83" i="11" a="1"/>
  <c r="Q137" i="8" a="1"/>
  <c r="M73" i="8" a="1"/>
  <c r="O43" i="8" a="1"/>
  <c r="N29" i="8" a="1"/>
  <c r="K70" i="8" a="1"/>
  <c r="M199" i="8" a="1"/>
  <c r="T4" i="8" a="1"/>
  <c r="M76" i="11" a="1"/>
  <c r="N53" i="11" a="1"/>
  <c r="T194" i="8" a="1"/>
  <c r="O13" i="11" a="1"/>
  <c r="M75" i="11" a="1"/>
  <c r="N125" i="8" a="1"/>
  <c r="N38" i="11" a="1"/>
  <c r="L85" i="8" a="1"/>
  <c r="J57" i="8" a="1"/>
  <c r="M178" i="8" a="1"/>
  <c r="O184" i="8" a="1"/>
  <c r="V95" i="8" a="1"/>
  <c r="O83" i="8" a="1"/>
  <c r="L45" i="8" a="1"/>
  <c r="M56" i="11" a="1"/>
  <c r="M147" i="8" a="1"/>
  <c r="S9" i="8" a="1"/>
  <c r="V88" i="8" a="1"/>
  <c r="T116" i="8" a="1"/>
  <c r="K16" i="11" a="1"/>
  <c r="J146" i="8" a="1"/>
  <c r="Q105" i="8" a="1"/>
  <c r="O119" i="8" a="1"/>
  <c r="J56" i="8" a="1"/>
  <c r="R172" i="8" a="1"/>
  <c r="V202" i="8" a="1"/>
  <c r="N175" i="8" a="1"/>
  <c r="Q72" i="8" a="1"/>
  <c r="J47" i="8" a="1"/>
  <c r="N135" i="8" a="1"/>
  <c r="T173" i="8" a="1"/>
  <c r="L8" i="11" a="1"/>
  <c r="T209" i="8" a="1"/>
  <c r="M68" i="8" a="1"/>
  <c r="M59" i="8" a="1"/>
  <c r="N15" i="11" a="1"/>
  <c r="N34" i="8" a="1"/>
  <c r="Q76" i="8" a="1"/>
  <c r="M197" i="8" a="1"/>
  <c r="J193" i="8" a="1"/>
  <c r="J110" i="8" a="1"/>
  <c r="S118" i="8" a="1"/>
  <c r="K147" i="8" a="1"/>
  <c r="U202" i="8" a="1"/>
  <c r="K42" i="8" a="1"/>
  <c r="J161" i="8" a="1"/>
  <c r="T174" i="8" a="1"/>
  <c r="V136" i="8" a="1"/>
  <c r="T16" i="8" a="1"/>
  <c r="L42" i="11" a="1"/>
  <c r="M144" i="8" a="1"/>
  <c r="J83" i="11" a="1"/>
  <c r="M105" i="8" a="1"/>
  <c r="U29" i="8" a="1"/>
  <c r="V187" i="8" a="1"/>
  <c r="M26" i="11" a="1"/>
  <c r="L69" i="8" a="1"/>
  <c r="N105" i="8" a="1"/>
  <c r="U74" i="8" a="1"/>
  <c r="T82" i="8" a="1"/>
  <c r="S105" i="8" a="1"/>
  <c r="N190" i="8" a="1"/>
  <c r="N139" i="8" a="1"/>
  <c r="U27" i="8" a="1"/>
  <c r="N23" i="11" a="1"/>
  <c r="J13" i="11" a="1"/>
  <c r="M60" i="8" a="1"/>
  <c r="U152" i="8" a="1"/>
  <c r="S40" i="8" a="1"/>
  <c r="V49" i="8" a="1"/>
  <c r="M163" i="8" a="1"/>
  <c r="T118" i="8" a="1"/>
  <c r="R149" i="8" a="1"/>
  <c r="Q202" i="8" a="1"/>
  <c r="U15" i="8" a="1"/>
  <c r="R123" i="8" a="1"/>
  <c r="O106" i="8" a="1"/>
  <c r="S13" i="8" a="1"/>
  <c r="T123" i="8" a="1"/>
  <c r="L142" i="8" a="1"/>
  <c r="U151" i="8" a="1"/>
  <c r="V28" i="8" a="1"/>
  <c r="Q50" i="8" a="1"/>
  <c r="R107" i="8" a="1"/>
  <c r="O113" i="8" a="1"/>
  <c r="V199" i="8" a="1"/>
  <c r="N95" i="8" a="1"/>
  <c r="R206" i="8" a="1"/>
  <c r="Q178" i="8" a="1"/>
  <c r="Q39" i="8" a="1"/>
  <c r="J69" i="8" a="1"/>
  <c r="S7" i="8" a="1"/>
  <c r="O105" i="8" a="1"/>
  <c r="V183" i="8" a="1"/>
  <c r="O64" i="8" a="1"/>
  <c r="K106" i="8" a="1"/>
  <c r="R3" i="8" a="1"/>
  <c r="J39" i="8" a="1"/>
  <c r="T200" i="8" a="1"/>
  <c r="N32" i="8" a="1"/>
  <c r="S119" i="8" a="1"/>
  <c r="M193" i="8" a="1"/>
  <c r="V132" i="8" a="1"/>
  <c r="U100" i="8" a="1"/>
  <c r="N169" i="8" a="1"/>
  <c r="O70" i="11" a="1"/>
  <c r="S51" i="8" a="1"/>
  <c r="K8" i="8" a="1"/>
  <c r="O55" i="8" a="1"/>
  <c r="L190" i="8" a="1"/>
  <c r="M36" i="8" a="1"/>
  <c r="T33" i="8" a="1"/>
  <c r="L45" i="11" a="1"/>
  <c r="S126" i="8" a="1"/>
  <c r="S24" i="8" a="1"/>
  <c r="M111" i="8" a="1"/>
  <c r="S199" i="8" a="1"/>
  <c r="K104" i="8" a="1"/>
  <c r="L203" i="8" a="1"/>
  <c r="V164" i="8" a="1"/>
  <c r="K130" i="8" a="1"/>
  <c r="T185" i="8" a="1"/>
  <c r="R113" i="8" a="1"/>
  <c r="K78" i="11" a="1"/>
  <c r="M184" i="8" a="1"/>
  <c r="Q56" i="8" a="1"/>
  <c r="Q155" i="8" a="1"/>
  <c r="S147" i="8" a="1"/>
  <c r="M9" i="11" a="1"/>
  <c r="K155" i="8" a="1"/>
  <c r="K52" i="8" a="1"/>
  <c r="U30" i="8" a="1"/>
  <c r="N20" i="11" a="1"/>
  <c r="M24" i="8" a="1"/>
  <c r="K90" i="11" a="1"/>
  <c r="K132" i="8" a="1"/>
  <c r="S101" i="8" a="1"/>
  <c r="N11" i="11" a="1"/>
  <c r="T9" i="8" a="1"/>
  <c r="Q22" i="8" a="1"/>
  <c r="Q109" i="8" a="1"/>
  <c r="U168" i="8" a="1"/>
  <c r="T96" i="8" a="1"/>
  <c r="R160" i="8" a="1"/>
  <c r="J68" i="11" a="1"/>
  <c r="L204" i="8" a="1"/>
  <c r="K208" i="8" a="1"/>
  <c r="N31" i="8" a="1"/>
  <c r="O18" i="11" a="1"/>
  <c r="Q81" i="8" a="1"/>
  <c r="N85" i="11" a="1"/>
  <c r="N36" i="8" a="1"/>
  <c r="Q83" i="8" a="1"/>
  <c r="T52" i="8" a="1"/>
  <c r="O8" i="11" a="1"/>
  <c r="U138" i="8" a="1"/>
  <c r="L93" i="8" a="1"/>
  <c r="N22" i="8" a="1"/>
  <c r="M110" i="8" a="1"/>
  <c r="V185" i="8" a="1"/>
  <c r="K188" i="8" a="1"/>
  <c r="J160" i="8" a="1"/>
  <c r="J80" i="8" a="1"/>
  <c r="R39" i="8" a="1"/>
  <c r="U99" i="8" a="1"/>
  <c r="M124" i="8" a="1"/>
  <c r="M23" i="11" a="1"/>
  <c r="T103" i="8" a="1"/>
  <c r="O69" i="8" a="1"/>
  <c r="O199" i="8" a="1"/>
  <c r="V128" i="8" a="1"/>
  <c r="O163" i="8" a="1"/>
  <c r="M204" i="8" a="1"/>
  <c r="M90" i="8" a="1"/>
  <c r="T47" i="8" a="1"/>
  <c r="K80" i="11" a="1"/>
  <c r="T77" i="8" a="1"/>
  <c r="S200" i="8" a="1"/>
  <c r="N202" i="8" a="1"/>
  <c r="R174" i="8" a="1"/>
  <c r="L175" i="8" a="1"/>
  <c r="J75" i="11" a="1"/>
  <c r="N8" i="8" a="1"/>
  <c r="N207" i="8" a="1"/>
  <c r="O65" i="11" a="1"/>
  <c r="N119" i="8" a="1"/>
  <c r="Q159" i="8" a="1"/>
  <c r="N104" i="8" a="1"/>
  <c r="L211" i="8" a="1"/>
  <c r="M212" i="8" a="1"/>
  <c r="L80" i="11" a="1"/>
  <c r="N20" i="8" a="1"/>
  <c r="O47" i="11" a="1"/>
  <c r="Q99" i="8" a="1"/>
  <c r="S151" i="8" a="1"/>
  <c r="N187" i="8" a="1"/>
  <c r="T122" i="8" a="1"/>
  <c r="S64" i="8" a="1"/>
  <c r="M168" i="8" a="1"/>
  <c r="K149" i="8" a="1"/>
  <c r="Q80" i="8" a="1"/>
  <c r="O88" i="11" a="1"/>
  <c r="S18" i="8" a="1"/>
  <c r="O52" i="8" a="1"/>
  <c r="N69" i="8" a="1"/>
  <c r="K60" i="11" a="1"/>
  <c r="T91" i="8" a="1"/>
  <c r="N56" i="8" a="1"/>
  <c r="N26" i="11" a="1"/>
  <c r="U125" i="8" a="1"/>
  <c r="U47" i="8" a="1"/>
  <c r="S10" i="8" a="1"/>
  <c r="U141" i="8" a="1"/>
  <c r="O20" i="11" a="1"/>
  <c r="V40" i="8" a="1"/>
  <c r="J4" i="8" a="1"/>
  <c r="K86" i="8" a="1"/>
  <c r="T190" i="8" a="1"/>
  <c r="S165" i="8" a="1"/>
  <c r="U64" i="8" a="1"/>
  <c r="J177" i="8" a="1"/>
  <c r="J18" i="11" a="1"/>
  <c r="L71" i="11" a="1"/>
  <c r="K86" i="11" a="1"/>
  <c r="O158" i="8" a="1"/>
  <c r="J44" i="11" a="1"/>
  <c r="J30" i="11" a="1"/>
  <c r="Q90" i="8" a="1"/>
  <c r="K24" i="8" a="1"/>
  <c r="S125" i="8" a="1"/>
  <c r="S174" i="8" a="1"/>
  <c r="R101" i="8" a="1"/>
  <c r="O108" i="8" a="1"/>
  <c r="J41" i="8" a="1"/>
  <c r="K191" i="8" a="1"/>
  <c r="U134" i="8" a="1"/>
  <c r="J204" i="8" a="1"/>
  <c r="O12" i="8" a="1"/>
  <c r="S194" i="8" a="1"/>
  <c r="L95" i="8" a="1"/>
  <c r="J201" i="8" a="1"/>
  <c r="L206" i="8" a="1"/>
  <c r="K68" i="11" a="1"/>
  <c r="R114" i="8" a="1"/>
  <c r="V186" i="8" a="1"/>
  <c r="R19" i="8" a="1"/>
  <c r="T45" i="8" a="1"/>
  <c r="M170" i="8" a="1"/>
  <c r="T38" i="8" a="1"/>
  <c r="L70" i="8" a="1"/>
  <c r="L58" i="11" a="1"/>
  <c r="L184" i="8" a="1"/>
  <c r="L34" i="11" a="1"/>
  <c r="L140" i="8" a="1"/>
  <c r="V46" i="8" a="1"/>
  <c r="L209" i="8" a="1"/>
  <c r="K74" i="11" a="1"/>
  <c r="S169" i="8" a="1"/>
  <c r="J165" i="8" a="1"/>
  <c r="J26" i="11" a="1"/>
  <c r="K29" i="11" a="1"/>
  <c r="K26" i="8" a="1"/>
  <c r="T107" i="8" a="1"/>
  <c r="L155" i="8" a="1"/>
  <c r="K50" i="11" a="1"/>
  <c r="T186" i="8" a="1"/>
  <c r="L48" i="8" a="1"/>
  <c r="R10" i="8" a="1"/>
  <c r="O27" i="11" a="1"/>
  <c r="Q140" i="8" a="1"/>
  <c r="O28" i="11" a="1"/>
  <c r="O196" i="8" a="1"/>
  <c r="T191" i="8" a="1"/>
  <c r="O24" i="11" a="1"/>
  <c r="S120" i="8" a="1"/>
  <c r="K127" i="8" a="1"/>
  <c r="J54" i="8" a="1"/>
  <c r="L183" i="8" a="1"/>
  <c r="O97" i="8" a="1"/>
  <c r="L13" i="11" a="1"/>
  <c r="J33" i="8" a="1"/>
  <c r="S45" i="8" a="1"/>
  <c r="V75" i="8" a="1"/>
  <c r="L132" i="8" a="1"/>
  <c r="L78" i="8" a="1"/>
  <c r="O87" i="11" a="1"/>
  <c r="N173" i="8" a="1"/>
  <c r="K122" i="8" a="1"/>
  <c r="T120" i="8" a="1"/>
  <c r="T3" i="8" a="1"/>
  <c r="K33" i="11" a="1"/>
  <c r="U144" i="8" a="1"/>
  <c r="N71" i="11" a="1"/>
  <c r="S106" i="8" a="1"/>
  <c r="K6" i="8" a="1"/>
  <c r="J89" i="11" a="1"/>
  <c r="N210" i="8" a="1"/>
  <c r="L60" i="11" a="1"/>
  <c r="Q122" i="8" a="1"/>
  <c r="L47" i="11" a="1"/>
  <c r="L136" i="8" a="1"/>
  <c r="N76" i="11" a="1"/>
  <c r="T207" i="8" a="1"/>
  <c r="O32" i="11" a="1"/>
  <c r="O88" i="8" a="1"/>
  <c r="K204" i="8" a="1"/>
  <c r="O93" i="8" a="1"/>
  <c r="K67" i="8" a="1"/>
  <c r="M151" i="8" a="1"/>
  <c r="Q58" i="8" a="1"/>
  <c r="O126" i="8" a="1"/>
  <c r="T11" i="8" a="1"/>
  <c r="Q128" i="8" a="1"/>
  <c r="K13" i="11" a="1"/>
  <c r="N133" i="8" a="1"/>
  <c r="O90" i="8" a="1"/>
  <c r="O19" i="11" a="1"/>
  <c r="O153" i="8" a="1"/>
  <c r="N8" i="11" a="1"/>
  <c r="Q62" i="8" a="1"/>
  <c r="V16" i="8" a="1"/>
  <c r="Q106" i="8" a="1"/>
  <c r="K10" i="11" a="1"/>
  <c r="J40" i="11" a="1"/>
  <c r="T69" i="8" a="1"/>
  <c r="N78" i="8" a="1"/>
  <c r="K15" i="11" a="1"/>
  <c r="U201" i="8" a="1"/>
  <c r="N98" i="8" a="1"/>
  <c r="U41" i="8" a="1"/>
  <c r="J72" i="11" a="1"/>
  <c r="V59" i="8" a="1"/>
  <c r="L181" i="8" a="1"/>
  <c r="J19" i="11" a="1"/>
  <c r="U183" i="8" a="1"/>
  <c r="J128" i="8" a="1"/>
  <c r="M74" i="8" a="1"/>
  <c r="V126" i="8" a="1"/>
  <c r="L40" i="11" a="1"/>
  <c r="K97" i="8" a="1"/>
  <c r="J174" i="8" a="1"/>
  <c r="T72" i="8" a="1"/>
  <c r="M131" i="8" a="1"/>
  <c r="M180" i="8" a="1"/>
  <c r="J18" i="8" a="1"/>
  <c r="J166" i="8" a="1"/>
  <c r="J82" i="11" a="1"/>
  <c r="J67" i="8" a="1"/>
  <c r="L18" i="11" a="1"/>
  <c r="O107" i="8" a="1"/>
  <c r="V113" i="8" a="1"/>
  <c r="U46" i="8" a="1"/>
  <c r="S114" i="8" a="1"/>
  <c r="K88" i="8" a="1"/>
  <c r="T197" i="8" a="1"/>
  <c r="T8" i="8" a="1"/>
  <c r="R188" i="8" a="1"/>
  <c r="V87" i="8" a="1"/>
  <c r="J59" i="8" a="1"/>
  <c r="N70" i="11" a="1"/>
  <c r="Q78" i="8" a="1"/>
  <c r="S95" i="8" a="1"/>
  <c r="K91" i="8" a="1"/>
  <c r="U19" i="8" a="1"/>
  <c r="K58" i="8" a="1"/>
  <c r="K31" i="11" a="1"/>
  <c r="M77" i="8" a="1"/>
  <c r="M29" i="11" a="1"/>
  <c r="V12" i="8" a="1"/>
  <c r="N85" i="8" a="1"/>
  <c r="U44" i="8" a="1"/>
  <c r="T100" i="8" a="1"/>
  <c r="S46" i="8" a="1"/>
  <c r="U11" i="8" a="1"/>
  <c r="K25" i="11" a="1"/>
  <c r="V159" i="8" a="1"/>
  <c r="K142" i="8" a="1"/>
  <c r="K81" i="11" a="1"/>
  <c r="U185" i="8" a="1"/>
  <c r="K85" i="8" a="1"/>
  <c r="M8" i="8" a="1"/>
  <c r="R112" i="8" a="1"/>
  <c r="U109" i="8" a="1"/>
  <c r="O87" i="8" a="1"/>
  <c r="S84" i="8" a="1"/>
  <c r="T7" i="8" a="1"/>
  <c r="J52" i="11" a="1"/>
  <c r="Q40" i="8" a="1"/>
  <c r="R121" i="8" a="1"/>
  <c r="N94" i="11" a="1"/>
  <c r="V138" i="8" a="1"/>
  <c r="S67" i="8" a="1"/>
  <c r="S50" i="8" a="1"/>
  <c r="N76" i="8" a="1"/>
  <c r="K43" i="8" a="1"/>
  <c r="T46" i="8" a="1"/>
  <c r="T24" i="8" a="1"/>
  <c r="U143" i="8" a="1"/>
  <c r="R133" i="8" a="1"/>
  <c r="T14" i="8" a="1"/>
  <c r="M114" i="8" a="1"/>
  <c r="M38" i="11" a="1"/>
  <c r="V122" i="8" a="1"/>
  <c r="L10" i="8" a="1"/>
  <c r="O44" i="8" a="1"/>
  <c r="J20" i="8" a="1"/>
  <c r="K162" i="8" a="1"/>
  <c r="N29" i="11" a="1"/>
  <c r="V18" i="8" a="1"/>
  <c r="K76" i="8" a="1"/>
  <c r="S166" i="8" a="1"/>
  <c r="K183" i="8" a="1"/>
  <c r="N30" i="11" a="1"/>
  <c r="U26" i="8" a="1"/>
  <c r="O62" i="8" a="1"/>
  <c r="L168" i="8" a="1"/>
  <c r="J147" i="8" a="1"/>
  <c r="T80" i="8" a="1"/>
  <c r="K54" i="11" a="1"/>
  <c r="M63" i="11" a="1"/>
  <c r="L145" i="8" a="1"/>
  <c r="N15" i="8" a="1"/>
  <c r="K75" i="8" a="1"/>
  <c r="R150" i="8" a="1"/>
  <c r="V196" i="8" a="1"/>
  <c r="O62" i="11" a="1"/>
  <c r="Q148" i="8" a="1"/>
  <c r="V101" i="8" a="1"/>
  <c r="U72" i="8" a="1"/>
  <c r="O151" i="8" a="1"/>
  <c r="Q191" i="8" a="1"/>
  <c r="J124" i="8" a="1"/>
  <c r="Q17" i="8" a="1"/>
  <c r="L34" i="8" a="1"/>
  <c r="L39" i="8" a="1"/>
  <c r="M9" i="8" a="1"/>
  <c r="J87" i="8" a="1"/>
  <c r="K87" i="8" a="1"/>
  <c r="R56" i="8" a="1"/>
  <c r="J126" i="8" a="1"/>
  <c r="J31" i="8" a="1"/>
  <c r="V175" i="8" a="1"/>
  <c r="V19" i="8" a="1"/>
  <c r="L76" i="11" a="1"/>
  <c r="M69" i="8" a="1"/>
  <c r="Q170" i="8" a="1"/>
  <c r="N78" i="11" a="1"/>
  <c r="Q210" i="8" a="1"/>
  <c r="Q10" i="8" a="1"/>
  <c r="M187" i="8" a="1"/>
  <c r="U169" i="8" a="1"/>
  <c r="T126" i="8" a="1"/>
  <c r="U10" i="8" a="1"/>
  <c r="V89" i="8" a="1"/>
  <c r="N134" i="8" a="1"/>
  <c r="T168" i="8" a="1"/>
  <c r="N63" i="11" a="1"/>
  <c r="O5" i="11" a="1"/>
  <c r="O100" i="8" a="1"/>
  <c r="N6" i="8" a="1"/>
  <c r="R40" i="8" a="1"/>
  <c r="K27" i="8" a="1"/>
  <c r="L144" i="8" a="1"/>
  <c r="V165" i="8" a="1"/>
  <c r="L22" i="11" a="1"/>
  <c r="Q187" i="8" a="1"/>
  <c r="U89" i="8" a="1"/>
  <c r="M42" i="11" a="1"/>
  <c r="R55" i="8" a="1"/>
  <c r="N27" i="11" a="1"/>
  <c r="L37" i="8" a="1"/>
  <c r="N107" i="8" a="1"/>
  <c r="U165" i="8" a="1"/>
  <c r="L198" i="8" a="1"/>
  <c r="V178" i="8" a="1"/>
  <c r="V104" i="8" a="1"/>
  <c r="M89" i="11" a="1"/>
  <c r="O34" i="11" a="1"/>
  <c r="U193" i="8" a="1"/>
  <c r="M134" i="8" a="1"/>
  <c r="U122" i="8" a="1"/>
  <c r="J83" i="8" a="1"/>
  <c r="R88" i="8" a="1"/>
  <c r="V182" i="8" a="1"/>
  <c r="R54" i="8" a="1"/>
  <c r="T125" i="8" a="1"/>
  <c r="Q186" i="8" a="1"/>
  <c r="T83" i="8" a="1"/>
  <c r="R76" i="8" a="1"/>
  <c r="V2" i="8" a="1"/>
  <c r="S65" i="8" a="1"/>
  <c r="J178" i="8" a="1"/>
  <c r="M43" i="11" a="1"/>
  <c r="T71" i="8" a="1"/>
  <c r="T148" i="8" a="1"/>
  <c r="N54" i="8" a="1"/>
  <c r="L44" i="8" a="1"/>
  <c r="M6" i="8" a="1"/>
  <c r="Q27" i="8" a="1"/>
  <c r="O176" i="8" a="1"/>
  <c r="N58" i="11" a="1"/>
  <c r="O74" i="11" a="1"/>
  <c r="U116" i="8" a="1"/>
  <c r="Q69" i="8" a="1"/>
  <c r="M36" i="11" a="1"/>
  <c r="J191" i="8" a="1"/>
  <c r="O194" i="8" a="1"/>
  <c r="J22" i="8" a="1"/>
  <c r="O11" i="11" a="1"/>
  <c r="S26" i="8" a="1"/>
  <c r="T159" i="8" a="1"/>
  <c r="S21" i="8" a="1"/>
  <c r="V78" i="8" a="1"/>
  <c r="J188" i="8" a="1"/>
  <c r="V208" i="8" a="1"/>
  <c r="J156" i="8" a="1"/>
  <c r="T50" i="8" a="1"/>
  <c r="Q29" i="8" a="1"/>
  <c r="M19" i="8" a="1"/>
  <c r="J137" i="8" a="1"/>
  <c r="U93" i="8" a="1"/>
  <c r="M84" i="11" a="1"/>
  <c r="M32" i="11" a="1"/>
  <c r="V64" i="8" a="1"/>
  <c r="R4" i="8" a="1"/>
  <c r="R46" i="8" a="1"/>
  <c r="K31" i="8" a="1"/>
  <c r="U32" i="8" a="1"/>
  <c r="L97" i="8" a="1"/>
  <c r="R135" i="8" a="1"/>
  <c r="S49" i="8" a="1"/>
  <c r="U61" i="8" a="1"/>
  <c r="J70" i="8" a="1"/>
  <c r="U97" i="8" a="1"/>
  <c r="J164" i="8" a="1"/>
  <c r="N132" i="8" a="1"/>
  <c r="J78" i="8" a="1"/>
  <c r="T199" i="8" a="1"/>
  <c r="T203" i="8" a="1"/>
  <c r="N5" i="8" a="1"/>
  <c r="M60" i="11" a="1"/>
  <c r="N92" i="8" a="1"/>
  <c r="J37" i="11" a="1"/>
  <c r="V93" i="8" a="1"/>
  <c r="N151" i="8" a="1"/>
  <c r="U115" i="8" a="1"/>
  <c r="S127" i="8" a="1"/>
  <c r="S124" i="8" a="1"/>
  <c r="V204" i="8" a="1"/>
  <c r="U9" i="8" a="1"/>
  <c r="V189" i="8" a="1"/>
  <c r="R140" i="8" a="1"/>
  <c r="T208" i="8" a="1"/>
  <c r="M98" i="8" a="1"/>
  <c r="S66" i="8" a="1"/>
  <c r="V103" i="8" a="1"/>
  <c r="V50" i="8" a="1"/>
  <c r="M37" i="11" a="1"/>
  <c r="O144" i="8" a="1"/>
  <c r="Q54" i="8" a="1"/>
  <c r="N84" i="8" a="1"/>
  <c r="T128" i="8" a="1"/>
  <c r="U177" i="8" a="1"/>
  <c r="R53" i="8" a="1"/>
  <c r="O14" i="11" a="1"/>
  <c r="J28" i="11" a="1"/>
  <c r="M86" i="8" a="1"/>
  <c r="T21" i="8" a="1"/>
  <c r="N33" i="11" a="1"/>
  <c r="Q21" i="8" a="1"/>
  <c r="U75" i="8" a="1"/>
  <c r="N86" i="11" a="1"/>
  <c r="J190" i="8" a="1"/>
  <c r="M175" i="8" a="1"/>
  <c r="T151" i="8" a="1"/>
  <c r="L106" i="8" a="1"/>
  <c r="M139" i="8" a="1"/>
  <c r="Q88" i="8" a="1"/>
  <c r="V23" i="8" a="1"/>
  <c r="U179" i="8" a="1"/>
  <c r="V115" i="8" a="1"/>
  <c r="M22" i="8" a="1"/>
  <c r="K45" i="8" a="1"/>
  <c r="Q203" i="8" a="1"/>
  <c r="R38" i="8" a="1"/>
  <c r="J3" i="8" a="1"/>
  <c r="K163" i="8" a="1"/>
  <c r="N111" i="8" a="1"/>
  <c r="L17" i="8" a="1"/>
  <c r="J48" i="11" a="1"/>
  <c r="O127" i="8" a="1"/>
  <c r="K145" i="8" a="1"/>
  <c r="J17" i="11" a="1"/>
  <c r="K123" i="8" a="1"/>
  <c r="L87" i="8" a="1"/>
  <c r="K189" i="8" a="1"/>
  <c r="S35" i="8" a="1"/>
  <c r="K131" i="8" a="1"/>
  <c r="R147" i="8" a="1"/>
  <c r="N138" i="8" a="1"/>
  <c r="R136" i="8" a="1"/>
  <c r="M63" i="8" a="1"/>
  <c r="J158" i="8" a="1"/>
  <c r="L182" i="8" a="1"/>
  <c r="Q175" i="8" a="1"/>
  <c r="U14" i="8" a="1"/>
  <c r="V20" i="8" a="1"/>
  <c r="M13" i="8" a="1"/>
  <c r="V153" i="8" a="1"/>
  <c r="T108" i="8" a="1"/>
  <c r="S155" i="8" a="1"/>
  <c r="R24" i="8" a="1"/>
  <c r="K200" i="8" a="1"/>
  <c r="Q60" i="8" a="1"/>
  <c r="R176" i="8" a="1"/>
  <c r="O121" i="8" a="1"/>
  <c r="O90" i="11" a="1"/>
  <c r="O149" i="8" a="1"/>
  <c r="V157" i="8" a="1"/>
  <c r="Q181" i="8" a="1"/>
  <c r="T183" i="8" a="1"/>
  <c r="N171" i="8" a="1"/>
  <c r="L24" i="11" a="1"/>
  <c r="Q135" i="8" a="1"/>
  <c r="M7" i="11" a="1"/>
  <c r="K170" i="8" a="1"/>
  <c r="K171" i="8" a="1"/>
  <c r="K64" i="8" a="1"/>
  <c r="S196" i="8" a="1"/>
  <c r="T181" i="8" a="1"/>
  <c r="Q172" i="8" a="1"/>
  <c r="T162" i="8" a="1"/>
  <c r="V194" i="8" a="1"/>
  <c r="T166" i="8" a="1"/>
  <c r="R145" i="8" a="1"/>
  <c r="O41" i="8" a="1"/>
  <c r="V79" i="8" a="1"/>
  <c r="O71" i="8" a="1"/>
  <c r="U113" i="8" a="1"/>
  <c r="Q92" i="8" a="1"/>
  <c r="Q59" i="8" a="1"/>
  <c r="S116" i="8" a="1"/>
  <c r="K194" i="8" a="1"/>
  <c r="T114" i="8" a="1"/>
  <c r="K59" i="8" a="1"/>
  <c r="V43" i="8" a="1"/>
  <c r="U102" i="8" a="1"/>
  <c r="V94" i="8" a="1"/>
  <c r="N65" i="11" a="1"/>
  <c r="Q11" i="8" a="1"/>
  <c r="K166" i="8" a="1"/>
  <c r="T136" i="8" a="1"/>
  <c r="O31" i="11" a="1"/>
  <c r="S97" i="8" a="1"/>
  <c r="R158" i="8" a="1"/>
  <c r="K79" i="8" a="1"/>
  <c r="V106" i="8" a="1"/>
  <c r="M25" i="11" a="1"/>
  <c r="O101" i="8" a="1"/>
  <c r="Q55" i="8" a="1"/>
  <c r="R89" i="8" a="1"/>
  <c r="T88" i="8" a="1"/>
  <c r="O28" i="8" a="1"/>
  <c r="R128" i="8" a="1"/>
  <c r="J53" i="11" a="1"/>
  <c r="S56" i="8" a="1"/>
  <c r="U137" i="8" a="1"/>
  <c r="J30" i="8" a="1"/>
  <c r="J162" i="8" a="1"/>
  <c r="U22" i="8" a="1"/>
  <c r="L20" i="11" a="1"/>
  <c r="S178" i="8" a="1"/>
  <c r="L51" i="8" a="1"/>
  <c r="K181" i="8" a="1"/>
  <c r="Q100" i="8" a="1"/>
  <c r="O94" i="8" a="1"/>
  <c r="L17" i="11" a="1"/>
  <c r="T171" i="8" a="1"/>
  <c r="M57" i="8" a="1"/>
  <c r="N12" i="8" a="1"/>
  <c r="N117" i="8" a="1"/>
  <c r="N33" i="8" a="1"/>
  <c r="T105" i="8" a="1"/>
  <c r="R60" i="8" a="1"/>
  <c r="M88" i="8" a="1"/>
  <c r="U35" i="8" a="1"/>
  <c r="J49" i="11" a="1"/>
  <c r="L151" i="8" a="1"/>
  <c r="V27" i="8" a="1"/>
  <c r="M93" i="11" a="1"/>
  <c r="J35" i="11" a="1"/>
  <c r="K46" i="8" a="1"/>
  <c r="R93" i="8" a="1"/>
  <c r="R198" i="8" a="1"/>
  <c r="L41" i="11" a="1"/>
  <c r="O33" i="11" a="1"/>
  <c r="L28" i="8" a="1"/>
  <c r="N22" i="11" a="1"/>
  <c r="T170" i="8" a="1"/>
  <c r="T42" i="8" a="1"/>
  <c r="U85" i="8" a="1"/>
  <c r="M121" i="8" a="1"/>
  <c r="L89" i="11" a="1"/>
  <c r="N110" i="8" a="1"/>
  <c r="O66" i="11" a="1"/>
  <c r="J66" i="8" a="1"/>
  <c r="M65" i="11" a="1"/>
  <c r="U86" i="8" a="1"/>
  <c r="K25" i="8" a="1"/>
  <c r="N91" i="11" a="1"/>
  <c r="N52" i="8" a="1"/>
  <c r="S61" i="8" a="1"/>
  <c r="Q34" i="8" a="1"/>
  <c r="N82" i="11" a="1"/>
  <c r="N101" i="8" a="1"/>
  <c r="U203" i="8" a="1"/>
  <c r="R25" i="8" a="1"/>
  <c r="O35" i="11" a="1"/>
  <c r="K5" i="8" a="1"/>
  <c r="N93" i="8" a="1"/>
  <c r="K34" i="11" a="1"/>
  <c r="V35" i="8" a="1"/>
  <c r="K112" i="8" a="1"/>
  <c r="K47" i="11" a="1"/>
  <c r="J185" i="8" a="1"/>
  <c r="T35" i="8" a="1"/>
  <c r="M7" i="8" a="1"/>
  <c r="J171" i="8" a="1"/>
  <c r="T140" i="8" a="1"/>
  <c r="L41" i="8" a="1"/>
  <c r="T92" i="8" a="1"/>
  <c r="J15" i="8" a="1"/>
  <c r="O61" i="11" a="1"/>
  <c r="K3" i="8" a="1"/>
  <c r="U53" i="8" a="1"/>
  <c r="V147" i="8" a="1"/>
  <c r="J46" i="11" a="1"/>
  <c r="K137" i="8" a="1"/>
  <c r="M61" i="8" a="1"/>
  <c r="N87" i="11" a="1"/>
  <c r="R154" i="8" a="1"/>
  <c r="M186" i="8" a="1"/>
  <c r="V82" i="8" a="1"/>
  <c r="J142" i="8" a="1"/>
  <c r="Q154" i="8" a="1"/>
  <c r="K187" i="8" a="1"/>
  <c r="K43" i="11" a="1"/>
  <c r="J77" i="8" a="1"/>
  <c r="V13" i="8" a="1"/>
  <c r="J52" i="8" a="1"/>
  <c r="K169" i="8" a="1"/>
  <c r="J88" i="8" a="1"/>
  <c r="V210" i="8" a="1"/>
  <c r="N118" i="8" a="1"/>
  <c r="O67" i="11" a="1"/>
  <c r="O16" i="11" a="1"/>
  <c r="M188" i="8" a="1"/>
  <c r="U191" i="8" a="1"/>
  <c r="U50" i="8" a="1"/>
  <c r="T206" i="8" a="1"/>
  <c r="N48" i="11" a="1"/>
  <c r="S70" i="8" a="1"/>
  <c r="R156" i="8" a="1"/>
  <c r="S16" i="8" a="1"/>
  <c r="O207" i="8" a="1"/>
  <c r="M79" i="11" a="1"/>
  <c r="Q2" i="8" a="1"/>
  <c r="S170" i="8" a="1"/>
  <c r="M3" i="8" a="1"/>
  <c r="U55" i="8" a="1"/>
  <c r="N44" i="11" a="1"/>
  <c r="T61" i="8" a="1"/>
  <c r="K108" i="8" a="1"/>
  <c r="T57" i="8" a="1"/>
  <c r="N170" i="8" a="1"/>
  <c r="N4" i="11" a="1"/>
  <c r="K186" i="8" a="1"/>
  <c r="U128" i="8" a="1"/>
  <c r="Q6" i="8" a="1"/>
  <c r="T117" i="8" a="1"/>
  <c r="L172" i="8" a="1"/>
  <c r="N182" i="8" a="1"/>
  <c r="U43" i="8" a="1"/>
  <c r="N5" i="11" a="1"/>
  <c r="L5" i="11" a="1"/>
  <c r="N18" i="11" a="1"/>
  <c r="M152" i="8" a="1"/>
  <c r="N84" i="11" a="1"/>
  <c r="U4" i="8" a="1"/>
  <c r="K89" i="8" a="1"/>
  <c r="U42" i="8" a="1"/>
  <c r="S144" i="8" a="1"/>
  <c r="J62" i="11" a="1"/>
  <c r="J53" i="8" a="1"/>
  <c r="Q4" i="8" a="1"/>
  <c r="J73" i="8" a="1"/>
  <c r="U33" i="8" a="1"/>
  <c r="U129" i="8" a="1"/>
  <c r="T110" i="8" a="1"/>
  <c r="J79" i="11" a="1"/>
  <c r="R142" i="8" a="1"/>
  <c r="R87" i="8" a="1"/>
  <c r="O41" i="11" a="1"/>
  <c r="M166" i="8" a="1"/>
  <c r="L207" i="8" a="1"/>
  <c r="M90" i="11" a="1"/>
  <c r="O145" i="8" a="1"/>
  <c r="J10" i="8" a="1"/>
  <c r="M27" i="8" a="1"/>
  <c r="J84" i="11" a="1"/>
  <c r="N203" i="8" a="1"/>
  <c r="S122" i="8" a="1"/>
  <c r="M33" i="11" a="1"/>
  <c r="K124" i="8" a="1"/>
  <c r="L59" i="8" a="1"/>
  <c r="O164" i="8" a="1"/>
  <c r="L196" i="8" a="1"/>
  <c r="L98" i="8" a="1"/>
  <c r="O166" i="8" a="1"/>
  <c r="L200" i="8" a="1"/>
  <c r="K211" i="8" a="1"/>
  <c r="K146" i="8" a="1"/>
  <c r="S159" i="8" a="1"/>
  <c r="M138" i="8" a="1"/>
  <c r="J65" i="8" a="1"/>
  <c r="O146" i="8" a="1"/>
  <c r="K72" i="11" a="1"/>
  <c r="N116" i="8" a="1"/>
  <c r="R173" i="8" a="1"/>
  <c r="U160" i="8" a="1"/>
  <c r="M68" i="11" a="1"/>
  <c r="R28" i="8" a="1"/>
  <c r="Q114" i="8" a="1"/>
  <c r="M154" i="8" a="1"/>
  <c r="L4" i="8" a="1"/>
  <c r="K114" i="8" a="1"/>
  <c r="L48" i="11" a="1"/>
  <c r="V205" i="8" a="1"/>
  <c r="Q97" i="8" a="1"/>
  <c r="K29" i="8" a="1"/>
  <c r="M92" i="8" a="1"/>
  <c r="R146" i="8" a="1"/>
  <c r="M30" i="8" a="1"/>
  <c r="Q89" i="8" a="1"/>
  <c r="V25" i="8" a="1"/>
  <c r="R126" i="8" a="1"/>
  <c r="M40" i="11" a="1"/>
  <c r="U167" i="8" a="1"/>
  <c r="R141" i="8" a="1"/>
  <c r="J197" i="8" a="1"/>
  <c r="U40" i="8" a="1"/>
  <c r="O133" i="8" a="1"/>
  <c r="L64" i="11" a="1"/>
  <c r="U210" i="8" a="1"/>
  <c r="J152" i="8" a="1"/>
  <c r="T36" i="8" a="1"/>
  <c r="N120" i="8" a="1"/>
  <c r="N102" i="8" a="1"/>
  <c r="S23" i="8" a="1"/>
  <c r="J42" i="11" a="1"/>
  <c r="J49" i="8" a="1"/>
  <c r="V123" i="8" a="1"/>
  <c r="T115" i="8" a="1"/>
  <c r="R119" i="8" a="1"/>
  <c r="O89" i="8" a="1"/>
  <c r="J38" i="11" a="1"/>
  <c r="M35" i="11" a="1"/>
  <c r="J122" i="8" a="1"/>
  <c r="K81" i="8" a="1"/>
  <c r="V198" i="8" a="1"/>
  <c r="N42" i="8" a="1"/>
  <c r="V83" i="8" a="1"/>
  <c r="M96" i="8" a="1"/>
  <c r="O73" i="11" a="1"/>
  <c r="T131" i="8" a="1"/>
  <c r="Q189" i="8" a="1"/>
  <c r="J138" i="8" a="1"/>
  <c r="K22" i="11" a="1"/>
  <c r="N165" i="8" a="1"/>
  <c r="K40" i="8" a="1"/>
  <c r="U155" i="8" a="1"/>
  <c r="V62" i="8" a="1"/>
  <c r="J19" i="8" a="1"/>
  <c r="K197" i="8" a="1"/>
  <c r="S135" i="8" a="1"/>
  <c r="L38" i="8" a="1"/>
  <c r="K121" i="8" a="1"/>
  <c r="T58" i="8" a="1"/>
  <c r="O37" i="8" a="1"/>
  <c r="N23" i="8" a="1"/>
  <c r="J23" i="8" a="1"/>
  <c r="K115" i="8" a="1"/>
  <c r="R44" i="8" a="1"/>
  <c r="Q95" i="8" a="1"/>
  <c r="O25" i="8" a="1"/>
  <c r="M94" i="11" a="1"/>
  <c r="J16" i="11" a="1"/>
  <c r="M48" i="11" a="1"/>
  <c r="U194" i="8" a="1"/>
  <c r="L12" i="8" a="1"/>
  <c r="V98" i="8" a="1"/>
  <c r="J170" i="8" a="1"/>
  <c r="L82" i="11" a="1"/>
  <c r="S36" i="8" a="1"/>
  <c r="L73" i="11" a="1"/>
  <c r="M78" i="8" a="1"/>
  <c r="R129" i="8" a="1"/>
  <c r="L86" i="8" a="1"/>
  <c r="S34" i="8" a="1"/>
  <c r="N51" i="8" a="1"/>
  <c r="N61" i="11" a="1"/>
  <c r="T25" i="8" a="1"/>
  <c r="K199" i="8" a="1"/>
  <c r="T13" i="8" a="1"/>
  <c r="U18" i="8" a="1"/>
  <c r="J63" i="11" a="1"/>
  <c r="Q107" i="8" a="1"/>
  <c r="K21" i="11" a="1"/>
  <c r="L43" i="11" a="1"/>
  <c r="O25" i="11" a="1"/>
  <c r="N66" i="11" a="1"/>
  <c r="S110" i="8" a="1"/>
  <c r="R22" i="8" a="1"/>
  <c r="K93" i="8" a="1"/>
  <c r="T210" i="8" a="1"/>
  <c r="M135" i="8" a="1"/>
  <c r="O30" i="11" a="1"/>
  <c r="N192" i="8" a="1"/>
  <c r="K180" i="8" a="1"/>
  <c r="K129" i="8" a="1"/>
  <c r="R204" i="8" a="1"/>
  <c r="V63" i="8" a="1"/>
  <c r="U5" i="8" a="1"/>
  <c r="T87" i="8" a="1"/>
  <c r="M27" i="11" a="1"/>
  <c r="R21" i="8" a="1"/>
  <c r="T135" i="8" a="1"/>
  <c r="O18" i="8" a="1"/>
  <c r="R175" i="8" a="1"/>
  <c r="J101" i="8" a="1"/>
  <c r="Q38" i="8" a="1"/>
  <c r="R81" i="8" a="1"/>
  <c r="K94" i="8" a="1"/>
  <c r="M202" i="8" a="1"/>
  <c r="S209" i="8" a="1"/>
  <c r="U36" i="8" a="1"/>
  <c r="Q91" i="8" a="1"/>
  <c r="V203" i="8" a="1"/>
  <c r="Q134" i="8" a="1"/>
  <c r="N11" i="8" a="1"/>
  <c r="K7" i="11" a="1"/>
  <c r="M173" i="8" a="1"/>
  <c r="L157" i="8" a="1"/>
  <c r="L147" i="8" a="1"/>
  <c r="V31" i="8" a="1"/>
  <c r="V172" i="8" a="1"/>
  <c r="R11" i="8" a="1"/>
  <c r="N37" i="8" a="1"/>
  <c r="T40" i="8" a="1"/>
  <c r="R59" i="8" a="1"/>
  <c r="K77" i="11" a="1"/>
  <c r="K35" i="8" a="1"/>
  <c r="Q153" i="8" a="1"/>
  <c r="N181" i="8" a="1"/>
  <c r="T64" i="8" a="1"/>
  <c r="M65" i="8" a="1"/>
  <c r="N197" i="8" a="1"/>
  <c r="N166" i="8" a="1"/>
  <c r="Q185" i="8" a="1"/>
  <c r="N59" i="8" a="1"/>
  <c r="S140" i="8" a="1"/>
  <c r="M119" i="8" a="1"/>
  <c r="O189" i="8" a="1"/>
  <c r="N10" i="11" a="1"/>
  <c r="K36" i="8" a="1"/>
  <c r="N126" i="8" a="1"/>
  <c r="N56" i="11" a="1"/>
  <c r="S91" i="8" a="1"/>
  <c r="L69" i="11" a="1"/>
  <c r="M29" i="8" a="1"/>
  <c r="V22" i="8" a="1"/>
  <c r="M12" i="11" a="1"/>
  <c r="Q141" i="8" a="1"/>
  <c r="K128" i="8" a="1"/>
  <c r="T154" i="8" a="1"/>
  <c r="Q32" i="8" a="1"/>
  <c r="R180" i="8" a="1"/>
  <c r="T164" i="8" a="1"/>
  <c r="J51" i="8" a="1"/>
  <c r="S89" i="8" a="1"/>
  <c r="K64" i="11" a="1"/>
  <c r="O10" i="8" a="1"/>
  <c r="M2" i="8" a="1"/>
  <c r="J199" i="8" a="1"/>
  <c r="U118" i="8" a="1"/>
  <c r="O154" i="8" a="1"/>
  <c r="R94" i="8" a="1"/>
  <c r="U150" i="8" a="1"/>
  <c r="L212" i="8" a="1"/>
  <c r="R64" i="8" a="1"/>
  <c r="R103" i="8" a="1"/>
  <c r="N159" i="8" a="1"/>
  <c r="N13" i="11" a="1"/>
  <c r="L75" i="8" a="1"/>
  <c r="T15" i="8" a="1"/>
  <c r="M31" i="8" a="1"/>
  <c r="N174" i="8" a="1"/>
  <c r="O48" i="11" a="1"/>
  <c r="J14" i="8" a="1"/>
  <c r="J25" i="8" a="1"/>
  <c r="K100" i="8" a="1"/>
  <c r="K206" i="8" a="1"/>
  <c r="K60" i="8" a="1"/>
  <c r="K55" i="11" a="1"/>
  <c r="U207" i="8" a="1"/>
  <c r="R58" i="8" a="1"/>
  <c r="R185" i="8" a="1"/>
  <c r="L113" i="8" a="1"/>
  <c r="Q196" i="8" a="1"/>
  <c r="M85" i="11" a="1"/>
  <c r="K98" i="8" a="1"/>
  <c r="J154" i="8" a="1"/>
  <c r="Q156" i="8" a="1"/>
  <c r="N25" i="8" a="1"/>
  <c r="T78" i="8" a="1"/>
  <c r="V119" i="8" a="1"/>
  <c r="L202" i="8" a="1"/>
  <c r="O170" i="8" a="1"/>
  <c r="U182" i="8" a="1"/>
  <c r="O102" i="8" a="1"/>
  <c r="J12" i="8" a="1"/>
  <c r="O47" i="8" a="1"/>
  <c r="J56" i="11" a="1"/>
  <c r="V171" i="8" a="1"/>
  <c r="S33" i="8" a="1"/>
  <c r="M142" i="8" a="1"/>
  <c r="V97" i="8" a="1"/>
  <c r="K116" i="8" a="1"/>
  <c r="U166" i="8" a="1"/>
  <c r="V142" i="8" a="1"/>
  <c r="V209" i="8" a="1"/>
  <c r="O135" i="8" a="1"/>
  <c r="V139" i="8" a="1"/>
  <c r="S143" i="8" a="1"/>
  <c r="M33" i="8" a="1"/>
  <c r="L62" i="11" a="1"/>
  <c r="M70" i="8" a="1"/>
  <c r="L75" i="11" a="1"/>
  <c r="L18" i="8" a="1"/>
  <c r="L30" i="8" a="1"/>
  <c r="O4" i="8" a="1"/>
  <c r="S74" i="8" a="1"/>
  <c r="N97" i="8" a="1"/>
  <c r="U145" i="8" a="1"/>
  <c r="L74" i="8" a="1"/>
  <c r="V154" i="8" a="1"/>
  <c r="T85" i="8" a="1"/>
  <c r="T167" i="8" a="1"/>
  <c r="U208" i="8" a="1"/>
  <c r="Q8" i="8" a="1"/>
  <c r="K144" i="8" a="1"/>
  <c r="S197" i="8" a="1"/>
  <c r="K83" i="11" a="1"/>
  <c r="L50" i="11" a="1"/>
  <c r="V193" i="8" a="1"/>
  <c r="M102" i="8" a="1"/>
  <c r="K79" i="11" a="1"/>
  <c r="J131" i="8" a="1"/>
  <c r="L35" i="11" a="1"/>
  <c r="S69" i="8" a="1"/>
  <c r="V176" i="8" a="1"/>
  <c r="M4" i="8" a="1"/>
  <c r="S29" i="8" a="1"/>
  <c r="S90" i="8" a="1"/>
  <c r="K95" i="8" a="1"/>
  <c r="S204" i="8" a="1"/>
  <c r="J5" i="8" a="1"/>
  <c r="N73" i="11" a="1"/>
  <c r="O91" i="11" a="1"/>
  <c r="U181" i="8" a="1"/>
  <c r="Q157" i="8" a="1"/>
  <c r="O30" i="8" a="1"/>
  <c r="R197" i="8" a="1"/>
  <c r="J29" i="11" a="1"/>
  <c r="M189" i="8" a="1"/>
  <c r="R157" i="8" a="1"/>
  <c r="L173" i="8" a="1"/>
  <c r="L25" i="11" a="1"/>
  <c r="N51" i="11" a="1"/>
  <c r="M120" i="8" a="1"/>
  <c r="K167" i="8" a="1"/>
  <c r="Q25" i="8" a="1"/>
  <c r="U38" i="8" a="1"/>
  <c r="O15" i="11" a="1"/>
  <c r="J47" i="11" a="1"/>
  <c r="K107" i="8" a="1"/>
  <c r="M47" i="11" a="1"/>
  <c r="L185" i="8" a="1"/>
  <c r="O190" i="8" a="1"/>
  <c r="V39" i="8" a="1"/>
  <c r="M80" i="11" a="1"/>
  <c r="U190" i="8" a="1"/>
  <c r="R159" i="8" a="1"/>
  <c r="V109" i="8" a="1"/>
  <c r="S161" i="8" a="1"/>
  <c r="J116" i="8" a="1"/>
  <c r="V42" i="8" a="1"/>
  <c r="U204" i="8" a="1"/>
  <c r="L164" i="8" a="1"/>
  <c r="U73" i="8" a="1"/>
  <c r="T193" i="8" a="1"/>
  <c r="U54" i="8" a="1"/>
  <c r="T2" i="8" a="1"/>
  <c r="M159" i="8" a="1"/>
  <c r="T23" i="8" a="1"/>
  <c r="R187" i="8" a="1"/>
  <c r="J35" i="8" a="1"/>
  <c r="J51" i="11" a="1"/>
  <c r="R96" i="8" a="1"/>
  <c r="S8" i="8" a="1"/>
  <c r="L138" i="8" a="1"/>
  <c r="O57" i="8" a="1"/>
  <c r="R118" i="8" a="1"/>
  <c r="L61" i="11" a="1"/>
  <c r="T150" i="8" a="1"/>
  <c r="K172" i="8" a="1"/>
  <c r="O156" i="8" a="1"/>
  <c r="T144" i="8" a="1"/>
  <c r="S187" i="8" a="1"/>
  <c r="K193" i="8" a="1"/>
  <c r="V58" i="8" a="1"/>
  <c r="J17" i="8" a="1"/>
  <c r="J8" i="8" a="1"/>
  <c r="T177" i="8" a="1"/>
  <c r="K152" i="8" a="1"/>
  <c r="Q26" i="8" a="1"/>
  <c r="L193" i="8" a="1"/>
  <c r="S138" i="8" a="1"/>
  <c r="N131" i="8" a="1"/>
  <c r="Q49" i="8" a="1"/>
  <c r="K77" i="8" a="1"/>
  <c r="K150" i="8" a="1"/>
  <c r="T99" i="8" a="1"/>
  <c r="R8" i="8" a="1"/>
  <c r="U17" i="8" a="1"/>
  <c r="R139" i="8" a="1"/>
  <c r="Q113" i="8" a="1"/>
  <c r="M61" i="11" a="1"/>
  <c r="K12" i="11" a="1"/>
  <c r="T102" i="8" a="1"/>
  <c r="S54" i="8" a="1"/>
  <c r="N67" i="8" a="1"/>
  <c r="T142" i="8" a="1"/>
  <c r="N147" i="8" a="1"/>
  <c r="L14" i="11" a="1"/>
  <c r="J32" i="8" a="1"/>
  <c r="S41" i="8" a="1"/>
  <c r="N81" i="11" a="1"/>
  <c r="O73" i="8" a="1"/>
  <c r="M54" i="8" a="1"/>
  <c r="N42" i="11" a="1"/>
  <c r="S112" i="8" a="1"/>
  <c r="M25" i="8" a="1"/>
  <c r="M177" i="8" a="1"/>
  <c r="L53" i="8" a="1"/>
  <c r="J46" i="8" a="1"/>
  <c r="N80" i="11" a="1"/>
  <c r="N158" i="8" a="1"/>
  <c r="M82" i="8" a="1"/>
  <c r="O44" i="11" a="1"/>
  <c r="J9" i="11" a="1"/>
  <c r="M160" i="8" a="1"/>
  <c r="J136" i="8" a="1"/>
  <c r="K154" i="8" a="1"/>
  <c r="R200" i="8" a="1"/>
  <c r="V71" i="8" a="1"/>
  <c r="M19" i="11" a="1"/>
  <c r="L33" i="11" a="1"/>
  <c r="O178" i="8" a="1"/>
  <c r="S184" i="8" a="1"/>
  <c r="R71" i="8" a="1"/>
  <c r="T119" i="8" a="1"/>
  <c r="K62" i="11" a="1"/>
  <c r="N77" i="8" a="1"/>
  <c r="L63" i="8" a="1"/>
  <c r="N113" i="8" a="1"/>
  <c r="V127" i="8" a="1"/>
  <c r="Q207" i="8" a="1"/>
  <c r="V118" i="8" a="1"/>
  <c r="N161" i="8" a="1"/>
  <c r="O21" i="11" a="1"/>
  <c r="M67" i="8" a="1"/>
  <c r="M53" i="11" a="1"/>
  <c r="J73" i="11" a="1"/>
  <c r="N28" i="11" a="1"/>
  <c r="O118" i="8" a="1"/>
  <c r="S163" i="8" a="1"/>
  <c r="R75" i="8" a="1"/>
  <c r="U28" i="8" a="1"/>
  <c r="O198" i="8" a="1"/>
  <c r="R34" i="8" a="1"/>
  <c r="N185" i="8" a="1"/>
  <c r="N156" i="8" a="1"/>
  <c r="J127" i="8" a="1"/>
  <c r="N24" i="8" a="1"/>
  <c r="J68" i="8" a="1"/>
  <c r="L186" i="8" a="1"/>
  <c r="S210" i="8" a="1"/>
  <c r="R165" i="8" a="1"/>
  <c r="T63" i="8" a="1"/>
  <c r="K9" i="8" a="1"/>
  <c r="Q35" i="8" a="1"/>
  <c r="R84" i="8" a="1"/>
  <c r="Q14" i="8" a="1"/>
  <c r="U84" i="8" a="1"/>
  <c r="N75" i="11" a="1"/>
  <c r="O60" i="8" a="1"/>
  <c r="Q68" i="8" a="1"/>
  <c r="O83" i="11" a="1"/>
  <c r="L54" i="11" a="1"/>
  <c r="U110" i="8" a="1"/>
  <c r="U131" i="8" a="1"/>
  <c r="N167" i="8" a="1"/>
  <c r="T192" i="8" a="1"/>
  <c r="J94" i="11" a="1"/>
  <c r="N122" i="8" a="1"/>
  <c r="O208" i="8" a="1"/>
  <c r="K20" i="11" a="1"/>
  <c r="L7" i="11" a="1"/>
  <c r="O150" i="8" a="1"/>
  <c r="N12" i="11" a="1"/>
  <c r="L134" i="8" a="1"/>
  <c r="R67" i="8" a="1"/>
  <c r="S137" i="8" a="1"/>
  <c r="K44" i="11" a="1"/>
  <c r="M176" i="8" a="1"/>
  <c r="J212" i="8" a="1"/>
  <c r="M158" i="8" a="1"/>
  <c r="S182" i="8" a="1"/>
  <c r="K75" i="11" a="1"/>
  <c r="K96" i="8" a="1"/>
  <c r="N55" i="8" a="1"/>
  <c r="L51" i="11" a="1"/>
  <c r="O92" i="11" a="1"/>
  <c r="K47" i="8" a="1"/>
  <c r="O26" i="11" a="1"/>
  <c r="L23" i="11" a="1"/>
  <c r="M91" i="8" a="1"/>
  <c r="O77" i="11" a="1"/>
  <c r="T41" i="8" a="1"/>
  <c r="N144" i="8" a="1"/>
  <c r="M132" i="8" a="1"/>
  <c r="R66" i="8" a="1"/>
  <c r="V44" i="8" a="1"/>
  <c r="T79" i="8" a="1"/>
  <c r="K57" i="11" a="1"/>
  <c r="K182" i="8" a="1"/>
  <c r="U60" i="8" a="1"/>
  <c r="V60" i="8" a="1"/>
  <c r="K148" i="8" a="1"/>
  <c r="S59" i="8" a="1"/>
  <c r="S202" i="8" a="1"/>
  <c r="N188" i="8" a="1"/>
  <c r="M146" i="8" a="1"/>
  <c r="M66" i="11" a="1"/>
  <c r="K39" i="8" a="1"/>
  <c r="K67" i="11" a="1"/>
  <c r="K71" i="11" a="1"/>
  <c r="J157" i="8" a="1"/>
  <c r="S203" i="8" a="1"/>
  <c r="R124" i="8" a="1"/>
  <c r="R77" i="8" a="1"/>
  <c r="N92" i="11" a="1"/>
  <c r="K39" i="11" a="1"/>
  <c r="U159" i="8" a="1"/>
  <c r="N17" i="8" a="1"/>
  <c r="S188" i="8" a="1"/>
  <c r="K41" i="11" a="1"/>
  <c r="R35" i="8" a="1"/>
  <c r="L55" i="11" a="1"/>
  <c r="L120" i="8" a="1"/>
  <c r="N35" i="8" a="1"/>
  <c r="U173" i="8" a="1"/>
  <c r="L36" i="11" a="1"/>
  <c r="L67" i="8" a="1"/>
  <c r="J105" i="8" a="1"/>
  <c r="V135" i="8" a="1"/>
  <c r="N28" i="8" a="1"/>
  <c r="V68" i="8" a="1"/>
  <c r="O134" i="8" a="1"/>
  <c r="S142" i="8" a="1"/>
  <c r="R127" i="8" a="1"/>
  <c r="N160" i="8" a="1"/>
  <c r="K78" i="8" a="1"/>
  <c r="R201" i="8" a="1"/>
  <c r="V92" i="8" a="1"/>
  <c r="N73" i="8" a="1"/>
  <c r="R83" i="8" a="1"/>
  <c r="T26" i="8" a="1"/>
  <c r="O36" i="11" a="1"/>
  <c r="L46" i="8" a="1"/>
  <c r="M172" i="8" a="1"/>
  <c r="T18" i="8" a="1"/>
  <c r="N91" i="8" a="1"/>
  <c r="Q101" i="8" a="1"/>
  <c r="S113" i="8" a="1"/>
  <c r="K198" i="8" a="1"/>
  <c r="N69" i="11" a="1"/>
  <c r="S79" i="8" a="1"/>
  <c r="O52" i="11" a="1"/>
  <c r="L205" i="8" a="1"/>
  <c r="J134" i="8" a="1"/>
  <c r="Q18" i="8" a="1"/>
  <c r="R168" i="8" a="1"/>
  <c r="J139" i="8" a="1"/>
  <c r="M126" i="8" a="1"/>
  <c r="U78" i="8" a="1"/>
  <c r="U67" i="8" a="1"/>
  <c r="J133" i="8" a="1"/>
  <c r="T165" i="8" a="1"/>
  <c r="T6" i="8" a="1"/>
  <c r="J28" i="8" a="1"/>
  <c r="K71" i="8" a="1"/>
  <c r="L79" i="8" a="1"/>
  <c r="R69" i="8" a="1"/>
  <c r="Q28" i="8" a="1"/>
  <c r="O22" i="8" a="1"/>
  <c r="N88" i="11" a="1"/>
  <c r="T90" i="8" a="1"/>
  <c r="M64" i="11" a="1"/>
  <c r="S93" i="8" a="1"/>
  <c r="S121" i="8" a="1"/>
  <c r="R62" i="8" a="1"/>
  <c r="U188" i="8" a="1"/>
  <c r="S86" i="8" a="1"/>
  <c r="U91" i="8" a="1"/>
  <c r="L195" i="8" a="1"/>
  <c r="O6" i="8" a="1"/>
  <c r="O42" i="11" a="1"/>
  <c r="S80" i="8" a="1"/>
  <c r="M171" i="8" a="1"/>
  <c r="T198" i="8" a="1"/>
  <c r="S78" i="8" a="1"/>
  <c r="L129" i="8" a="1"/>
  <c r="O53" i="8" a="1"/>
  <c r="M39" i="8" a="1"/>
  <c r="T60" i="8" a="1"/>
  <c r="Q57" i="8" a="1"/>
  <c r="L109" i="8" a="1"/>
  <c r="O9" i="11" a="1"/>
  <c r="J76" i="11" a="1"/>
  <c r="U147" i="8" a="1"/>
  <c r="L66" i="8" a="1"/>
  <c r="S128" i="8" a="1"/>
  <c r="N195" i="8" a="1"/>
  <c r="V160" i="8" a="1"/>
  <c r="K53" i="8" a="1"/>
  <c r="J92" i="11" a="1"/>
  <c r="L72" i="11" a="1"/>
  <c r="S111" i="8" a="1"/>
  <c r="L30" i="11" a="1"/>
  <c r="K19" i="11" a="1"/>
  <c r="V54" i="8" a="1"/>
  <c r="J64" i="11" a="1"/>
  <c r="L127" i="8" a="1"/>
  <c r="S57" i="8" a="1"/>
  <c r="L6" i="11" a="1"/>
  <c r="R45" i="8" a="1"/>
  <c r="T124" i="8" a="1"/>
  <c r="Q163" i="8" a="1"/>
  <c r="J41" i="11" a="1"/>
  <c r="S134" i="8" a="1"/>
  <c r="R49" i="8" a="1"/>
  <c r="L93" i="11" a="1"/>
  <c r="R78" i="8" a="1"/>
  <c r="J202" i="8" a="1"/>
  <c r="R68" i="8" a="1"/>
  <c r="Q120" i="8" a="1"/>
  <c r="Q182" i="8" a="1"/>
  <c r="T156" i="8" a="1"/>
  <c r="N50" i="11" a="1"/>
  <c r="K74" i="8" a="1"/>
  <c r="K136" i="8" a="1"/>
  <c r="S205" i="8" a="1"/>
  <c r="Q164" i="8" a="1"/>
  <c r="T65" i="8" a="1"/>
  <c r="R137" i="8" a="1"/>
  <c r="J93" i="8" a="1"/>
  <c r="J24" i="8" a="1"/>
  <c r="M104" i="8" a="1"/>
  <c r="K63" i="8" a="1"/>
  <c r="Q20" i="8" a="1"/>
  <c r="M116" i="8" a="1"/>
  <c r="S102" i="8" a="1"/>
  <c r="O115" i="8" a="1"/>
  <c r="V124" i="8" a="1"/>
  <c r="K202" i="8" a="1"/>
  <c r="S38" i="8" a="1"/>
  <c r="M66" i="8" a="1"/>
  <c r="V96" i="8" a="1"/>
  <c r="R190" i="8" a="1"/>
  <c r="U154" i="8" a="1"/>
  <c r="J187" i="8" a="1"/>
  <c r="S20" i="8" a="1"/>
  <c r="J7" i="11" a="1"/>
  <c r="O155" i="8" a="1"/>
  <c r="R161" i="8" a="1"/>
  <c r="R100" i="8" a="1"/>
  <c r="K184" i="8" a="1"/>
  <c r="O59" i="11" a="1"/>
  <c r="M161" i="8" a="1"/>
  <c r="K41" i="8" a="1"/>
  <c r="V197" i="8" a="1"/>
  <c r="V17" i="8" a="1"/>
  <c r="L71" i="8" a="1"/>
  <c r="O38" i="8" a="1"/>
  <c r="K23" i="11" a="1"/>
  <c r="L80" i="8" a="1"/>
  <c r="S77" i="8" a="1"/>
  <c r="O17" i="11" a="1"/>
  <c r="K140" i="8" a="1"/>
  <c r="T182" i="8" a="1"/>
  <c r="J45" i="8" a="1"/>
  <c r="K138" i="8" a="1"/>
  <c r="O8" i="8" a="1"/>
  <c r="T67" i="8" a="1"/>
  <c r="J172" i="8" a="1"/>
  <c r="L28" i="11" a="1"/>
  <c r="R92" i="8" a="1"/>
  <c r="L84" i="11" a="1"/>
  <c r="O34" i="8" a="1"/>
  <c r="T30" i="8" a="1"/>
  <c r="T184" i="8" a="1"/>
  <c r="N194" i="8" a="1"/>
  <c r="V21" i="8" a="1"/>
  <c r="K40" i="11" a="1"/>
  <c r="T95" i="8" a="1"/>
  <c r="J71" i="8" a="1"/>
  <c r="S15" i="8" a="1"/>
  <c r="K102" i="8" a="1"/>
  <c r="R163" i="8" a="1"/>
  <c r="Q74" i="8" a="1"/>
  <c r="N196" i="8" a="1"/>
  <c r="V146" i="8" a="1"/>
  <c r="S195" i="8" a="1"/>
  <c r="M52" i="11" a="1"/>
  <c r="Q123" i="8" a="1"/>
  <c r="R79" i="8" a="1"/>
  <c r="J86" i="8" a="1"/>
  <c r="M35" i="8" a="1"/>
  <c r="R90" i="8" a="1"/>
  <c r="S83" i="8" a="1"/>
  <c r="S32" i="8" a="1"/>
  <c r="Q112" i="8" a="1"/>
  <c r="O61" i="8" a="1"/>
  <c r="M16" i="8" a="1"/>
  <c r="O93" i="11" a="1"/>
  <c r="M190" i="8" a="1"/>
  <c r="R65" i="8" a="1"/>
  <c r="O203" i="8" a="1"/>
  <c r="S73" i="8" a="1"/>
  <c r="M149" i="8" a="1"/>
  <c r="R72" i="8" a="1"/>
  <c r="R148" i="8" a="1"/>
  <c r="U199" i="8" a="1"/>
  <c r="K158" i="8" a="1"/>
  <c r="S192" i="8" a="1"/>
  <c r="T187" i="8" a="1"/>
  <c r="V131" i="8" a="1"/>
  <c r="V69" i="8" a="1"/>
  <c r="J61" i="11" a="1"/>
  <c r="U37" i="8" a="1"/>
  <c r="L111" i="8" a="1"/>
  <c r="N137" i="8" a="1"/>
  <c r="K160" i="8" a="1"/>
  <c r="L139" i="8" a="1"/>
  <c r="L65" i="8" a="1"/>
  <c r="K58" i="11" a="1"/>
  <c r="M174" i="8" a="1"/>
  <c r="O186" i="8" a="1"/>
  <c r="N19" i="11" a="1"/>
  <c r="T44" i="8" a="1"/>
  <c r="V108" i="8" a="1"/>
  <c r="O29" i="11" a="1"/>
  <c r="U111" i="8" a="1"/>
  <c r="L2" i="8" a="1"/>
  <c r="L91" i="11" a="1"/>
  <c r="M113" i="8" a="1"/>
  <c r="L188" i="8" a="1"/>
  <c r="T97" i="8" a="1"/>
  <c r="O185" i="8" a="1"/>
  <c r="U117" i="8" a="1"/>
  <c r="U163" i="8" a="1"/>
  <c r="O68" i="11" a="1"/>
  <c r="N55" i="11" a="1"/>
  <c r="M58" i="8" a="1"/>
  <c r="O76" i="11" a="1"/>
  <c r="N184" i="8" a="1"/>
  <c r="Q24" i="8" a="1"/>
  <c r="L7" i="8" a="1"/>
  <c r="L152" i="8" a="1"/>
  <c r="O38" i="11" a="1"/>
  <c r="N205" i="8" a="1"/>
  <c r="K178" i="8" a="1"/>
  <c r="O122" i="8" a="1"/>
  <c r="O11" i="8" a="1"/>
  <c r="R131" i="8" a="1"/>
  <c r="O81" i="8" a="1"/>
  <c r="T29" i="8" a="1"/>
  <c r="R9" i="8" a="1"/>
  <c r="U88" i="8" a="1"/>
  <c r="Q12" i="8" a="1"/>
  <c r="N37" i="11" a="1"/>
  <c r="J60" i="8" a="1"/>
  <c r="T157" i="8" a="1"/>
  <c r="M78" i="11" a="1"/>
  <c r="Q177" i="8" a="1"/>
  <c r="R33" i="8" a="1"/>
  <c r="J13" i="8" a="1"/>
  <c r="Q79" i="8" a="1"/>
  <c r="M208" i="8" a="1"/>
  <c r="L160" i="8" a="1"/>
  <c r="S28" i="8" a="1"/>
  <c r="K90" i="8" a="1"/>
  <c r="J61" i="8" a="1"/>
  <c r="S129" i="8" a="1"/>
  <c r="J86" i="11" a="1"/>
  <c r="O169" i="8" a="1"/>
  <c r="R138" i="8" a="1"/>
  <c r="S146" i="8" a="1"/>
  <c r="V121" i="8" a="1"/>
  <c r="R208" i="8" a="1"/>
  <c r="N206" i="8" a="1"/>
  <c r="O71" i="11" a="1"/>
  <c r="N60" i="8" a="1"/>
  <c r="O177" i="8" a="1"/>
  <c r="N106" i="8" a="1"/>
  <c r="K201" i="8" a="1"/>
  <c r="O187" i="8" a="1"/>
  <c r="L86" i="11" a="1"/>
  <c r="R194" i="8" a="1"/>
  <c r="M38" i="8" a="1"/>
  <c r="M59" i="11" a="1"/>
  <c r="J70" i="11" a="1"/>
  <c r="L21" i="11" a="1"/>
  <c r="U198" i="8" a="1"/>
  <c r="K56" i="11" a="1"/>
  <c r="O173" i="8" a="1"/>
  <c r="M44" i="8" a="1"/>
  <c r="R106" i="8" a="1"/>
  <c r="S52" i="8" a="1"/>
  <c r="L13" i="8" a="1"/>
  <c r="K36" i="11" a="1"/>
  <c r="Q171" i="8" a="1"/>
  <c r="V91" i="8" a="1"/>
  <c r="Q102" i="8" a="1"/>
  <c r="O142" i="8" a="1"/>
  <c r="O59" i="8" a="1"/>
  <c r="O110" i="8" a="1"/>
  <c r="R151" i="8" a="1"/>
  <c r="L70" i="11" a="1"/>
  <c r="N16" i="8" a="1"/>
  <c r="M14" i="8" a="1"/>
  <c r="T121" i="8" a="1"/>
  <c r="M203" i="8" a="1"/>
  <c r="N88" i="8" a="1"/>
  <c r="S141" i="8" a="1"/>
  <c r="J208" i="8" a="1"/>
  <c r="O54" i="8" a="1"/>
  <c r="T81" i="8" a="1"/>
  <c r="T169" i="8" a="1"/>
  <c r="N49" i="11" a="1"/>
  <c r="K51" i="11" a="1"/>
  <c r="U63" i="8" a="1"/>
  <c r="J90" i="8" a="1"/>
  <c r="O136" i="8" a="1"/>
  <c r="M15" i="11" a="1"/>
  <c r="L178" i="8" a="1"/>
  <c r="T189" i="8" a="1"/>
  <c r="S157" i="8" a="1"/>
  <c r="K15" i="8" a="1"/>
  <c r="L141" i="8" a="1"/>
  <c r="T98" i="8" a="1"/>
  <c r="V114" i="8" a="1"/>
  <c r="K10" i="8" a="1"/>
  <c r="V116" i="8" a="1"/>
  <c r="Q44" i="8" a="1"/>
  <c r="Q144" i="8" a="1"/>
  <c r="M62" i="8" a="1"/>
  <c r="S94" i="8" a="1"/>
  <c r="U83" i="8" a="1"/>
  <c r="Q174" i="8" a="1"/>
  <c r="U158" i="8" a="1"/>
  <c r="V129" i="8" a="1"/>
  <c r="O92" i="8" a="1"/>
  <c r="O197" i="8" a="1"/>
  <c r="S139" i="8" a="1"/>
  <c r="J4" i="11" a="1"/>
  <c r="M77" i="11" a="1"/>
  <c r="K212" i="8" a="1"/>
  <c r="T5" i="8" a="1"/>
  <c r="Q206" i="8" a="1"/>
  <c r="R23" i="8" a="1"/>
  <c r="S76" i="8" a="1"/>
  <c r="V184" i="8" a="1"/>
  <c r="N75" i="8" a="1"/>
  <c r="N189" i="8" a="1"/>
  <c r="O139" i="8" a="1"/>
  <c r="Q142" i="8" a="1"/>
  <c r="R47" i="8" a="1"/>
  <c r="J58" i="11" a="1"/>
  <c r="V133" i="8" a="1"/>
  <c r="S19" i="8" a="1"/>
  <c r="Q179" i="8" a="1"/>
  <c r="J36" i="8" a="1"/>
  <c r="J80" i="11" a="1"/>
  <c r="K69" i="11" a="1"/>
  <c r="O63" i="8" a="1"/>
  <c r="O60" i="11" a="1"/>
  <c r="N209" i="8" a="1"/>
  <c r="U20" i="8" a="1"/>
  <c r="U77" i="8" a="1"/>
  <c r="M97" i="8" a="1"/>
  <c r="M76" i="8" a="1"/>
  <c r="O200" i="8" a="1"/>
  <c r="K17" i="8" a="1"/>
  <c r="U25" i="8" a="1"/>
  <c r="S11" i="8" a="1"/>
  <c r="R162" i="8" a="1"/>
  <c r="L118" i="8" a="1"/>
  <c r="R210" i="8" a="1"/>
  <c r="K68" i="8" a="1"/>
  <c r="L154" i="8" a="1"/>
  <c r="Q133" i="8" a="1"/>
  <c r="J29" i="8" a="1"/>
  <c r="N72" i="8" a="1"/>
  <c r="R125" i="8" a="1"/>
  <c r="S108" i="8" a="1"/>
  <c r="K156" i="8" a="1"/>
  <c r="R195" i="8" a="1"/>
  <c r="J98" i="8" a="1"/>
  <c r="K30" i="11" a="1"/>
  <c r="U124" i="8" a="1"/>
  <c r="T74" i="8" a="1"/>
  <c r="V140" i="8" a="1"/>
  <c r="U87" i="8" a="1"/>
  <c r="J150" i="8" a="1"/>
  <c r="S150" i="8" a="1"/>
  <c r="J210" i="8" a="1"/>
  <c r="R6" i="8" a="1"/>
  <c r="V148" i="8" a="1"/>
  <c r="V5" i="8" a="1"/>
  <c r="K85" i="11" a="1"/>
  <c r="U3" i="8" a="1"/>
  <c r="L161" i="8" a="1"/>
  <c r="R32" i="8" a="1"/>
  <c r="M84" i="8" a="1"/>
  <c r="L16" i="11" a="1"/>
  <c r="L171" i="8" a="1"/>
  <c r="J175" i="8" a="1"/>
  <c r="V166" i="8" a="1"/>
  <c r="J97" i="8" a="1"/>
  <c r="J87" i="11" a="1"/>
  <c r="R209" i="8" a="1"/>
  <c r="J143" i="8" a="1"/>
  <c r="T127" i="8" a="1"/>
  <c r="O2" i="8" a="1"/>
  <c r="L101" i="8" a="1"/>
  <c r="O78" i="11" a="1"/>
  <c r="J37" i="8" a="1"/>
  <c r="R202" i="8" a="1"/>
  <c r="S149" i="8" a="1"/>
  <c r="K65" i="11" a="1"/>
  <c r="R98" i="8" a="1"/>
  <c r="N30" i="8" a="1"/>
  <c r="L94" i="11" a="1"/>
  <c r="O19" i="8" a="1"/>
  <c r="K4" i="8" a="1"/>
  <c r="J74" i="8" a="1"/>
  <c r="N47" i="11" a="1"/>
  <c r="U197" i="8" a="1"/>
  <c r="M75" i="8" a="1"/>
  <c r="U13" i="8" a="1"/>
  <c r="V100" i="8" a="1"/>
  <c r="R110" i="8" a="1"/>
  <c r="O65" i="8" a="1"/>
  <c r="S100" i="8" a="1"/>
  <c r="N83" i="11" a="1"/>
  <c r="M145" i="8" a="1"/>
  <c r="Q198" i="8" a="1"/>
  <c r="J129" i="8" a="1"/>
  <c r="K196" i="8" a="1"/>
  <c r="M183" i="8" a="1"/>
  <c r="N54" i="11" a="1"/>
  <c r="Q192" i="8" a="1"/>
  <c r="O49" i="8" a="1"/>
  <c r="R164" i="8" a="1"/>
  <c r="K7" i="8" a="1"/>
  <c r="Q82" i="8" a="1"/>
  <c r="M28" i="11" a="1"/>
  <c r="O138" i="8" a="1"/>
  <c r="Q23" i="8" a="1"/>
  <c r="R74" i="8" a="1"/>
  <c r="K126" i="8" a="1"/>
  <c r="L60" i="8" a="1"/>
  <c r="T43" i="8" a="1"/>
  <c r="J167" i="8" a="1"/>
  <c r="S168" i="8" a="1"/>
  <c r="K88" i="11" a="1"/>
  <c r="J117" i="8" a="1"/>
  <c r="L119" i="8" a="1"/>
  <c r="V195" i="8" a="1"/>
  <c r="N153" i="8" a="1"/>
  <c r="V149" i="8" a="1"/>
  <c r="Q158" i="8" a="1"/>
  <c r="Q63" i="8" a="1"/>
  <c r="K66" i="11" a="1"/>
  <c r="O72" i="8" a="1"/>
  <c r="J163" i="8" a="1"/>
  <c r="S186" i="8" a="1"/>
  <c r="M185" i="8" a="1"/>
  <c r="S164" i="8" a="1"/>
  <c r="Q165" i="8" a="1"/>
  <c r="S198" i="8" a="1"/>
  <c r="O23" i="11" a="1"/>
  <c r="N180" i="8" a="1"/>
  <c r="L78" i="11" a="1"/>
  <c r="K61" i="11" a="1"/>
  <c r="O123" i="8" a="1"/>
  <c r="N163" i="8" a="1"/>
  <c r="Q98" i="8" a="1"/>
  <c r="M15" i="8" a="1"/>
  <c r="S131" i="8" a="1"/>
  <c r="O85" i="11" a="1"/>
  <c r="V152" i="8" a="1"/>
  <c r="J55" i="11" a="1"/>
  <c r="O84" i="11" a="1"/>
  <c r="K13" i="8" a="1"/>
  <c r="J57" i="11" a="1"/>
  <c r="N100" i="8" a="1"/>
  <c r="R27" i="8" a="1"/>
  <c r="K63" i="11" a="1"/>
  <c r="Q19" i="8" a="1"/>
  <c r="L87" i="11" a="1"/>
  <c r="V134" i="8" a="1"/>
  <c r="N128" i="8" a="1"/>
  <c r="U48" i="8" a="1"/>
  <c r="T59" i="8" a="1"/>
  <c r="N86" i="8" a="1"/>
  <c r="T94" i="8" a="1"/>
  <c r="U200" i="8" a="1"/>
  <c r="N6" i="11" a="1"/>
  <c r="L54" i="8" a="1"/>
  <c r="L191" i="8" a="1"/>
  <c r="V77" i="8" a="1"/>
  <c r="Q117" i="8" a="1"/>
  <c r="O201" i="8" a="1"/>
  <c r="Q73" i="8" a="1"/>
  <c r="T12" i="8" a="1"/>
  <c r="L27" i="11" a="1"/>
  <c r="S130" i="8" a="1"/>
  <c r="N90" i="11" a="1"/>
  <c r="S173" i="8" a="1"/>
  <c r="L32" i="11" a="1"/>
  <c r="S190" i="8" a="1"/>
  <c r="L76" i="8" a="1"/>
  <c r="T93" i="8" a="1"/>
  <c r="O7" i="8" a="1"/>
  <c r="N26" i="8" a="1"/>
  <c r="M42" i="8" a="1"/>
  <c r="V180" i="8" a="1"/>
  <c r="T22" i="8" a="1"/>
  <c r="T137" i="8" a="1"/>
  <c r="N143" i="8" a="1"/>
  <c r="K61" i="8" a="1"/>
  <c r="S115" i="8" a="1"/>
  <c r="L201" i="8" a="1"/>
  <c r="S3" i="8" a="1"/>
  <c r="Q209" i="8" a="1"/>
  <c r="N3" i="8" a="1"/>
  <c r="T51" i="8" a="1"/>
  <c r="R7" i="8" a="1"/>
  <c r="V201" i="8" a="1"/>
  <c r="R104" i="8" a="1"/>
  <c r="J72" i="8" a="1"/>
  <c r="R178" i="8" a="1"/>
  <c r="R86" i="8" a="1"/>
  <c r="J39" i="11" a="1"/>
  <c r="O29" i="8" a="1"/>
  <c r="R167" i="8" a="1"/>
  <c r="K37" i="11" a="1"/>
  <c r="S85" i="8" a="1"/>
  <c r="Q115" i="8" a="1"/>
  <c r="R14" i="8" a="1"/>
  <c r="V41" i="8" a="1"/>
  <c r="L53" i="11" a="1"/>
  <c r="N48" i="8" a="1"/>
  <c r="L77" i="11" a="1"/>
  <c r="U146" i="8" a="1"/>
  <c r="M46" i="11" a="1"/>
  <c r="L59" i="11" a="1"/>
  <c r="L38" i="11" a="1"/>
  <c r="K18" i="8" a="1"/>
  <c r="M50" i="8" a="1"/>
  <c r="U121" i="8" a="1"/>
  <c r="O94" i="11" a="1"/>
  <c r="U189" i="8" a="1"/>
  <c r="K53" i="11" a="1"/>
  <c r="J89" i="8" a="1"/>
  <c r="L27" i="8" a="1"/>
  <c r="L66" i="11" a="1"/>
  <c r="L26" i="8" a="1"/>
  <c r="K141" i="8" a="1"/>
  <c r="L83" i="11" a="1"/>
  <c r="S42" i="8" a="1"/>
  <c r="L179" i="8" a="1"/>
  <c r="T89" i="8" a="1"/>
  <c r="U112" i="8" a="1"/>
  <c r="O117" i="8" a="1"/>
  <c r="U186" i="8" a="1"/>
  <c r="T32" i="8" a="1"/>
  <c r="T86" i="8" a="1"/>
  <c r="L73" i="8" a="1"/>
  <c r="T56" i="8" a="1"/>
  <c r="L112" i="8" a="1"/>
  <c r="M49" i="8" a="1"/>
  <c r="N50" i="8" a="1"/>
  <c r="U192" i="8" a="1"/>
  <c r="M150" i="8" a="1"/>
  <c r="K164" i="8" a="1"/>
  <c r="U157" i="8" a="1"/>
  <c r="Q77" i="8" a="1"/>
  <c r="S39" i="8" a="1"/>
  <c r="Q132" i="8" a="1"/>
  <c r="Q138" i="8" a="1"/>
  <c r="O137" i="8" a="1"/>
  <c r="J99" i="8" a="1"/>
  <c r="S177" i="8" a="1"/>
  <c r="O36" i="8" a="1"/>
  <c r="M67" i="11" a="1"/>
  <c r="N150" i="8" a="1"/>
  <c r="Q188" i="8" a="1"/>
  <c r="J22" i="11" a="1"/>
  <c r="N200" i="8" a="1"/>
  <c r="Q205" i="8" a="1"/>
  <c r="R203" i="8" a="1"/>
  <c r="M118" i="8" a="1"/>
  <c r="M141" i="8" a="1"/>
  <c r="V65" i="8" a="1"/>
  <c r="J43" i="8" a="1"/>
  <c r="L123" i="8" a="1"/>
  <c r="L99" i="8" a="1"/>
  <c r="Q167" i="8" a="1"/>
  <c r="Q33" i="8" a="1"/>
  <c r="O116" i="8" a="1"/>
  <c r="O50" i="11" a="1"/>
  <c r="K192" i="8" a="1"/>
  <c r="Q84" i="8" a="1"/>
  <c r="O132" i="8" a="1"/>
  <c r="T104" i="8" a="1"/>
  <c r="N112" i="8" a="1"/>
  <c r="K134" i="8" a="1"/>
  <c r="L62" i="8" a="1"/>
  <c r="L126" i="8" a="1"/>
  <c r="U172" i="8" a="1"/>
  <c r="U58" i="8" a="1"/>
  <c r="O37" i="11" a="1"/>
  <c r="K207" i="8" a="1"/>
  <c r="L107" i="8" a="1"/>
  <c r="Q93" i="8" a="1"/>
  <c r="J14" i="11" a="1"/>
  <c r="Q70" i="8" a="1"/>
  <c r="N14" i="8" a="1"/>
  <c r="N130" i="8" a="1"/>
  <c r="N9" i="11" a="1"/>
  <c r="T49" i="8" a="1"/>
  <c r="R207" i="8" a="1"/>
  <c r="S14" i="8" a="1"/>
  <c r="L121" i="8" a="1"/>
  <c r="Q160" i="8" a="1"/>
  <c r="M86" i="11" a="1"/>
  <c r="J7" i="8" a="1"/>
  <c r="L83" i="8" a="1"/>
  <c r="O205" i="8" a="1"/>
  <c r="T106" i="8" a="1"/>
  <c r="V156" i="8" a="1"/>
  <c r="U95" i="8" a="1"/>
  <c r="J15" i="11" a="1"/>
  <c r="M206" i="8" a="1"/>
  <c r="V137" i="8" a="1"/>
  <c r="N7" i="8" a="1"/>
  <c r="U21" i="8" a="1"/>
  <c r="U82" i="8" a="1"/>
  <c r="N68" i="11" a="1"/>
  <c r="L39" i="11" a="1"/>
  <c r="J67" i="11" a="1"/>
  <c r="N61" i="8" a="1"/>
  <c r="R134" i="8" a="1"/>
  <c r="M162" i="8" a="1"/>
  <c r="N141" i="8" a="1"/>
  <c r="J111" i="8" a="1"/>
  <c r="S62" i="8" a="1"/>
  <c r="J176" i="8" a="1"/>
  <c r="L115" i="8" a="1"/>
  <c r="J141" i="8" a="1"/>
  <c r="R152" i="8" a="1"/>
  <c r="V72" i="8" a="1"/>
  <c r="M17" i="8" a="1"/>
  <c r="M10" i="11" a="1"/>
  <c r="R117" i="8" a="1"/>
  <c r="J78" i="11" a="1"/>
  <c r="J50" i="8" a="1"/>
  <c r="M13" i="11" a="1"/>
  <c r="T73" i="8" a="1"/>
  <c r="J48" i="8" a="1"/>
  <c r="V6" i="8" a="1"/>
  <c r="Q197" i="8" a="1"/>
  <c r="S154" i="8" a="1"/>
  <c r="S48" i="8" a="1"/>
  <c r="L96" i="8" a="1"/>
  <c r="Q118" i="8" a="1"/>
  <c r="J180" i="8" a="1"/>
  <c r="T133" i="8" a="1"/>
  <c r="S87" i="8" a="1"/>
  <c r="M37" i="8" a="1"/>
  <c r="Q47" i="8" a="1"/>
  <c r="M201" i="8" a="1"/>
  <c r="O195" i="8" a="1"/>
  <c r="O49" i="11" a="1"/>
  <c r="Q145" i="8" a="1"/>
  <c r="S25" i="8" a="1"/>
  <c r="U90" i="8" a="1"/>
  <c r="T75" i="8" a="1"/>
  <c r="L43" i="8" a="1"/>
  <c r="K165" i="8" a="1"/>
  <c r="U106" i="8" a="1"/>
  <c r="O45" i="8" a="1"/>
  <c r="T109" i="8" a="1"/>
  <c r="Q15" i="8" a="1"/>
  <c r="N57" i="11" a="1"/>
  <c r="N32" i="11" a="1"/>
  <c r="J125" i="8" a="1"/>
  <c r="U81" i="8" a="1"/>
  <c r="U49" i="8" a="1"/>
  <c r="L11" i="11" a="1"/>
  <c r="M55" i="11" a="1"/>
  <c r="T39" i="8" a="1"/>
  <c r="L20" i="8" a="1"/>
  <c r="O183" i="8" a="1"/>
  <c r="T175" i="8" a="1"/>
  <c r="T201" i="8" a="1"/>
  <c r="L159" i="8" a="1"/>
  <c r="T84" i="8" a="1"/>
  <c r="N115" i="8" a="1"/>
  <c r="K135" i="8" a="1"/>
  <c r="N2" i="8" a="1"/>
  <c r="O21" i="8" a="1"/>
  <c r="U206" i="8" a="1"/>
  <c r="L91" i="8" a="1"/>
  <c r="L15" i="8" a="1"/>
  <c r="Q104" i="8" a="1"/>
  <c r="K84" i="8" a="1"/>
  <c r="O167" i="8" a="1"/>
  <c r="U103" i="8" a="1"/>
  <c r="Q108" i="8" a="1"/>
  <c r="L46" i="11" a="1"/>
  <c r="R95" i="8" a="1"/>
  <c r="J203" i="8" a="1"/>
  <c r="K56" i="8" a="1"/>
  <c r="U57" i="8" a="1"/>
  <c r="S160" i="8" a="1"/>
  <c r="R205" i="8" a="1"/>
  <c r="L208" i="8" a="1"/>
  <c r="S175" i="8" a="1"/>
  <c r="M71" i="8" a="1"/>
  <c r="M45" i="11" a="1"/>
  <c r="J94" i="8" a="1"/>
  <c r="U123" i="8" a="1"/>
  <c r="N80" i="8" a="1"/>
  <c r="O79" i="11" a="1"/>
  <c r="K38" i="8" a="1"/>
  <c r="U108" i="8" a="1"/>
  <c r="M5" i="8" a="1"/>
  <c r="Q116" i="8" a="1"/>
  <c r="S180" i="8" a="1"/>
  <c r="L24" i="8" a="1"/>
  <c r="M56" i="8" a="1"/>
  <c r="V117" i="8" a="1"/>
  <c r="S30" i="8" a="1"/>
  <c r="M182" i="8" a="1"/>
  <c r="K159" i="8" a="1"/>
  <c r="S5" i="8" a="1"/>
  <c r="Q96" i="8" a="1"/>
  <c r="K37" i="8" a="1"/>
  <c r="O53" i="11" a="1"/>
  <c r="S158" i="8" a="1"/>
  <c r="U162" i="8" a="1"/>
  <c r="O141" i="8" a="1"/>
  <c r="S92" i="8" a="1"/>
  <c r="U8" i="8" a="1"/>
  <c r="M30" i="11" a="1"/>
  <c r="V30" i="8" a="1"/>
  <c r="N58" i="8" a="1"/>
  <c r="K32" i="11" a="1"/>
  <c r="O140" i="8" a="1"/>
  <c r="O23" i="8" a="1"/>
  <c r="T112" i="8" a="1"/>
  <c r="J54" i="11" a="1"/>
  <c r="L68" i="8" a="1"/>
  <c r="R42" i="8" a="1"/>
  <c r="O40" i="11" a="1"/>
  <c r="Q103" i="8" a="1"/>
  <c r="L6" i="8" a="1"/>
  <c r="M80" i="8" a="1"/>
  <c r="K80" i="8" a="1"/>
  <c r="N149" i="8" a="1"/>
  <c r="V85" i="8" a="1"/>
  <c r="K22" i="8" a="1"/>
  <c r="M23" i="8" a="1"/>
  <c r="J107" i="8" a="1"/>
  <c r="R97" i="8" a="1"/>
  <c r="U7" i="8" a="1"/>
  <c r="L56" i="11" a="1"/>
  <c r="L89" i="8" a="1"/>
  <c r="L84" i="8" a="1"/>
  <c r="J159" i="8" a="1"/>
  <c r="M55" i="8" a="1"/>
  <c r="K161" i="8" a="1"/>
  <c r="K26" i="11" a="1"/>
  <c r="U52" i="8" a="1"/>
  <c r="M205" i="8" a="1"/>
  <c r="N74" i="11" a="1"/>
  <c r="U140" i="8" a="1"/>
  <c r="O80" i="8" a="1"/>
  <c r="Q208" i="8" a="1"/>
  <c r="O27" i="8" a="1"/>
  <c r="R36" i="8" a="1"/>
  <c r="Q119" i="8" a="1"/>
  <c r="K83" i="8" a="1"/>
  <c r="K30" i="8" a="1"/>
  <c r="R191" i="8" a="1"/>
  <c r="O3" i="8" a="1"/>
  <c r="M85" i="8" a="1"/>
  <c r="O15" i="8" a="1"/>
  <c r="Q146" i="8" a="1"/>
  <c r="J184" i="8" a="1"/>
  <c r="N74" i="8" a="1"/>
  <c r="N79" i="11" a="1"/>
  <c r="K168" i="8" a="1"/>
  <c r="L52" i="11" a="1"/>
  <c r="M87" i="11" a="1"/>
  <c r="O120" i="8" a="1"/>
  <c r="M89" i="8" a="1"/>
  <c r="M136" i="8" a="1"/>
  <c r="M129" i="8" a="1"/>
  <c r="J50" i="11" a="1"/>
  <c r="J69" i="11" a="1"/>
  <c r="L135" i="8" a="1"/>
  <c r="V155" i="8" a="1"/>
  <c r="T180" i="8" a="1"/>
  <c r="V61" i="8" a="1"/>
  <c r="L156" i="8" a="1"/>
  <c r="S133" i="8" a="1"/>
  <c r="O192" i="8" a="1"/>
  <c r="M62" i="11" a="1"/>
  <c r="S88" i="8" a="1"/>
  <c r="U135" i="8" a="1"/>
  <c r="Q94" i="8" a="1"/>
  <c r="M58" i="11" a="1"/>
  <c r="M12" i="8" a="1"/>
  <c r="K113" i="8" a="1"/>
  <c r="M200" i="8" a="1"/>
  <c r="S201" i="8" a="1"/>
  <c r="J88" i="11" a="1"/>
  <c r="S27" i="8" a="1"/>
  <c r="S44" i="8" a="1"/>
  <c r="M53" i="8" a="1"/>
  <c r="J130" i="8" a="1"/>
  <c r="O22" i="11" a="1"/>
  <c r="K175" i="8" a="1"/>
  <c r="K38" i="11" a="1"/>
  <c r="L36" i="8" a="1"/>
  <c r="J43" i="11" a="1"/>
  <c r="O104" i="8" a="1"/>
  <c r="N25" i="11" a="1"/>
  <c r="K209" i="8" a="1"/>
  <c r="N77" i="11" a="1"/>
  <c r="O24" i="8" a="1"/>
  <c r="O35" i="8" a="1"/>
  <c r="J9" i="8" a="1"/>
  <c r="L5" i="8" a="1"/>
  <c r="L29" i="11" a="1"/>
  <c r="J91" i="11" a="1"/>
  <c r="J108" i="8" a="1"/>
  <c r="M88" i="11" a="1"/>
  <c r="V90" i="8" a="1"/>
  <c r="K62" i="8" a="1"/>
  <c r="O162" i="8" a="1"/>
  <c r="N142" i="8" a="1"/>
  <c r="N59" i="11" a="1"/>
  <c r="J21" i="11" a="1"/>
  <c r="R181" i="8" a="1"/>
  <c r="O72" i="11" a="1"/>
  <c r="M148" i="8" a="1"/>
  <c r="M5" i="11" a="1"/>
  <c r="N108" i="8" a="1"/>
  <c r="M11" i="8" a="1"/>
  <c r="M100" i="8" a="1"/>
  <c r="R122" i="8" a="1"/>
  <c r="L65" i="11" a="1"/>
  <c r="S145" i="8" a="1"/>
  <c r="J145" i="8" a="1"/>
  <c r="L187" i="8" a="1"/>
  <c r="R85" i="8" a="1"/>
  <c r="Q190" i="8" a="1"/>
  <c r="K69" i="8" a="1"/>
  <c r="Q121" i="8" a="1"/>
  <c r="S206" i="8" a="1"/>
  <c r="J104" i="8" a="1"/>
  <c r="N94" i="8" a="1"/>
  <c r="J119" i="8" a="1"/>
  <c r="T48" i="8" a="1"/>
  <c r="M21" i="11" a="1"/>
  <c r="U175" i="8" a="1"/>
  <c r="R115" i="8" a="1"/>
  <c r="Q46" i="8" a="1"/>
  <c r="M21" i="8" a="1"/>
  <c r="U94" i="8" a="1"/>
  <c r="M194" i="8" a="1"/>
  <c r="M73" i="11" a="1"/>
  <c r="N152" i="8" a="1"/>
  <c r="M117" i="8" a="1"/>
  <c r="N14" i="11" a="1"/>
  <c r="V70" i="8" a="1"/>
  <c r="K173" i="8" a="1"/>
  <c r="T152" i="8" a="1"/>
  <c r="S12" i="8" a="1"/>
  <c r="T145" i="8" a="1"/>
  <c r="S183" i="8" a="1"/>
  <c r="J183" i="8" a="1"/>
  <c r="M82" i="11" a="1"/>
  <c r="Q166" i="8" a="1"/>
  <c r="K33" i="8" a="1"/>
  <c r="M127" i="8" a="1"/>
  <c r="V143" i="8" a="1"/>
  <c r="N21" i="8" a="1"/>
  <c r="S189" i="8" a="1"/>
  <c r="N35" i="11" a="1"/>
  <c r="J60" i="11" a="1"/>
  <c r="J93" i="11" a="1"/>
  <c r="L31" i="8" a="1"/>
  <c r="L57" i="8" a="1"/>
  <c r="R199" i="8" a="1"/>
  <c r="J36" i="11" a="1"/>
  <c r="K66" i="8" a="1"/>
  <c r="U101" i="8" a="1"/>
  <c r="J31" i="11" a="1"/>
  <c r="N96" i="8" a="1"/>
  <c r="Q75" i="8" a="1"/>
  <c r="M8" i="11" a="1"/>
  <c r="N43" i="8" a="1"/>
  <c r="Q139" i="8" a="1"/>
  <c r="K91" i="11" a="1"/>
  <c r="K117" i="8" a="1"/>
  <c r="K94" i="11" a="1"/>
  <c r="R61" i="11" l="1"/>
  <c r="G34" i="11"/>
  <c r="S56" i="11"/>
  <c r="U59" i="11"/>
  <c r="T62" i="11"/>
  <c r="Q164" i="8"/>
  <c r="L40" i="8"/>
  <c r="R88" i="8"/>
  <c r="U177" i="8"/>
  <c r="N64" i="11"/>
  <c r="T205" i="8"/>
  <c r="M25" i="11"/>
  <c r="Q117" i="8"/>
  <c r="Q102" i="8"/>
  <c r="N42" i="8"/>
  <c r="R204" i="8"/>
  <c r="T86" i="8"/>
  <c r="J119" i="8"/>
  <c r="M181" i="8"/>
  <c r="S65" i="8"/>
  <c r="N56" i="11"/>
  <c r="R101" i="8"/>
  <c r="N46" i="11"/>
  <c r="L71" i="8"/>
  <c r="O87" i="11"/>
  <c r="M34" i="8"/>
  <c r="T171" i="8"/>
  <c r="O39" i="8"/>
  <c r="K184" i="8"/>
  <c r="L189" i="8"/>
  <c r="R89" i="8"/>
  <c r="J89" i="11"/>
  <c r="M22" i="11"/>
  <c r="K199" i="8"/>
  <c r="R82" i="8"/>
  <c r="K41" i="11"/>
  <c r="J70" i="8"/>
  <c r="T203" i="8"/>
  <c r="L36" i="11"/>
  <c r="V117" i="8"/>
  <c r="O104" i="8"/>
  <c r="K13" i="8"/>
  <c r="N92" i="8"/>
  <c r="T129" i="8"/>
  <c r="T2" i="8"/>
  <c r="N6" i="8"/>
  <c r="L177" i="8"/>
  <c r="M138" i="8"/>
  <c r="T22" i="8"/>
  <c r="M98" i="8"/>
  <c r="R161" i="8"/>
  <c r="L131" i="8"/>
  <c r="T25" i="8"/>
  <c r="U58" i="8"/>
  <c r="R49" i="8"/>
  <c r="M127" i="8"/>
  <c r="Q78" i="8"/>
  <c r="T44" i="8"/>
  <c r="J31" i="8"/>
  <c r="K74" i="11"/>
  <c r="U87" i="8"/>
  <c r="K96" i="8"/>
  <c r="M198" i="8"/>
  <c r="M14" i="8"/>
  <c r="J112" i="8"/>
  <c r="R85" i="8"/>
  <c r="U188" i="8"/>
  <c r="U10" i="8"/>
  <c r="L93" i="8"/>
  <c r="U144" i="8"/>
  <c r="Q12" i="8"/>
  <c r="N97" i="8"/>
  <c r="M21" i="11"/>
  <c r="N126" i="8"/>
  <c r="R10" i="8"/>
  <c r="M56" i="11"/>
  <c r="U81" i="8"/>
  <c r="K48" i="11"/>
  <c r="K32" i="11"/>
  <c r="U155" i="8"/>
  <c r="N11" i="11"/>
  <c r="Q29" i="8"/>
  <c r="K138" i="8"/>
  <c r="O20" i="11"/>
  <c r="R11" i="8"/>
  <c r="L161" i="8"/>
  <c r="N148" i="8"/>
  <c r="L15" i="11"/>
  <c r="O78" i="11"/>
  <c r="J64" i="11"/>
  <c r="U48" i="8"/>
  <c r="T84" i="8"/>
  <c r="L41" i="11"/>
  <c r="N206" i="8"/>
  <c r="K72" i="8"/>
  <c r="L48" i="8"/>
  <c r="N7" i="11"/>
  <c r="M156" i="8"/>
  <c r="L69" i="11"/>
  <c r="M69" i="8"/>
  <c r="U96" i="8"/>
  <c r="K90" i="11"/>
  <c r="K35" i="11"/>
  <c r="U129" i="8"/>
  <c r="V78" i="8"/>
  <c r="R93" i="8"/>
  <c r="N53" i="8"/>
  <c r="Q171" i="8"/>
  <c r="J38" i="8"/>
  <c r="T39" i="8"/>
  <c r="L18" i="8"/>
  <c r="U89" i="8"/>
  <c r="Q69" i="8"/>
  <c r="O17" i="11"/>
  <c r="N139" i="8"/>
  <c r="U145" i="8"/>
  <c r="K87" i="8"/>
  <c r="N86" i="11"/>
  <c r="V163" i="8"/>
  <c r="L28" i="8"/>
  <c r="M21" i="8"/>
  <c r="M62" i="11"/>
  <c r="M120" i="8"/>
  <c r="N69" i="11"/>
  <c r="K185" i="8"/>
  <c r="M129" i="8"/>
  <c r="Q170" i="8"/>
  <c r="S161" i="8"/>
  <c r="K93" i="11"/>
  <c r="J79" i="8"/>
  <c r="L69" i="8"/>
  <c r="J24" i="11"/>
  <c r="V135" i="8"/>
  <c r="O172" i="8"/>
  <c r="U27" i="8"/>
  <c r="T17" i="8"/>
  <c r="J181" i="8"/>
  <c r="J59" i="11"/>
  <c r="U187" i="8"/>
  <c r="R203" i="8"/>
  <c r="J104" i="8"/>
  <c r="L202" i="8"/>
  <c r="R81" i="8"/>
  <c r="K33" i="8"/>
  <c r="M101" i="8"/>
  <c r="O114" i="8"/>
  <c r="T155" i="8"/>
  <c r="M100" i="8"/>
  <c r="U136" i="8"/>
  <c r="K119" i="8"/>
  <c r="J81" i="8"/>
  <c r="U9" i="8"/>
  <c r="N141" i="8"/>
  <c r="S105" i="8"/>
  <c r="N34" i="8"/>
  <c r="V111" i="8"/>
  <c r="N50" i="8"/>
  <c r="L58" i="8"/>
  <c r="J19" i="11"/>
  <c r="V198" i="8"/>
  <c r="Q179" i="8"/>
  <c r="R35" i="8"/>
  <c r="V146" i="8"/>
  <c r="U209" i="8"/>
  <c r="M25" i="8"/>
  <c r="R123" i="8"/>
  <c r="V100" i="8"/>
  <c r="L57" i="8"/>
  <c r="M144" i="8"/>
  <c r="S25" i="8"/>
  <c r="U140" i="8"/>
  <c r="M117" i="8"/>
  <c r="M69" i="11"/>
  <c r="O93" i="11"/>
  <c r="M115" i="8"/>
  <c r="N4" i="8"/>
  <c r="J77" i="8"/>
  <c r="J176" i="8"/>
  <c r="K191" i="8"/>
  <c r="R209" i="8"/>
  <c r="R151" i="8"/>
  <c r="R132" i="8"/>
  <c r="V137" i="8"/>
  <c r="M36" i="8"/>
  <c r="K6" i="8"/>
  <c r="J130" i="8"/>
  <c r="Q176" i="8"/>
  <c r="J170" i="8"/>
  <c r="J149" i="8"/>
  <c r="S100" i="8"/>
  <c r="K37" i="8"/>
  <c r="S11" i="8"/>
  <c r="O21" i="8"/>
  <c r="N68" i="11"/>
  <c r="Q138" i="8"/>
  <c r="K73" i="11"/>
  <c r="O38" i="11"/>
  <c r="K14" i="8"/>
  <c r="R50" i="8"/>
  <c r="L42" i="8"/>
  <c r="J63" i="11"/>
  <c r="N35" i="8"/>
  <c r="T193" i="8"/>
  <c r="O105" i="8"/>
  <c r="O160" i="8"/>
  <c r="S72" i="8"/>
  <c r="O8" i="8"/>
  <c r="O128" i="8"/>
  <c r="N39" i="8"/>
  <c r="R141" i="8"/>
  <c r="V7" i="8"/>
  <c r="L196" i="8"/>
  <c r="V19" i="8"/>
  <c r="T150" i="8"/>
  <c r="S140" i="8"/>
  <c r="K144" i="8"/>
  <c r="V152" i="8"/>
  <c r="U167" i="8"/>
  <c r="T57" i="8"/>
  <c r="J211" i="8"/>
  <c r="V48" i="8"/>
  <c r="U36" i="8"/>
  <c r="M70" i="11"/>
  <c r="N104" i="8"/>
  <c r="R20" i="8"/>
  <c r="L106" i="8"/>
  <c r="N134" i="8"/>
  <c r="Q111" i="8"/>
  <c r="T98" i="8"/>
  <c r="L9" i="8"/>
  <c r="Q91" i="8"/>
  <c r="L79" i="11"/>
  <c r="O28" i="8"/>
  <c r="L113" i="8"/>
  <c r="M58" i="8"/>
  <c r="L58" i="11"/>
  <c r="J50" i="8"/>
  <c r="K67" i="8"/>
  <c r="K134" i="8"/>
  <c r="K34" i="8"/>
  <c r="T132" i="8"/>
  <c r="Q107" i="8"/>
  <c r="Q100" i="8"/>
  <c r="J70" i="11"/>
  <c r="J109" i="8"/>
  <c r="K141" i="8"/>
  <c r="M93" i="8"/>
  <c r="V209" i="8"/>
  <c r="M55" i="8"/>
  <c r="V158" i="8"/>
  <c r="V126" i="8"/>
  <c r="T153" i="8"/>
  <c r="K71" i="11"/>
  <c r="S142" i="8"/>
  <c r="L91" i="8"/>
  <c r="J111" i="8"/>
  <c r="K42" i="8"/>
  <c r="N165" i="8"/>
  <c r="S44" i="8"/>
  <c r="J162" i="8"/>
  <c r="O133" i="8"/>
  <c r="S164" i="8"/>
  <c r="R190" i="8"/>
  <c r="V138" i="8"/>
  <c r="R71" i="8"/>
  <c r="L75" i="8"/>
  <c r="Q191" i="8"/>
  <c r="Q208" i="8"/>
  <c r="S69" i="8"/>
  <c r="M5" i="11"/>
  <c r="N168" i="8"/>
  <c r="O70" i="11"/>
  <c r="S22" i="8"/>
  <c r="O116" i="8"/>
  <c r="N36" i="11"/>
  <c r="O206" i="8"/>
  <c r="U90" i="8"/>
  <c r="J174" i="8"/>
  <c r="N87" i="11"/>
  <c r="O4" i="11"/>
  <c r="N70" i="8"/>
  <c r="K73" i="8"/>
  <c r="M83" i="11"/>
  <c r="N34" i="11"/>
  <c r="M110" i="8"/>
  <c r="N212" i="8"/>
  <c r="J134" i="8"/>
  <c r="J75" i="11"/>
  <c r="M64" i="8"/>
  <c r="Q63" i="8"/>
  <c r="O60" i="11"/>
  <c r="S83" i="8"/>
  <c r="N58" i="8"/>
  <c r="J63" i="8"/>
  <c r="N41" i="11"/>
  <c r="U131" i="8"/>
  <c r="J32" i="8"/>
  <c r="L16" i="11"/>
  <c r="S80" i="8"/>
  <c r="V156" i="8"/>
  <c r="N186" i="8"/>
  <c r="R207" i="8"/>
  <c r="T13" i="8"/>
  <c r="U63" i="8"/>
  <c r="L165" i="8"/>
  <c r="T135" i="8"/>
  <c r="Q99" i="8"/>
  <c r="S201" i="8"/>
  <c r="S90" i="8"/>
  <c r="J163" i="8"/>
  <c r="S112" i="8"/>
  <c r="U69" i="8"/>
  <c r="O10" i="8"/>
  <c r="V33" i="8"/>
  <c r="M190" i="8"/>
  <c r="O75" i="11"/>
  <c r="J74" i="11"/>
  <c r="N180" i="8"/>
  <c r="M13" i="8"/>
  <c r="J93" i="11"/>
  <c r="T76" i="8"/>
  <c r="L179" i="8"/>
  <c r="R3" i="8"/>
  <c r="K103" i="8"/>
  <c r="N85" i="11"/>
  <c r="L92" i="8"/>
  <c r="J200" i="8"/>
  <c r="K81" i="8"/>
  <c r="Q163" i="8"/>
  <c r="R28" i="8"/>
  <c r="O45" i="11"/>
  <c r="O152" i="8"/>
  <c r="O46" i="8"/>
  <c r="S166" i="8"/>
  <c r="O60" i="8"/>
  <c r="N130" i="8"/>
  <c r="L77" i="11"/>
  <c r="M89" i="11"/>
  <c r="M169" i="8"/>
  <c r="K60" i="11"/>
  <c r="R62" i="8"/>
  <c r="U160" i="8"/>
  <c r="N208" i="8"/>
  <c r="J129" i="8"/>
  <c r="Q48" i="8"/>
  <c r="J75" i="8"/>
  <c r="O181" i="8"/>
  <c r="K102" i="8"/>
  <c r="N196" i="8"/>
  <c r="J53" i="11"/>
  <c r="U117" i="8"/>
  <c r="N26" i="8"/>
  <c r="N156" i="8"/>
  <c r="U148" i="8"/>
  <c r="Q26" i="8"/>
  <c r="K17" i="8"/>
  <c r="O23" i="8"/>
  <c r="T90" i="8"/>
  <c r="O61" i="11"/>
  <c r="T117" i="8"/>
  <c r="N125" i="8"/>
  <c r="M204" i="8"/>
  <c r="S103" i="8"/>
  <c r="M87" i="8"/>
  <c r="S209" i="8"/>
  <c r="Q121" i="8"/>
  <c r="N187" i="8"/>
  <c r="O40" i="8"/>
  <c r="L199" i="8"/>
  <c r="M121" i="8"/>
  <c r="J28" i="8"/>
  <c r="R96" i="8"/>
  <c r="N105" i="8"/>
  <c r="V196" i="8"/>
  <c r="N37" i="11"/>
  <c r="O67" i="11"/>
  <c r="T23" i="8"/>
  <c r="K52" i="8"/>
  <c r="J164" i="8"/>
  <c r="J21" i="11"/>
  <c r="O42" i="11"/>
  <c r="V16" i="8"/>
  <c r="L162" i="8"/>
  <c r="R105" i="8"/>
  <c r="N59" i="8"/>
  <c r="U185" i="8"/>
  <c r="M147" i="8"/>
  <c r="L94" i="8"/>
  <c r="N174" i="8"/>
  <c r="K23" i="11"/>
  <c r="S196" i="8"/>
  <c r="K82" i="8"/>
  <c r="J45" i="8"/>
  <c r="M150" i="8"/>
  <c r="S51" i="8"/>
  <c r="V131" i="8"/>
  <c r="J15" i="8"/>
  <c r="U105" i="8"/>
  <c r="V56" i="8"/>
  <c r="Q125" i="8"/>
  <c r="V11" i="8"/>
  <c r="J147" i="8"/>
  <c r="U3" i="8"/>
  <c r="S78" i="8"/>
  <c r="T139" i="8"/>
  <c r="N115" i="8"/>
  <c r="V150" i="8"/>
  <c r="N27" i="11"/>
  <c r="K192" i="8"/>
  <c r="T177" i="8"/>
  <c r="V134" i="8"/>
  <c r="M66" i="11"/>
  <c r="K155" i="8"/>
  <c r="T210" i="8"/>
  <c r="L118" i="8"/>
  <c r="O49" i="11"/>
  <c r="K18" i="11"/>
  <c r="J39" i="11"/>
  <c r="J84" i="11"/>
  <c r="S81" i="8"/>
  <c r="N76" i="11"/>
  <c r="L44" i="11"/>
  <c r="T82" i="8"/>
  <c r="O175" i="8"/>
  <c r="N203" i="8"/>
  <c r="O73" i="8"/>
  <c r="J95" i="8"/>
  <c r="J59" i="8"/>
  <c r="U164" i="8"/>
  <c r="K25" i="8"/>
  <c r="S205" i="8"/>
  <c r="O2" i="8"/>
  <c r="N87" i="8"/>
  <c r="Q156" i="8"/>
  <c r="T91" i="8"/>
  <c r="T133" i="8"/>
  <c r="L76" i="11"/>
  <c r="N57" i="11"/>
  <c r="L111" i="8"/>
  <c r="M73" i="11"/>
  <c r="O199" i="8"/>
  <c r="N177" i="8"/>
  <c r="S207" i="8"/>
  <c r="O143" i="8"/>
  <c r="V180" i="8"/>
  <c r="S79" i="8"/>
  <c r="L187" i="8"/>
  <c r="M61" i="8"/>
  <c r="Q199" i="8"/>
  <c r="U7" i="8"/>
  <c r="R114" i="8"/>
  <c r="T78" i="8"/>
  <c r="M35" i="8"/>
  <c r="V89" i="8"/>
  <c r="Q103" i="8"/>
  <c r="K179" i="8"/>
  <c r="L63" i="11"/>
  <c r="S210" i="8"/>
  <c r="R173" i="8"/>
  <c r="O25" i="11"/>
  <c r="V201" i="8"/>
  <c r="M24" i="11"/>
  <c r="V125" i="8"/>
  <c r="M91" i="11"/>
  <c r="K80" i="8"/>
  <c r="O80" i="11"/>
  <c r="M118" i="8"/>
  <c r="R118" i="8"/>
  <c r="U17" i="8"/>
  <c r="V26" i="8"/>
  <c r="L85" i="8"/>
  <c r="L129" i="8"/>
  <c r="O171" i="8"/>
  <c r="O126" i="8"/>
  <c r="T119" i="8"/>
  <c r="N49" i="11"/>
  <c r="O98" i="8"/>
  <c r="O66" i="8"/>
  <c r="R91" i="8"/>
  <c r="U190" i="8"/>
  <c r="M185" i="8"/>
  <c r="K108" i="8"/>
  <c r="O115" i="8"/>
  <c r="O59" i="8"/>
  <c r="V75" i="8"/>
  <c r="K75" i="8"/>
  <c r="T66" i="8"/>
  <c r="N14" i="11"/>
  <c r="M60" i="11"/>
  <c r="N48" i="8"/>
  <c r="U14" i="8"/>
  <c r="V13" i="8"/>
  <c r="T93" i="8"/>
  <c r="V181" i="8"/>
  <c r="O148" i="8"/>
  <c r="K92" i="8"/>
  <c r="K162" i="8"/>
  <c r="S42" i="8"/>
  <c r="J116" i="8"/>
  <c r="V18" i="8"/>
  <c r="R68" i="8"/>
  <c r="M94" i="11"/>
  <c r="Q62" i="8"/>
  <c r="O7" i="11"/>
  <c r="V76" i="8"/>
  <c r="U197" i="8"/>
  <c r="R117" i="8"/>
  <c r="L82" i="11"/>
  <c r="L133" i="8"/>
  <c r="Q146" i="8"/>
  <c r="M78" i="8"/>
  <c r="Q144" i="8"/>
  <c r="L19" i="11"/>
  <c r="V86" i="8"/>
  <c r="U37" i="8"/>
  <c r="M178" i="8"/>
  <c r="O21" i="11"/>
  <c r="K50" i="8"/>
  <c r="T144" i="8"/>
  <c r="T5" i="8"/>
  <c r="O88" i="8"/>
  <c r="U204" i="8"/>
  <c r="N85" i="8"/>
  <c r="J124" i="8"/>
  <c r="K60" i="8"/>
  <c r="U142" i="8"/>
  <c r="J117" i="8"/>
  <c r="V183" i="8"/>
  <c r="Q113" i="8"/>
  <c r="K85" i="11"/>
  <c r="T38" i="8"/>
  <c r="O55" i="11"/>
  <c r="T61" i="8"/>
  <c r="R48" i="8"/>
  <c r="R41" i="8"/>
  <c r="N9" i="11"/>
  <c r="R99" i="8"/>
  <c r="S18" i="8"/>
  <c r="R146" i="8"/>
  <c r="N88" i="8"/>
  <c r="N93" i="11"/>
  <c r="K122" i="8"/>
  <c r="J28" i="11"/>
  <c r="S183" i="8"/>
  <c r="R189" i="8"/>
  <c r="R166" i="8"/>
  <c r="L205" i="8"/>
  <c r="T207" i="8"/>
  <c r="K150" i="8"/>
  <c r="O14" i="11"/>
  <c r="J38" i="11"/>
  <c r="K210" i="8"/>
  <c r="T169" i="8"/>
  <c r="K187" i="8"/>
  <c r="O45" i="8"/>
  <c r="N77" i="11"/>
  <c r="N78" i="11"/>
  <c r="O194" i="8"/>
  <c r="L32" i="11"/>
  <c r="V20" i="8"/>
  <c r="O86" i="11"/>
  <c r="L157" i="8"/>
  <c r="K118" i="8"/>
  <c r="M63" i="8"/>
  <c r="R175" i="8"/>
  <c r="K206" i="8"/>
  <c r="N117" i="8"/>
  <c r="M153" i="8"/>
  <c r="O190" i="8"/>
  <c r="T125" i="8"/>
  <c r="K125" i="8"/>
  <c r="V165" i="8"/>
  <c r="M40" i="8"/>
  <c r="U24" i="8"/>
  <c r="O84" i="11"/>
  <c r="Q133" i="8"/>
  <c r="M78" i="11"/>
  <c r="N2" i="8"/>
  <c r="U30" i="8"/>
  <c r="N114" i="8"/>
  <c r="L4" i="11"/>
  <c r="N17" i="8"/>
  <c r="J72" i="11"/>
  <c r="O173" i="8"/>
  <c r="L134" i="8"/>
  <c r="L100" i="8"/>
  <c r="M82" i="8"/>
  <c r="K174" i="8"/>
  <c r="L168" i="8"/>
  <c r="T148" i="8"/>
  <c r="Q150" i="8"/>
  <c r="U196" i="8"/>
  <c r="U176" i="8"/>
  <c r="O164" i="8"/>
  <c r="O27" i="8"/>
  <c r="N72" i="8"/>
  <c r="M12" i="8"/>
  <c r="V186" i="8"/>
  <c r="J47" i="11"/>
  <c r="L182" i="8"/>
  <c r="O26" i="11"/>
  <c r="J22" i="11"/>
  <c r="S132" i="8"/>
  <c r="J67" i="11"/>
  <c r="O187" i="8"/>
  <c r="S109" i="8"/>
  <c r="N11" i="8"/>
  <c r="J23" i="8"/>
  <c r="Q46" i="8"/>
  <c r="N29" i="11"/>
  <c r="S148" i="8"/>
  <c r="M104" i="8"/>
  <c r="O131" i="8"/>
  <c r="T123" i="8"/>
  <c r="R200" i="8"/>
  <c r="O5" i="11"/>
  <c r="O69" i="11"/>
  <c r="J60" i="11"/>
  <c r="R169" i="8"/>
  <c r="R147" i="8"/>
  <c r="N185" i="8"/>
  <c r="T179" i="8"/>
  <c r="U42" i="8"/>
  <c r="M182" i="8"/>
  <c r="J15" i="11"/>
  <c r="N169" i="8"/>
  <c r="N160" i="8"/>
  <c r="J62" i="11"/>
  <c r="L181" i="8"/>
  <c r="S130" i="8"/>
  <c r="O48" i="11"/>
  <c r="N84" i="11"/>
  <c r="S135" i="8"/>
  <c r="L19" i="8"/>
  <c r="M44" i="8"/>
  <c r="T199" i="8"/>
  <c r="J203" i="8"/>
  <c r="J207" i="8"/>
  <c r="N54" i="11"/>
  <c r="V203" i="8"/>
  <c r="L103" i="8"/>
  <c r="U85" i="8"/>
  <c r="U156" i="8"/>
  <c r="V2" i="8"/>
  <c r="V147" i="8"/>
  <c r="J86" i="11"/>
  <c r="K165" i="8"/>
  <c r="N73" i="11"/>
  <c r="U35" i="8"/>
  <c r="L77" i="8"/>
  <c r="Q189" i="8"/>
  <c r="T159" i="8"/>
  <c r="Q132" i="8"/>
  <c r="L43" i="11"/>
  <c r="V200" i="8"/>
  <c r="L125" i="8"/>
  <c r="O65" i="11"/>
  <c r="M31" i="8"/>
  <c r="R56" i="8"/>
  <c r="U173" i="8"/>
  <c r="L158" i="8"/>
  <c r="S58" i="8"/>
  <c r="V116" i="8"/>
  <c r="J84" i="8"/>
  <c r="M180" i="8"/>
  <c r="N23" i="8"/>
  <c r="O23" i="11"/>
  <c r="O92" i="8"/>
  <c r="N46" i="8"/>
  <c r="O87" i="8"/>
  <c r="O62" i="11"/>
  <c r="Q165" i="8"/>
  <c r="J182" i="8"/>
  <c r="Q124" i="8"/>
  <c r="Q119" i="8"/>
  <c r="N19" i="11"/>
  <c r="J184" i="8"/>
  <c r="M30" i="8"/>
  <c r="T154" i="8"/>
  <c r="J54" i="8"/>
  <c r="J51" i="8"/>
  <c r="Q152" i="8"/>
  <c r="T116" i="8"/>
  <c r="K38" i="8"/>
  <c r="L163" i="8"/>
  <c r="V149" i="8"/>
  <c r="M24" i="8"/>
  <c r="N161" i="8"/>
  <c r="M86" i="8"/>
  <c r="O15" i="8"/>
  <c r="R57" i="8"/>
  <c r="K40" i="8"/>
  <c r="J198" i="8"/>
  <c r="N163" i="8"/>
  <c r="O118" i="8"/>
  <c r="O108" i="8"/>
  <c r="N67" i="8"/>
  <c r="J128" i="8"/>
  <c r="N122" i="8"/>
  <c r="K25" i="11"/>
  <c r="S43" i="8"/>
  <c r="L87" i="11"/>
  <c r="O51" i="8"/>
  <c r="K45" i="11"/>
  <c r="V21" i="8"/>
  <c r="J55" i="11"/>
  <c r="R181" i="8"/>
  <c r="S91" i="8"/>
  <c r="M33" i="11"/>
  <c r="L8" i="8"/>
  <c r="V120" i="8"/>
  <c r="J71" i="11"/>
  <c r="U159" i="8"/>
  <c r="J8" i="11"/>
  <c r="T4" i="8"/>
  <c r="J24" i="8"/>
  <c r="Q182" i="8"/>
  <c r="M77" i="8"/>
  <c r="V151" i="8"/>
  <c r="M23" i="11"/>
  <c r="U193" i="8"/>
  <c r="R34" i="8"/>
  <c r="O42" i="8"/>
  <c r="U75" i="8"/>
  <c r="J73" i="11"/>
  <c r="R193" i="8"/>
  <c r="T126" i="8"/>
  <c r="V205" i="8"/>
  <c r="V194" i="8"/>
  <c r="L146" i="8"/>
  <c r="V69" i="8"/>
  <c r="S160" i="8"/>
  <c r="S20" i="8"/>
  <c r="Q70" i="8"/>
  <c r="T131" i="8"/>
  <c r="R136" i="8"/>
  <c r="R160" i="8"/>
  <c r="O37" i="8"/>
  <c r="N182" i="8"/>
  <c r="U31" i="8"/>
  <c r="S108" i="8"/>
  <c r="L170" i="8"/>
  <c r="J142" i="8"/>
  <c r="S40" i="8"/>
  <c r="J167" i="8"/>
  <c r="R103" i="8"/>
  <c r="Q167" i="8"/>
  <c r="M11" i="8"/>
  <c r="N81" i="8"/>
  <c r="O22" i="8"/>
  <c r="U93" i="8"/>
  <c r="S176" i="8"/>
  <c r="K39" i="8"/>
  <c r="M76" i="8"/>
  <c r="T74" i="8"/>
  <c r="U80" i="8"/>
  <c r="O200" i="8"/>
  <c r="M124" i="8"/>
  <c r="N137" i="8"/>
  <c r="J115" i="8"/>
  <c r="K22" i="11"/>
  <c r="Q84" i="8"/>
  <c r="U169" i="8"/>
  <c r="M196" i="8"/>
  <c r="N42" i="11"/>
  <c r="T158" i="8"/>
  <c r="R184" i="8"/>
  <c r="J45" i="11"/>
  <c r="N68" i="8"/>
  <c r="T32" i="8"/>
  <c r="M93" i="11"/>
  <c r="S62" i="8"/>
  <c r="K22" i="8"/>
  <c r="N96" i="8"/>
  <c r="Q129" i="8"/>
  <c r="N70" i="11"/>
  <c r="T24" i="8"/>
  <c r="K75" i="11"/>
  <c r="N123" i="8"/>
  <c r="U133" i="8"/>
  <c r="J10" i="11"/>
  <c r="Q53" i="8"/>
  <c r="K195" i="8"/>
  <c r="L26" i="8"/>
  <c r="V104" i="8"/>
  <c r="S188" i="8"/>
  <c r="S190" i="8"/>
  <c r="L152" i="8"/>
  <c r="U38" i="8"/>
  <c r="R39" i="8"/>
  <c r="R145" i="8"/>
  <c r="J2" i="8"/>
  <c r="J92" i="11"/>
  <c r="V23" i="8"/>
  <c r="N200" i="8"/>
  <c r="S16" i="8"/>
  <c r="J40" i="11"/>
  <c r="J118" i="8"/>
  <c r="Q85" i="8"/>
  <c r="O94" i="11"/>
  <c r="L54" i="11"/>
  <c r="S134" i="8"/>
  <c r="S184" i="8"/>
  <c r="Q8" i="8"/>
  <c r="K66" i="8"/>
  <c r="O132" i="8"/>
  <c r="R61" i="8"/>
  <c r="M191" i="8"/>
  <c r="N39" i="11"/>
  <c r="R120" i="8"/>
  <c r="V170" i="8"/>
  <c r="Q20" i="8"/>
  <c r="M135" i="8"/>
  <c r="R72" i="8"/>
  <c r="S46" i="8"/>
  <c r="R206" i="8"/>
  <c r="K23" i="8"/>
  <c r="K36" i="8"/>
  <c r="N30" i="11"/>
  <c r="N55" i="11"/>
  <c r="N86" i="8"/>
  <c r="Q185" i="8"/>
  <c r="M40" i="11"/>
  <c r="V102" i="8"/>
  <c r="M143" i="8"/>
  <c r="M133" i="8"/>
  <c r="J120" i="8"/>
  <c r="J87" i="11"/>
  <c r="M46" i="11"/>
  <c r="L188" i="8"/>
  <c r="O71" i="8"/>
  <c r="Q87" i="8"/>
  <c r="J56" i="11"/>
  <c r="T186" i="8"/>
  <c r="M39" i="8"/>
  <c r="U202" i="8"/>
  <c r="Q38" i="8"/>
  <c r="M65" i="8"/>
  <c r="M87" i="11"/>
  <c r="U74" i="8"/>
  <c r="S3" i="8"/>
  <c r="T192" i="8"/>
  <c r="L56" i="8"/>
  <c r="S178" i="8"/>
  <c r="U189" i="8"/>
  <c r="R172" i="8"/>
  <c r="K21" i="8"/>
  <c r="J21" i="8"/>
  <c r="U157" i="8"/>
  <c r="L20" i="8"/>
  <c r="N190" i="8"/>
  <c r="S173" i="8"/>
  <c r="L21" i="8"/>
  <c r="S128" i="8"/>
  <c r="V112" i="8"/>
  <c r="L81" i="11"/>
  <c r="V192" i="8"/>
  <c r="N146" i="8"/>
  <c r="R155" i="8"/>
  <c r="K18" i="8"/>
  <c r="L59" i="8"/>
  <c r="M85" i="8"/>
  <c r="L83" i="11"/>
  <c r="M128" i="8"/>
  <c r="O134" i="8"/>
  <c r="Q168" i="8"/>
  <c r="J42" i="11"/>
  <c r="R73" i="8"/>
  <c r="U71" i="8"/>
  <c r="K84" i="11"/>
  <c r="N138" i="8"/>
  <c r="L14" i="8"/>
  <c r="U26" i="8"/>
  <c r="M62" i="8"/>
  <c r="S146" i="8"/>
  <c r="J145" i="8"/>
  <c r="O41" i="11"/>
  <c r="M179" i="8"/>
  <c r="K59" i="11"/>
  <c r="S21" i="8"/>
  <c r="R14" i="8"/>
  <c r="J173" i="8"/>
  <c r="Q114" i="8"/>
  <c r="M31" i="11"/>
  <c r="M162" i="8"/>
  <c r="O203" i="8"/>
  <c r="U39" i="8"/>
  <c r="S177" i="8"/>
  <c r="J193" i="8"/>
  <c r="Q4" i="8"/>
  <c r="L50" i="11"/>
  <c r="O169" i="8"/>
  <c r="R38" i="8"/>
  <c r="U170" i="8"/>
  <c r="O144" i="8"/>
  <c r="M73" i="8"/>
  <c r="K111" i="8"/>
  <c r="R194" i="8"/>
  <c r="L23" i="11"/>
  <c r="U73" i="8"/>
  <c r="Q126" i="8"/>
  <c r="M16" i="8"/>
  <c r="M61" i="11"/>
  <c r="N14" i="8"/>
  <c r="Q204" i="8"/>
  <c r="J51" i="11"/>
  <c r="M131" i="8"/>
  <c r="N25" i="8"/>
  <c r="N29" i="8"/>
  <c r="R59" i="8"/>
  <c r="U186" i="8"/>
  <c r="L2" i="8"/>
  <c r="K30" i="11"/>
  <c r="T110" i="8"/>
  <c r="J210" i="8"/>
  <c r="O81" i="11"/>
  <c r="J52" i="8"/>
  <c r="K64" i="11"/>
  <c r="U82" i="8"/>
  <c r="V96" i="8"/>
  <c r="K152" i="8"/>
  <c r="K49" i="11"/>
  <c r="O28" i="11"/>
  <c r="R47" i="8"/>
  <c r="L31" i="11"/>
  <c r="O178" i="8"/>
  <c r="O68" i="11"/>
  <c r="K70" i="11"/>
  <c r="K124" i="8"/>
  <c r="N54" i="8"/>
  <c r="J40" i="8"/>
  <c r="L39" i="8"/>
  <c r="J172" i="8"/>
  <c r="M105" i="8"/>
  <c r="T185" i="8"/>
  <c r="V175" i="8"/>
  <c r="R126" i="8"/>
  <c r="R150" i="8"/>
  <c r="Q112" i="8"/>
  <c r="K106" i="8"/>
  <c r="R84" i="8"/>
  <c r="V204" i="8"/>
  <c r="Q86" i="8"/>
  <c r="L143" i="8"/>
  <c r="T145" i="8"/>
  <c r="R109" i="8"/>
  <c r="N18" i="11"/>
  <c r="N197" i="8"/>
  <c r="K6" i="11"/>
  <c r="R6" i="8"/>
  <c r="J101" i="8"/>
  <c r="S48" i="8"/>
  <c r="M81" i="8"/>
  <c r="N90" i="8"/>
  <c r="T182" i="8"/>
  <c r="R186" i="8"/>
  <c r="S41" i="8"/>
  <c r="J20" i="8"/>
  <c r="S171" i="8"/>
  <c r="J204" i="8"/>
  <c r="L68" i="8"/>
  <c r="M71" i="11"/>
  <c r="O54" i="8"/>
  <c r="O79" i="8"/>
  <c r="L59" i="11"/>
  <c r="N106" i="8"/>
  <c r="L10" i="8"/>
  <c r="V103" i="8"/>
  <c r="K32" i="8"/>
  <c r="M74" i="8"/>
  <c r="K80" i="11"/>
  <c r="K93" i="8"/>
  <c r="O157" i="8"/>
  <c r="T208" i="8"/>
  <c r="M201" i="8"/>
  <c r="O41" i="8"/>
  <c r="L54" i="8"/>
  <c r="K85" i="8"/>
  <c r="T48" i="8"/>
  <c r="L64" i="8"/>
  <c r="V59" i="8"/>
  <c r="L89" i="8"/>
  <c r="J25" i="8"/>
  <c r="V36" i="8"/>
  <c r="J178" i="8"/>
  <c r="Q73" i="8"/>
  <c r="L33" i="8"/>
  <c r="V179" i="8"/>
  <c r="J154" i="8"/>
  <c r="K9" i="11"/>
  <c r="M68" i="8"/>
  <c r="U11" i="8"/>
  <c r="R18" i="8"/>
  <c r="U179" i="8"/>
  <c r="J82" i="11"/>
  <c r="L130" i="8"/>
  <c r="L8" i="11"/>
  <c r="K61" i="11"/>
  <c r="R208" i="8"/>
  <c r="Q43" i="8"/>
  <c r="V173" i="8"/>
  <c r="Q54" i="8"/>
  <c r="R171" i="8"/>
  <c r="U161" i="8"/>
  <c r="Q57" i="8"/>
  <c r="K139" i="8"/>
  <c r="R79" i="8"/>
  <c r="O34" i="11"/>
  <c r="S19" i="8"/>
  <c r="V4" i="8"/>
  <c r="T18" i="8"/>
  <c r="K91" i="11"/>
  <c r="T108" i="8"/>
  <c r="J196" i="8"/>
  <c r="T37" i="8"/>
  <c r="K203" i="8"/>
  <c r="M44" i="11"/>
  <c r="N109" i="8"/>
  <c r="J105" i="8"/>
  <c r="Q104" i="8"/>
  <c r="L207" i="8"/>
  <c r="O198" i="8"/>
  <c r="L64" i="11"/>
  <c r="U152" i="8"/>
  <c r="T167" i="8"/>
  <c r="M163" i="8"/>
  <c r="Q58" i="8"/>
  <c r="N61" i="8"/>
  <c r="M155" i="8"/>
  <c r="O11" i="8"/>
  <c r="V79" i="8"/>
  <c r="O36" i="11"/>
  <c r="K56" i="8"/>
  <c r="O189" i="8"/>
  <c r="T26" i="8"/>
  <c r="K190" i="8"/>
  <c r="L101" i="8"/>
  <c r="M199" i="8"/>
  <c r="N74" i="11"/>
  <c r="U171" i="8"/>
  <c r="R92" i="8"/>
  <c r="U127" i="8"/>
  <c r="M68" i="11"/>
  <c r="O186" i="8"/>
  <c r="V107" i="8"/>
  <c r="L7" i="8"/>
  <c r="U119" i="8"/>
  <c r="K71" i="8"/>
  <c r="N195" i="8"/>
  <c r="U118" i="8"/>
  <c r="K15" i="11"/>
  <c r="U147" i="8"/>
  <c r="S165" i="8"/>
  <c r="O24" i="11"/>
  <c r="U13" i="8"/>
  <c r="K46" i="11"/>
  <c r="K8" i="11"/>
  <c r="K62" i="8"/>
  <c r="M195" i="8"/>
  <c r="L16" i="8"/>
  <c r="O7" i="8"/>
  <c r="S172" i="8"/>
  <c r="K48" i="8"/>
  <c r="V37" i="8"/>
  <c r="N58" i="11"/>
  <c r="N71" i="8"/>
  <c r="U55" i="8"/>
  <c r="L123" i="8"/>
  <c r="R144" i="8"/>
  <c r="K47" i="11"/>
  <c r="L192" i="8"/>
  <c r="L67" i="8"/>
  <c r="M149" i="8"/>
  <c r="L201" i="8"/>
  <c r="J141" i="8"/>
  <c r="O19" i="11"/>
  <c r="T11" i="8"/>
  <c r="K196" i="8"/>
  <c r="T68" i="8"/>
  <c r="T6" i="8"/>
  <c r="L31" i="8"/>
  <c r="O88" i="11"/>
  <c r="N83" i="11"/>
  <c r="R106" i="8"/>
  <c r="O63" i="8"/>
  <c r="T173" i="8"/>
  <c r="J180" i="8"/>
  <c r="S31" i="8"/>
  <c r="S76" i="8"/>
  <c r="K83" i="11"/>
  <c r="K83" i="8"/>
  <c r="M102" i="8"/>
  <c r="Q180" i="8"/>
  <c r="L80" i="11"/>
  <c r="L52" i="8"/>
  <c r="L153" i="8"/>
  <c r="L200" i="8"/>
  <c r="O3" i="8"/>
  <c r="O38" i="8"/>
  <c r="V70" i="8"/>
  <c r="O176" i="8"/>
  <c r="J191" i="8"/>
  <c r="J107" i="8"/>
  <c r="L23" i="8"/>
  <c r="T127" i="8"/>
  <c r="O72" i="8"/>
  <c r="S66" i="8"/>
  <c r="O135" i="8"/>
  <c r="S97" i="8"/>
  <c r="N91" i="8"/>
  <c r="S33" i="8"/>
  <c r="L84" i="8"/>
  <c r="L126" i="8"/>
  <c r="J39" i="8"/>
  <c r="R177" i="8"/>
  <c r="R179" i="8"/>
  <c r="V130" i="8"/>
  <c r="K148" i="8"/>
  <c r="O50" i="11"/>
  <c r="U205" i="8"/>
  <c r="R29" i="8"/>
  <c r="S192" i="8"/>
  <c r="N144" i="8"/>
  <c r="T85" i="8"/>
  <c r="S57" i="8"/>
  <c r="N36" i="8"/>
  <c r="N154" i="8"/>
  <c r="V46" i="8"/>
  <c r="T124" i="8"/>
  <c r="J102" i="8"/>
  <c r="N89" i="8"/>
  <c r="T63" i="8"/>
  <c r="T172" i="8"/>
  <c r="O185" i="8"/>
  <c r="S137" i="8"/>
  <c r="S152" i="8"/>
  <c r="M42" i="11"/>
  <c r="U86" i="8"/>
  <c r="N78" i="8"/>
  <c r="K201" i="8"/>
  <c r="Q110" i="8"/>
  <c r="V41" i="8"/>
  <c r="V94" i="8"/>
  <c r="J58" i="11"/>
  <c r="L80" i="8"/>
  <c r="R21" i="8"/>
  <c r="M19" i="11"/>
  <c r="S67" i="8"/>
  <c r="V91" i="8"/>
  <c r="K7" i="8"/>
  <c r="R128" i="8"/>
  <c r="Q28" i="8"/>
  <c r="Q19" i="8"/>
  <c r="M18" i="11"/>
  <c r="U29" i="8"/>
  <c r="S126" i="8"/>
  <c r="M151" i="8"/>
  <c r="K94" i="11"/>
  <c r="J155" i="8"/>
  <c r="U8" i="8"/>
  <c r="R127" i="8"/>
  <c r="T20" i="8"/>
  <c r="K209" i="8"/>
  <c r="Q178" i="8"/>
  <c r="U28" i="8"/>
  <c r="J69" i="11"/>
  <c r="J133" i="8"/>
  <c r="M212" i="8"/>
  <c r="J26" i="11"/>
  <c r="N167" i="8"/>
  <c r="R60" i="8"/>
  <c r="R55" i="8"/>
  <c r="M71" i="8"/>
  <c r="R69" i="8"/>
  <c r="V105" i="8"/>
  <c r="V108" i="8"/>
  <c r="R104" i="8"/>
  <c r="N38" i="11"/>
  <c r="K43" i="8"/>
  <c r="N17" i="11"/>
  <c r="M88" i="8"/>
  <c r="T73" i="8"/>
  <c r="J202" i="8"/>
  <c r="L30" i="11"/>
  <c r="S156" i="8"/>
  <c r="Q98" i="8"/>
  <c r="M41" i="11"/>
  <c r="S38" i="8"/>
  <c r="S147" i="8"/>
  <c r="J76" i="8"/>
  <c r="N61" i="11"/>
  <c r="M45" i="11"/>
  <c r="V28" i="8"/>
  <c r="K37" i="11"/>
  <c r="N67" i="11"/>
  <c r="R196" i="8"/>
  <c r="Q33" i="8"/>
  <c r="Q175" i="8"/>
  <c r="N27" i="8"/>
  <c r="U109" i="8"/>
  <c r="M37" i="8"/>
  <c r="L27" i="11"/>
  <c r="J37" i="8"/>
  <c r="M96" i="8"/>
  <c r="O146" i="8"/>
  <c r="R23" i="8"/>
  <c r="L164" i="8"/>
  <c r="Q136" i="8"/>
  <c r="L84" i="11"/>
  <c r="M170" i="8"/>
  <c r="L178" i="8"/>
  <c r="T101" i="8"/>
  <c r="U70" i="8"/>
  <c r="O77" i="8"/>
  <c r="V210" i="8"/>
  <c r="L25" i="8"/>
  <c r="L73" i="11"/>
  <c r="O78" i="8"/>
  <c r="N28" i="11"/>
  <c r="O211" i="8"/>
  <c r="N48" i="11"/>
  <c r="M160" i="8"/>
  <c r="T209" i="8"/>
  <c r="L13" i="11"/>
  <c r="O33" i="8"/>
  <c r="T181" i="8"/>
  <c r="S54" i="8"/>
  <c r="T77" i="8"/>
  <c r="M142" i="8"/>
  <c r="S145" i="8"/>
  <c r="K200" i="8"/>
  <c r="R195" i="8"/>
  <c r="S88" i="8"/>
  <c r="L81" i="8"/>
  <c r="O103" i="8"/>
  <c r="T27" i="8"/>
  <c r="N128" i="8"/>
  <c r="Q120" i="8"/>
  <c r="T130" i="8"/>
  <c r="L53" i="11"/>
  <c r="S110" i="8"/>
  <c r="V60" i="8"/>
  <c r="Q3" i="8"/>
  <c r="L88" i="11"/>
  <c r="R122" i="8"/>
  <c r="J30" i="11"/>
  <c r="L63" i="8"/>
  <c r="K72" i="11"/>
  <c r="R64" i="8"/>
  <c r="V90" i="8"/>
  <c r="O31" i="11"/>
  <c r="S35" i="8"/>
  <c r="U194" i="8"/>
  <c r="V15" i="8"/>
  <c r="U106" i="8"/>
  <c r="N15" i="8"/>
  <c r="L172" i="8"/>
  <c r="T176" i="8"/>
  <c r="U116" i="8"/>
  <c r="M32" i="8"/>
  <c r="O30" i="11"/>
  <c r="U110" i="8"/>
  <c r="O6" i="11"/>
  <c r="J5" i="11"/>
  <c r="S116" i="8"/>
  <c r="M208" i="8"/>
  <c r="M54" i="8"/>
  <c r="Q10" i="8"/>
  <c r="K135" i="8"/>
  <c r="V17" i="8"/>
  <c r="T206" i="8"/>
  <c r="R19" i="8"/>
  <c r="Q55" i="8"/>
  <c r="L154" i="8"/>
  <c r="J17" i="11"/>
  <c r="Q143" i="8"/>
  <c r="J138" i="8"/>
  <c r="T80" i="8"/>
  <c r="L139" i="8"/>
  <c r="U32" i="8"/>
  <c r="O86" i="8"/>
  <c r="U102" i="8"/>
  <c r="J209" i="8"/>
  <c r="V84" i="8"/>
  <c r="Q154" i="8"/>
  <c r="V44" i="8"/>
  <c r="J46" i="8"/>
  <c r="L156" i="8"/>
  <c r="L122" i="8"/>
  <c r="T94" i="8"/>
  <c r="S143" i="8"/>
  <c r="L119" i="8"/>
  <c r="J80" i="11"/>
  <c r="O15" i="11"/>
  <c r="M84" i="11"/>
  <c r="Q30" i="8"/>
  <c r="K16" i="11"/>
  <c r="V178" i="8"/>
  <c r="Q197" i="8"/>
  <c r="L37" i="11"/>
  <c r="V62" i="8"/>
  <c r="J81" i="11"/>
  <c r="U141" i="8"/>
  <c r="R26" i="8"/>
  <c r="U125" i="8"/>
  <c r="K97" i="8"/>
  <c r="R66" i="8"/>
  <c r="R131" i="8"/>
  <c r="T134" i="8"/>
  <c r="K28" i="8"/>
  <c r="V14" i="8"/>
  <c r="Q196" i="8"/>
  <c r="K43" i="11"/>
  <c r="S24" i="8"/>
  <c r="K89" i="8"/>
  <c r="N188" i="8"/>
  <c r="U92" i="8"/>
  <c r="L26" i="11"/>
  <c r="U191" i="8"/>
  <c r="M26" i="8"/>
  <c r="O17" i="8"/>
  <c r="O120" i="8"/>
  <c r="U151" i="8"/>
  <c r="V106" i="8"/>
  <c r="L62" i="11"/>
  <c r="Q145" i="8"/>
  <c r="L34" i="8"/>
  <c r="U53" i="8"/>
  <c r="V177" i="8"/>
  <c r="R77" i="8"/>
  <c r="R176" i="8"/>
  <c r="S26" i="8"/>
  <c r="J46" i="11"/>
  <c r="S129" i="8"/>
  <c r="R134" i="8"/>
  <c r="O48" i="8"/>
  <c r="R167" i="8"/>
  <c r="K19" i="8"/>
  <c r="U143" i="8"/>
  <c r="L209" i="8"/>
  <c r="S30" i="8"/>
  <c r="J94" i="8"/>
  <c r="T83" i="8"/>
  <c r="S208" i="8"/>
  <c r="V88" i="8"/>
  <c r="L49" i="8"/>
  <c r="Q166" i="8"/>
  <c r="K54" i="8"/>
  <c r="U25" i="8"/>
  <c r="N140" i="8"/>
  <c r="N20" i="11"/>
  <c r="V67" i="8"/>
  <c r="S198" i="8"/>
  <c r="J168" i="8"/>
  <c r="L38" i="11"/>
  <c r="R30" i="8"/>
  <c r="L27" i="8"/>
  <c r="M166" i="8"/>
  <c r="V162" i="8"/>
  <c r="N33" i="11"/>
  <c r="O145" i="8"/>
  <c r="Q67" i="8"/>
  <c r="K4" i="11"/>
  <c r="U175" i="8"/>
  <c r="J183" i="8"/>
  <c r="L17" i="11"/>
  <c r="V174" i="8"/>
  <c r="J137" i="8"/>
  <c r="T95" i="8"/>
  <c r="K12" i="8"/>
  <c r="U45" i="8"/>
  <c r="L70" i="8"/>
  <c r="V118" i="8"/>
  <c r="Q51" i="8"/>
  <c r="R65" i="8"/>
  <c r="L160" i="8"/>
  <c r="L198" i="8"/>
  <c r="R22" i="8"/>
  <c r="J126" i="8"/>
  <c r="M92" i="11"/>
  <c r="T115" i="8"/>
  <c r="M141" i="8"/>
  <c r="U65" i="8"/>
  <c r="O205" i="8"/>
  <c r="N189" i="8"/>
  <c r="O43" i="8"/>
  <c r="U15" i="8"/>
  <c r="T106" i="8"/>
  <c r="N43" i="8"/>
  <c r="K11" i="8"/>
  <c r="K29" i="8"/>
  <c r="K39" i="11"/>
  <c r="M106" i="8"/>
  <c r="T40" i="8"/>
  <c r="K91" i="8"/>
  <c r="J14" i="11"/>
  <c r="M76" i="11"/>
  <c r="J23" i="11"/>
  <c r="O5" i="8"/>
  <c r="K147" i="8"/>
  <c r="N91" i="11"/>
  <c r="V132" i="8"/>
  <c r="M11" i="11"/>
  <c r="S15" i="8"/>
  <c r="N179" i="8"/>
  <c r="M97" i="8"/>
  <c r="J5" i="8"/>
  <c r="V27" i="8"/>
  <c r="O163" i="8"/>
  <c r="K88" i="8"/>
  <c r="O73" i="11"/>
  <c r="O97" i="8"/>
  <c r="S32" i="8"/>
  <c r="O36" i="8"/>
  <c r="S125" i="8"/>
  <c r="L116" i="8"/>
  <c r="J159" i="8"/>
  <c r="M53" i="8"/>
  <c r="S182" i="8"/>
  <c r="R7" i="8"/>
  <c r="V154" i="8"/>
  <c r="Q2" i="8"/>
  <c r="K14" i="11"/>
  <c r="T60" i="8"/>
  <c r="Q201" i="8"/>
  <c r="J99" i="8"/>
  <c r="T42" i="8"/>
  <c r="M29" i="8"/>
  <c r="T14" i="8"/>
  <c r="U99" i="8"/>
  <c r="V39" i="8"/>
  <c r="J103" i="8"/>
  <c r="K7" i="11"/>
  <c r="O46" i="11"/>
  <c r="K175" i="8"/>
  <c r="K47" i="8"/>
  <c r="R116" i="8"/>
  <c r="M4" i="8"/>
  <c r="M148" i="8"/>
  <c r="O52" i="8"/>
  <c r="J36" i="11"/>
  <c r="R129" i="8"/>
  <c r="O34" i="8"/>
  <c r="N181" i="8"/>
  <c r="V144" i="8"/>
  <c r="V189" i="8"/>
  <c r="K4" i="8"/>
  <c r="J73" i="8"/>
  <c r="R188" i="8"/>
  <c r="J35" i="11"/>
  <c r="O39" i="11"/>
  <c r="T162" i="8"/>
  <c r="N198" i="8"/>
  <c r="R108" i="8"/>
  <c r="O179" i="8"/>
  <c r="Q66" i="8"/>
  <c r="Q131" i="8"/>
  <c r="O89" i="11"/>
  <c r="O130" i="8"/>
  <c r="Q158" i="8"/>
  <c r="O177" i="8"/>
  <c r="J97" i="8"/>
  <c r="R199" i="8"/>
  <c r="V166" i="8"/>
  <c r="N119" i="8"/>
  <c r="L176" i="8"/>
  <c r="R121" i="8"/>
  <c r="K27" i="11"/>
  <c r="O136" i="8"/>
  <c r="T10" i="8"/>
  <c r="T196" i="8"/>
  <c r="U103" i="8"/>
  <c r="M46" i="8"/>
  <c r="K31" i="11"/>
  <c r="Q89" i="8"/>
  <c r="N120" i="8"/>
  <c r="M80" i="8"/>
  <c r="V25" i="8"/>
  <c r="O161" i="8"/>
  <c r="K207" i="8"/>
  <c r="S29" i="8"/>
  <c r="U68" i="8"/>
  <c r="N131" i="8"/>
  <c r="M83" i="8"/>
  <c r="J85" i="11"/>
  <c r="N90" i="11"/>
  <c r="J192" i="8"/>
  <c r="O195" i="8"/>
  <c r="O167" i="8"/>
  <c r="U146" i="8"/>
  <c r="M28" i="11"/>
  <c r="L114" i="8"/>
  <c r="J199" i="8"/>
  <c r="R168" i="8"/>
  <c r="O71" i="11"/>
  <c r="M52" i="11"/>
  <c r="L4" i="8"/>
  <c r="K154" i="8"/>
  <c r="M57" i="8"/>
  <c r="K130" i="8"/>
  <c r="S203" i="8"/>
  <c r="N52" i="11"/>
  <c r="N6" i="11"/>
  <c r="Q123" i="8"/>
  <c r="J122" i="8"/>
  <c r="K50" i="11"/>
  <c r="J11" i="11"/>
  <c r="Q172" i="8"/>
  <c r="L66" i="8"/>
  <c r="J41" i="8"/>
  <c r="S115" i="8"/>
  <c r="N172" i="8"/>
  <c r="Q72" i="8"/>
  <c r="Q75" i="8"/>
  <c r="V113" i="8"/>
  <c r="M107" i="8"/>
  <c r="J19" i="8"/>
  <c r="J135" i="8"/>
  <c r="J33" i="8"/>
  <c r="Q94" i="8"/>
  <c r="O180" i="8"/>
  <c r="R156" i="8"/>
  <c r="T105" i="8"/>
  <c r="O16" i="8"/>
  <c r="U56" i="8"/>
  <c r="N103" i="8"/>
  <c r="K3" i="8"/>
  <c r="Q115" i="8"/>
  <c r="J35" i="8"/>
  <c r="V171" i="8"/>
  <c r="O32" i="8"/>
  <c r="K17" i="11"/>
  <c r="N24" i="8"/>
  <c r="S120" i="8"/>
  <c r="M184" i="8"/>
  <c r="V182" i="8"/>
  <c r="O12" i="8"/>
  <c r="J29" i="11"/>
  <c r="J80" i="8"/>
  <c r="R40" i="8"/>
  <c r="L90" i="8"/>
  <c r="O102" i="8"/>
  <c r="L140" i="8"/>
  <c r="O76" i="8"/>
  <c r="J89" i="8"/>
  <c r="T19" i="8"/>
  <c r="T72" i="8"/>
  <c r="S10" i="8"/>
  <c r="M122" i="8"/>
  <c r="T69" i="8"/>
  <c r="U44" i="8"/>
  <c r="M56" i="8"/>
  <c r="L55" i="8"/>
  <c r="M65" i="11"/>
  <c r="J66" i="11"/>
  <c r="V66" i="8"/>
  <c r="M186" i="8"/>
  <c r="U111" i="8"/>
  <c r="L150" i="8"/>
  <c r="J190" i="8"/>
  <c r="J48" i="11"/>
  <c r="K193" i="8"/>
  <c r="J22" i="8"/>
  <c r="M82" i="11"/>
  <c r="M188" i="8"/>
  <c r="R143" i="8"/>
  <c r="N19" i="8"/>
  <c r="N201" i="8"/>
  <c r="V53" i="8"/>
  <c r="O182" i="8"/>
  <c r="L79" i="8"/>
  <c r="L92" i="11"/>
  <c r="S68" i="8"/>
  <c r="M41" i="8"/>
  <c r="O44" i="8"/>
  <c r="N95" i="8"/>
  <c r="Q116" i="8"/>
  <c r="K31" i="8"/>
  <c r="K170" i="8"/>
  <c r="L191" i="8"/>
  <c r="V31" i="8"/>
  <c r="M137" i="8"/>
  <c r="M161" i="8"/>
  <c r="L95" i="8"/>
  <c r="V145" i="8"/>
  <c r="U77" i="8"/>
  <c r="O204" i="8"/>
  <c r="U134" i="8"/>
  <c r="S71" i="8"/>
  <c r="J65" i="8"/>
  <c r="S189" i="8"/>
  <c r="S47" i="8"/>
  <c r="M136" i="8"/>
  <c r="U107" i="8"/>
  <c r="N18" i="8"/>
  <c r="T45" i="8"/>
  <c r="J14" i="8"/>
  <c r="L78" i="8"/>
  <c r="N171" i="8"/>
  <c r="K30" i="8"/>
  <c r="N112" i="8"/>
  <c r="L167" i="8"/>
  <c r="U78" i="8"/>
  <c r="N149" i="8"/>
  <c r="R153" i="8"/>
  <c r="J194" i="8"/>
  <c r="L10" i="11"/>
  <c r="Q181" i="8"/>
  <c r="N66" i="11"/>
  <c r="V164" i="8"/>
  <c r="L83" i="8"/>
  <c r="M89" i="8"/>
  <c r="M86" i="11"/>
  <c r="N75" i="8"/>
  <c r="L90" i="11"/>
  <c r="O4" i="8"/>
  <c r="S53" i="8"/>
  <c r="M172" i="8"/>
  <c r="L72" i="11"/>
  <c r="M15" i="8"/>
  <c r="U121" i="8"/>
  <c r="M187" i="8"/>
  <c r="R197" i="8"/>
  <c r="Q92" i="8"/>
  <c r="N28" i="8"/>
  <c r="Q139" i="8"/>
  <c r="N51" i="11"/>
  <c r="Q195" i="8"/>
  <c r="V197" i="8"/>
  <c r="N101" i="8"/>
  <c r="N92" i="11"/>
  <c r="N38" i="8"/>
  <c r="L105" i="8"/>
  <c r="R130" i="8"/>
  <c r="K202" i="8"/>
  <c r="K35" i="8"/>
  <c r="T55" i="8"/>
  <c r="T64" i="8"/>
  <c r="K137" i="8"/>
  <c r="V45" i="8"/>
  <c r="K70" i="8"/>
  <c r="U83" i="8"/>
  <c r="O57" i="8"/>
  <c r="R159" i="8"/>
  <c r="K86" i="8"/>
  <c r="L28" i="11"/>
  <c r="L195" i="8"/>
  <c r="N26" i="11"/>
  <c r="R97" i="8"/>
  <c r="O66" i="11"/>
  <c r="N15" i="11"/>
  <c r="V127" i="8"/>
  <c r="O100" i="8"/>
  <c r="R102" i="8"/>
  <c r="M37" i="11"/>
  <c r="O19" i="8"/>
  <c r="J57" i="8"/>
  <c r="K189" i="8"/>
  <c r="V109" i="8"/>
  <c r="N71" i="11"/>
  <c r="R8" i="8"/>
  <c r="L120" i="8"/>
  <c r="M48" i="8"/>
  <c r="K20" i="11"/>
  <c r="K112" i="8"/>
  <c r="S60" i="8"/>
  <c r="Q37" i="8"/>
  <c r="Q207" i="8"/>
  <c r="N192" i="8"/>
  <c r="V172" i="8"/>
  <c r="S98" i="8"/>
  <c r="J83" i="11"/>
  <c r="T51" i="8"/>
  <c r="N211" i="8"/>
  <c r="Q34" i="8"/>
  <c r="V32" i="8"/>
  <c r="L41" i="8"/>
  <c r="S138" i="8"/>
  <c r="L6" i="11"/>
  <c r="M79" i="11"/>
  <c r="S106" i="8"/>
  <c r="N5" i="8"/>
  <c r="S113" i="8"/>
  <c r="J143" i="8"/>
  <c r="R191" i="8"/>
  <c r="Q71" i="8"/>
  <c r="M43" i="8"/>
  <c r="R5" i="8"/>
  <c r="R140" i="8"/>
  <c r="N4" i="11"/>
  <c r="R27" i="8"/>
  <c r="L197" i="8"/>
  <c r="Q31" i="8"/>
  <c r="K181" i="8"/>
  <c r="V95" i="8"/>
  <c r="Q9" i="8"/>
  <c r="L66" i="11"/>
  <c r="K54" i="11"/>
  <c r="N98" i="8"/>
  <c r="R205" i="8"/>
  <c r="K33" i="11"/>
  <c r="O112" i="8"/>
  <c r="R67" i="8"/>
  <c r="O29" i="8"/>
  <c r="L68" i="11"/>
  <c r="K38" i="11"/>
  <c r="M193" i="8"/>
  <c r="U132" i="8"/>
  <c r="M15" i="11"/>
  <c r="T97" i="8"/>
  <c r="Q52" i="8"/>
  <c r="V47" i="8"/>
  <c r="U57" i="8"/>
  <c r="L33" i="11"/>
  <c r="U198" i="8"/>
  <c r="K61" i="8"/>
  <c r="J13" i="11"/>
  <c r="U206" i="8"/>
  <c r="L73" i="8"/>
  <c r="V167" i="8"/>
  <c r="K153" i="8"/>
  <c r="Q6" i="8"/>
  <c r="M75" i="8"/>
  <c r="T28" i="8"/>
  <c r="U67" i="8"/>
  <c r="R12" i="8"/>
  <c r="R133" i="8"/>
  <c r="K82" i="11"/>
  <c r="U210" i="8"/>
  <c r="R162" i="8"/>
  <c r="R75" i="8"/>
  <c r="Q77" i="8"/>
  <c r="V3" i="8"/>
  <c r="M32" i="11"/>
  <c r="J67" i="8"/>
  <c r="N147" i="8"/>
  <c r="O159" i="8"/>
  <c r="T49" i="8"/>
  <c r="N166" i="8"/>
  <c r="O106" i="8"/>
  <c r="U162" i="8"/>
  <c r="K92" i="11"/>
  <c r="K29" i="11"/>
  <c r="T12" i="8"/>
  <c r="M7" i="11"/>
  <c r="S6" i="8"/>
  <c r="L60" i="11"/>
  <c r="T8" i="8"/>
  <c r="Q184" i="8"/>
  <c r="T81" i="8"/>
  <c r="J8" i="8"/>
  <c r="S87" i="8"/>
  <c r="J153" i="8"/>
  <c r="J188" i="8"/>
  <c r="S121" i="8"/>
  <c r="L85" i="11"/>
  <c r="S170" i="8"/>
  <c r="K208" i="8"/>
  <c r="V12" i="8"/>
  <c r="T54" i="8"/>
  <c r="Q21" i="8"/>
  <c r="J9" i="8"/>
  <c r="R24" i="8"/>
  <c r="U47" i="8"/>
  <c r="K169" i="8"/>
  <c r="Q203" i="8"/>
  <c r="L203" i="8"/>
  <c r="T138" i="8"/>
  <c r="U120" i="8"/>
  <c r="J16" i="8"/>
  <c r="N183" i="8"/>
  <c r="K87" i="11"/>
  <c r="U97" i="8"/>
  <c r="L104" i="8"/>
  <c r="M27" i="11"/>
  <c r="L65" i="11"/>
  <c r="T175" i="8"/>
  <c r="L71" i="11"/>
  <c r="M39" i="11"/>
  <c r="L174" i="8"/>
  <c r="M200" i="8"/>
  <c r="N56" i="8"/>
  <c r="L29" i="11"/>
  <c r="J127" i="8"/>
  <c r="J27" i="8"/>
  <c r="N75" i="11"/>
  <c r="V29" i="8"/>
  <c r="Q130" i="8"/>
  <c r="J4" i="8"/>
  <c r="T113" i="8"/>
  <c r="L32" i="8"/>
  <c r="Q155" i="8"/>
  <c r="T204" i="8"/>
  <c r="S13" i="8"/>
  <c r="M58" i="11"/>
  <c r="K117" i="8"/>
  <c r="Q79" i="8"/>
  <c r="K186" i="8"/>
  <c r="M85" i="11"/>
  <c r="N37" i="8"/>
  <c r="K49" i="8"/>
  <c r="Q56" i="8"/>
  <c r="L17" i="8"/>
  <c r="O139" i="8"/>
  <c r="S119" i="8"/>
  <c r="N99" i="8"/>
  <c r="N116" i="8"/>
  <c r="R52" i="8"/>
  <c r="Q41" i="8"/>
  <c r="J85" i="8"/>
  <c r="O13" i="8"/>
  <c r="S61" i="8"/>
  <c r="M203" i="8"/>
  <c r="L175" i="8"/>
  <c r="T146" i="8"/>
  <c r="N35" i="11"/>
  <c r="R74" i="8"/>
  <c r="J36" i="8"/>
  <c r="O77" i="11"/>
  <c r="U199" i="8"/>
  <c r="O11" i="11"/>
  <c r="R17" i="8"/>
  <c r="L132" i="8"/>
  <c r="N8" i="11"/>
  <c r="U23" i="8"/>
  <c r="L145" i="8"/>
  <c r="K149" i="8"/>
  <c r="L86" i="11"/>
  <c r="M50" i="8"/>
  <c r="J54" i="11"/>
  <c r="L5" i="11"/>
  <c r="V57" i="8"/>
  <c r="J106" i="8"/>
  <c r="N32" i="11"/>
  <c r="K81" i="11"/>
  <c r="N84" i="8"/>
  <c r="T202" i="8"/>
  <c r="N43" i="11"/>
  <c r="S179" i="8"/>
  <c r="M90" i="11"/>
  <c r="O62" i="8"/>
  <c r="R124" i="8"/>
  <c r="L128" i="8"/>
  <c r="L25" i="11"/>
  <c r="K177" i="8"/>
  <c r="R170" i="8"/>
  <c r="O85" i="11"/>
  <c r="J175" i="8"/>
  <c r="K57" i="11"/>
  <c r="O142" i="8"/>
  <c r="M140" i="8"/>
  <c r="O8" i="11"/>
  <c r="T43" i="8"/>
  <c r="N79" i="11"/>
  <c r="L89" i="11"/>
  <c r="V121" i="8"/>
  <c r="O107" i="8"/>
  <c r="K21" i="11"/>
  <c r="T141" i="8"/>
  <c r="S9" i="8"/>
  <c r="L11" i="8"/>
  <c r="J68" i="11"/>
  <c r="L55" i="11"/>
  <c r="K41" i="8"/>
  <c r="T21" i="8"/>
  <c r="N21" i="11"/>
  <c r="N88" i="11"/>
  <c r="J205" i="8"/>
  <c r="L124" i="8"/>
  <c r="R165" i="8"/>
  <c r="M59" i="11"/>
  <c r="N133" i="8"/>
  <c r="J166" i="8"/>
  <c r="M113" i="8"/>
  <c r="Q149" i="8"/>
  <c r="N21" i="8"/>
  <c r="M19" i="8"/>
  <c r="O183" i="8"/>
  <c r="R164" i="8"/>
  <c r="O137" i="8"/>
  <c r="R2" i="8"/>
  <c r="L51" i="8"/>
  <c r="Q142" i="8"/>
  <c r="O18" i="11"/>
  <c r="R187" i="8"/>
  <c r="O109" i="8"/>
  <c r="S95" i="8"/>
  <c r="K66" i="11"/>
  <c r="K53" i="8"/>
  <c r="V92" i="8"/>
  <c r="U19" i="8"/>
  <c r="M209" i="8"/>
  <c r="J4" i="11"/>
  <c r="L149" i="8"/>
  <c r="Q24" i="8"/>
  <c r="T47" i="8"/>
  <c r="V58" i="8"/>
  <c r="J16" i="11"/>
  <c r="N60" i="8"/>
  <c r="R86" i="8"/>
  <c r="M130" i="8"/>
  <c r="U128" i="8"/>
  <c r="R142" i="8"/>
  <c r="L24" i="8"/>
  <c r="K158" i="8"/>
  <c r="S122" i="8"/>
  <c r="J92" i="8"/>
  <c r="V38" i="8"/>
  <c r="S12" i="8"/>
  <c r="M70" i="8"/>
  <c r="V155" i="8"/>
  <c r="N162" i="8"/>
  <c r="R185" i="8"/>
  <c r="K68" i="11"/>
  <c r="J197" i="8"/>
  <c r="M171" i="8"/>
  <c r="J10" i="8"/>
  <c r="S23" i="8"/>
  <c r="M2" i="8"/>
  <c r="R94" i="8"/>
  <c r="M29" i="11"/>
  <c r="N51" i="8"/>
  <c r="N64" i="8"/>
  <c r="M60" i="8"/>
  <c r="N40" i="11"/>
  <c r="J55" i="8"/>
  <c r="T128" i="8"/>
  <c r="U200" i="8"/>
  <c r="J187" i="8"/>
  <c r="K12" i="11"/>
  <c r="N79" i="8"/>
  <c r="J74" i="8"/>
  <c r="N30" i="8"/>
  <c r="L24" i="11"/>
  <c r="T120" i="8"/>
  <c r="M6" i="8"/>
  <c r="K55" i="11"/>
  <c r="N33" i="8"/>
  <c r="J71" i="8"/>
  <c r="K52" i="11"/>
  <c r="J77" i="11"/>
  <c r="R111" i="8"/>
  <c r="S136" i="8"/>
  <c r="M164" i="8"/>
  <c r="M6" i="11"/>
  <c r="M38" i="8"/>
  <c r="Q95" i="8"/>
  <c r="Q49" i="8"/>
  <c r="J32" i="11"/>
  <c r="U138" i="8"/>
  <c r="U124" i="8"/>
  <c r="L115" i="8"/>
  <c r="Q82" i="8"/>
  <c r="J76" i="11"/>
  <c r="J52" i="11"/>
  <c r="K78" i="8"/>
  <c r="O29" i="11"/>
  <c r="S73" i="8"/>
  <c r="K55" i="8"/>
  <c r="K63" i="11"/>
  <c r="S191" i="8"/>
  <c r="N199" i="8"/>
  <c r="M51" i="11"/>
  <c r="N132" i="8"/>
  <c r="V35" i="8"/>
  <c r="N204" i="8"/>
  <c r="K44" i="8"/>
  <c r="J79" i="11"/>
  <c r="L13" i="8"/>
  <c r="N9" i="8"/>
  <c r="O202" i="8"/>
  <c r="T46" i="8"/>
  <c r="M92" i="8"/>
  <c r="R192" i="8"/>
  <c r="O117" i="8"/>
  <c r="U20" i="8"/>
  <c r="L212" i="8"/>
  <c r="O93" i="8"/>
  <c r="V124" i="8"/>
  <c r="K101" i="8"/>
  <c r="L60" i="8"/>
  <c r="S101" i="8"/>
  <c r="T99" i="8"/>
  <c r="J61" i="11"/>
  <c r="J151" i="8"/>
  <c r="R107" i="8"/>
  <c r="J13" i="8"/>
  <c r="U21" i="8"/>
  <c r="L44" i="8"/>
  <c r="V81" i="8"/>
  <c r="Q160" i="8"/>
  <c r="Q81" i="8"/>
  <c r="N155" i="8"/>
  <c r="L151" i="8"/>
  <c r="T191" i="8"/>
  <c r="U101" i="8"/>
  <c r="L87" i="8"/>
  <c r="O30" i="8"/>
  <c r="R154" i="8"/>
  <c r="V160" i="8"/>
  <c r="U203" i="8"/>
  <c r="U4" i="8"/>
  <c r="J64" i="8"/>
  <c r="T152" i="8"/>
  <c r="S174" i="8"/>
  <c r="V6" i="8"/>
  <c r="S34" i="8"/>
  <c r="Q13" i="8"/>
  <c r="O57" i="11"/>
  <c r="T111" i="8"/>
  <c r="V199" i="8"/>
  <c r="O119" i="8"/>
  <c r="N209" i="8"/>
  <c r="T3" i="8"/>
  <c r="M10" i="11"/>
  <c r="Q198" i="8"/>
  <c r="N113" i="8"/>
  <c r="O56" i="11"/>
  <c r="N102" i="8"/>
  <c r="J96" i="8"/>
  <c r="S194" i="8"/>
  <c r="K121" i="8"/>
  <c r="Q151" i="8"/>
  <c r="S94" i="8"/>
  <c r="O68" i="8"/>
  <c r="M45" i="8"/>
  <c r="U64" i="8"/>
  <c r="T178" i="8"/>
  <c r="N65" i="8"/>
  <c r="Q32" i="8"/>
  <c r="N121" i="8"/>
  <c r="R112" i="8"/>
  <c r="U34" i="8"/>
  <c r="J144" i="8"/>
  <c r="T137" i="8"/>
  <c r="N170" i="8"/>
  <c r="U91" i="8"/>
  <c r="O9" i="11"/>
  <c r="T198" i="8"/>
  <c r="K164" i="8"/>
  <c r="T157" i="8"/>
  <c r="U113" i="8"/>
  <c r="U84" i="8"/>
  <c r="S96" i="8"/>
  <c r="S27" i="8"/>
  <c r="K45" i="8"/>
  <c r="V63" i="8"/>
  <c r="Q36" i="8"/>
  <c r="M18" i="8"/>
  <c r="V169" i="8"/>
  <c r="R157" i="8"/>
  <c r="J185" i="8"/>
  <c r="O168" i="8"/>
  <c r="V30" i="8"/>
  <c r="N23" i="11"/>
  <c r="M8" i="8"/>
  <c r="T149" i="8"/>
  <c r="O74" i="11"/>
  <c r="K88" i="11"/>
  <c r="T33" i="8"/>
  <c r="N47" i="11"/>
  <c r="R138" i="8"/>
  <c r="N5" i="11"/>
  <c r="L7" i="11"/>
  <c r="R174" i="8"/>
  <c r="M59" i="8"/>
  <c r="V159" i="8"/>
  <c r="M22" i="8"/>
  <c r="Q35" i="8"/>
  <c r="L107" i="8"/>
  <c r="V83" i="8"/>
  <c r="Q7" i="8"/>
  <c r="S93" i="8"/>
  <c r="Q161" i="8"/>
  <c r="N111" i="8"/>
  <c r="T180" i="8"/>
  <c r="M109" i="8"/>
  <c r="N205" i="8"/>
  <c r="V115" i="8"/>
  <c r="M90" i="8"/>
  <c r="S85" i="8"/>
  <c r="K142" i="8"/>
  <c r="T140" i="8"/>
  <c r="K77" i="8"/>
  <c r="L137" i="8"/>
  <c r="J83" i="8"/>
  <c r="N136" i="8"/>
  <c r="J49" i="11"/>
  <c r="K77" i="11"/>
  <c r="U126" i="8"/>
  <c r="O22" i="11"/>
  <c r="V148" i="8"/>
  <c r="O153" i="8"/>
  <c r="L5" i="8"/>
  <c r="M134" i="8"/>
  <c r="J132" i="8"/>
  <c r="O196" i="8"/>
  <c r="U12" i="8"/>
  <c r="K20" i="8"/>
  <c r="N76" i="8"/>
  <c r="O191" i="8"/>
  <c r="Q16" i="8"/>
  <c r="T88" i="8"/>
  <c r="O89" i="8"/>
  <c r="J78" i="8"/>
  <c r="S181" i="8"/>
  <c r="J11" i="8"/>
  <c r="J7" i="11"/>
  <c r="N143" i="8"/>
  <c r="K64" i="8"/>
  <c r="O56" i="8"/>
  <c r="K161" i="8"/>
  <c r="Q23" i="8"/>
  <c r="S193" i="8"/>
  <c r="R98" i="8"/>
  <c r="N47" i="8"/>
  <c r="Q192" i="8"/>
  <c r="T151" i="8"/>
  <c r="M205" i="8"/>
  <c r="M66" i="8"/>
  <c r="N53" i="11"/>
  <c r="L76" i="8"/>
  <c r="T118" i="8"/>
  <c r="L11" i="11"/>
  <c r="O83" i="8"/>
  <c r="L144" i="8"/>
  <c r="S185" i="8"/>
  <c r="S154" i="8"/>
  <c r="V49" i="8"/>
  <c r="J17" i="8"/>
  <c r="M72" i="11"/>
  <c r="R149" i="8"/>
  <c r="L194" i="8"/>
  <c r="T79" i="8"/>
  <c r="J69" i="8"/>
  <c r="K65" i="11"/>
  <c r="Q193" i="8"/>
  <c r="M20" i="11"/>
  <c r="L43" i="8"/>
  <c r="U51" i="8"/>
  <c r="J208" i="8"/>
  <c r="S64" i="8"/>
  <c r="L93" i="11"/>
  <c r="T87" i="8"/>
  <c r="O26" i="8"/>
  <c r="O69" i="8"/>
  <c r="V206" i="8"/>
  <c r="J108" i="8"/>
  <c r="J31" i="11"/>
  <c r="M17" i="8"/>
  <c r="L56" i="11"/>
  <c r="T188" i="8"/>
  <c r="O49" i="8"/>
  <c r="K113" i="8"/>
  <c r="U5" i="8"/>
  <c r="N159" i="8"/>
  <c r="S124" i="8"/>
  <c r="M67" i="11"/>
  <c r="O54" i="11"/>
  <c r="J179" i="8"/>
  <c r="M125" i="8"/>
  <c r="U79" i="8"/>
  <c r="L166" i="8"/>
  <c r="K205" i="8"/>
  <c r="S59" i="8"/>
  <c r="L67" i="11"/>
  <c r="S168" i="8"/>
  <c r="O162" i="8"/>
  <c r="J93" i="8"/>
  <c r="S123" i="8"/>
  <c r="J56" i="8"/>
  <c r="N20" i="8"/>
  <c r="L206" i="8"/>
  <c r="V133" i="8"/>
  <c r="K86" i="11"/>
  <c r="O156" i="8"/>
  <c r="T121" i="8"/>
  <c r="K109" i="8"/>
  <c r="T109" i="8"/>
  <c r="O158" i="8"/>
  <c r="U59" i="8"/>
  <c r="J49" i="8"/>
  <c r="M79" i="8"/>
  <c r="R119" i="8"/>
  <c r="J91" i="11"/>
  <c r="U100" i="8"/>
  <c r="J44" i="11"/>
  <c r="S4" i="8"/>
  <c r="K211" i="8"/>
  <c r="R152" i="8"/>
  <c r="U184" i="8"/>
  <c r="T160" i="8"/>
  <c r="U130" i="8"/>
  <c r="M176" i="8"/>
  <c r="K2" i="8"/>
  <c r="M119" i="8"/>
  <c r="N142" i="8"/>
  <c r="L171" i="8"/>
  <c r="U46" i="8"/>
  <c r="S17" i="8"/>
  <c r="K27" i="8"/>
  <c r="O95" i="8"/>
  <c r="O140" i="8"/>
  <c r="J34" i="11"/>
  <c r="Q25" i="8"/>
  <c r="N12" i="11"/>
  <c r="K136" i="8"/>
  <c r="S197" i="8"/>
  <c r="J212" i="8"/>
  <c r="T70" i="8"/>
  <c r="K132" i="8"/>
  <c r="K79" i="11"/>
  <c r="R25" i="8"/>
  <c r="S84" i="8"/>
  <c r="J18" i="11"/>
  <c r="J152" i="8"/>
  <c r="N16" i="11"/>
  <c r="L9" i="11"/>
  <c r="M3" i="8"/>
  <c r="Q190" i="8"/>
  <c r="O61" i="8"/>
  <c r="V143" i="8"/>
  <c r="U115" i="8"/>
  <c r="T104" i="8"/>
  <c r="N49" i="8"/>
  <c r="R148" i="8"/>
  <c r="V72" i="8"/>
  <c r="U6" i="8"/>
  <c r="O201" i="8"/>
  <c r="R183" i="8"/>
  <c r="Q65" i="8"/>
  <c r="K146" i="8"/>
  <c r="N24" i="11"/>
  <c r="L112" i="8"/>
  <c r="T168" i="8"/>
  <c r="M34" i="11"/>
  <c r="O82" i="8"/>
  <c r="R158" i="8"/>
  <c r="M84" i="8"/>
  <c r="N63" i="11"/>
  <c r="L45" i="11"/>
  <c r="O188" i="8"/>
  <c r="O64" i="8"/>
  <c r="R58" i="8"/>
  <c r="R53" i="8"/>
  <c r="O35" i="11"/>
  <c r="O122" i="8"/>
  <c r="L96" i="8"/>
  <c r="L46" i="8"/>
  <c r="O53" i="11"/>
  <c r="U108" i="8"/>
  <c r="N191" i="8"/>
  <c r="L99" i="8"/>
  <c r="M80" i="11"/>
  <c r="M183" i="8"/>
  <c r="J139" i="8"/>
  <c r="M14" i="11"/>
  <c r="N45" i="11"/>
  <c r="V193" i="8"/>
  <c r="Q83" i="8"/>
  <c r="J131" i="8"/>
  <c r="O75" i="8"/>
  <c r="V61" i="8"/>
  <c r="K5" i="11"/>
  <c r="N202" i="8"/>
  <c r="S155" i="8"/>
  <c r="L75" i="11"/>
  <c r="K133" i="8"/>
  <c r="K59" i="8"/>
  <c r="L30" i="8"/>
  <c r="N45" i="8"/>
  <c r="U52" i="8"/>
  <c r="V114" i="8"/>
  <c r="M64" i="11"/>
  <c r="T50" i="8"/>
  <c r="O55" i="8"/>
  <c r="K51" i="8"/>
  <c r="J41" i="11"/>
  <c r="S159" i="8"/>
  <c r="J9" i="11"/>
  <c r="O138" i="8"/>
  <c r="N65" i="11"/>
  <c r="Q109" i="8"/>
  <c r="J90" i="11"/>
  <c r="O83" i="11"/>
  <c r="O141" i="8"/>
  <c r="M35" i="11"/>
  <c r="N25" i="11"/>
  <c r="Q209" i="8"/>
  <c r="S118" i="8"/>
  <c r="N80" i="8"/>
  <c r="K204" i="8"/>
  <c r="U178" i="8"/>
  <c r="K171" i="8"/>
  <c r="L108" i="8"/>
  <c r="J186" i="8"/>
  <c r="V50" i="8"/>
  <c r="K79" i="8"/>
  <c r="O212" i="8"/>
  <c r="Q5" i="8"/>
  <c r="T59" i="8"/>
  <c r="M159" i="8"/>
  <c r="N151" i="8"/>
  <c r="M174" i="8"/>
  <c r="J66" i="8"/>
  <c r="N193" i="8"/>
  <c r="T142" i="8"/>
  <c r="Q174" i="8"/>
  <c r="T184" i="8"/>
  <c r="V129" i="8"/>
  <c r="S107" i="8"/>
  <c r="O155" i="8"/>
  <c r="M112" i="8"/>
  <c r="K140" i="8"/>
  <c r="S141" i="8"/>
  <c r="R9" i="8"/>
  <c r="L52" i="11"/>
  <c r="L86" i="8"/>
  <c r="M47" i="8"/>
  <c r="M126" i="8"/>
  <c r="T136" i="8"/>
  <c r="J29" i="8"/>
  <c r="K44" i="11"/>
  <c r="M168" i="8"/>
  <c r="Q148" i="8"/>
  <c r="M114" i="8"/>
  <c r="K114" i="8"/>
  <c r="M158" i="8"/>
  <c r="Q80" i="8"/>
  <c r="U208" i="8"/>
  <c r="T52" i="8"/>
  <c r="K19" i="11"/>
  <c r="R87" i="8"/>
  <c r="J72" i="8"/>
  <c r="L47" i="8"/>
  <c r="K10" i="8"/>
  <c r="L70" i="11"/>
  <c r="K172" i="8"/>
  <c r="M55" i="11"/>
  <c r="O13" i="11"/>
  <c r="T102" i="8"/>
  <c r="N74" i="8"/>
  <c r="T53" i="8"/>
  <c r="J150" i="8"/>
  <c r="J47" i="8"/>
  <c r="Q14" i="8"/>
  <c r="K94" i="8"/>
  <c r="L22" i="11"/>
  <c r="Q137" i="8"/>
  <c r="R33" i="8"/>
  <c r="L29" i="8"/>
  <c r="T96" i="8"/>
  <c r="K126" i="8"/>
  <c r="L190" i="8"/>
  <c r="L53" i="8"/>
  <c r="J61" i="8"/>
  <c r="O76" i="11"/>
  <c r="O192" i="8"/>
  <c r="O150" i="8"/>
  <c r="R201" i="8"/>
  <c r="N93" i="8"/>
  <c r="S92" i="8"/>
  <c r="L148" i="8"/>
  <c r="V187" i="8"/>
  <c r="Q162" i="8"/>
  <c r="L47" i="11"/>
  <c r="U33" i="8"/>
  <c r="K13" i="11"/>
  <c r="O96" i="8"/>
  <c r="Q59" i="8"/>
  <c r="J123" i="8"/>
  <c r="V191" i="8"/>
  <c r="T89" i="8"/>
  <c r="K105" i="8"/>
  <c r="Q11" i="8"/>
  <c r="M52" i="8"/>
  <c r="U49" i="8"/>
  <c r="O154" i="8"/>
  <c r="T190" i="8"/>
  <c r="U98" i="8"/>
  <c r="J113" i="8"/>
  <c r="U183" i="8"/>
  <c r="Q106" i="8"/>
  <c r="U18" i="8"/>
  <c r="R32" i="8"/>
  <c r="N77" i="8"/>
  <c r="U94" i="8"/>
  <c r="V122" i="8"/>
  <c r="O58" i="11"/>
  <c r="T189" i="8"/>
  <c r="S163" i="8"/>
  <c r="M50" i="11"/>
  <c r="N13" i="11"/>
  <c r="V139" i="8"/>
  <c r="J169" i="8"/>
  <c r="T16" i="8"/>
  <c r="Q47" i="8"/>
  <c r="T7" i="8"/>
  <c r="O90" i="8"/>
  <c r="V9" i="8"/>
  <c r="O82" i="11"/>
  <c r="U180" i="8"/>
  <c r="N41" i="8"/>
  <c r="T15" i="8"/>
  <c r="V208" i="8"/>
  <c r="J156" i="8"/>
  <c r="Q159" i="8"/>
  <c r="M116" i="8"/>
  <c r="M88" i="11"/>
  <c r="K168" i="8"/>
  <c r="N31" i="8"/>
  <c r="R110" i="8"/>
  <c r="L57" i="11"/>
  <c r="R70" i="8"/>
  <c r="N153" i="8"/>
  <c r="Q50" i="8"/>
  <c r="O166" i="8"/>
  <c r="V97" i="8"/>
  <c r="Q127" i="8"/>
  <c r="O33" i="11"/>
  <c r="O79" i="11"/>
  <c r="O47" i="11"/>
  <c r="Q17" i="8"/>
  <c r="O111" i="8"/>
  <c r="T75" i="8"/>
  <c r="N69" i="8"/>
  <c r="K8" i="8"/>
  <c r="N81" i="11"/>
  <c r="T163" i="8"/>
  <c r="U165" i="8"/>
  <c r="M47" i="11"/>
  <c r="T170" i="8"/>
  <c r="M197" i="8"/>
  <c r="L38" i="8"/>
  <c r="S99" i="8"/>
  <c r="N44" i="11"/>
  <c r="K183" i="8"/>
  <c r="U114" i="8"/>
  <c r="L109" i="8"/>
  <c r="R45" i="8"/>
  <c r="S36" i="8"/>
  <c r="R80" i="8"/>
  <c r="Q90" i="8"/>
  <c r="K15" i="8"/>
  <c r="O174" i="8"/>
  <c r="S202" i="8"/>
  <c r="K69" i="11"/>
  <c r="J27" i="11"/>
  <c r="M27" i="8"/>
  <c r="O31" i="8"/>
  <c r="K120" i="8"/>
  <c r="M189" i="8"/>
  <c r="K143" i="8"/>
  <c r="M43" i="11"/>
  <c r="R31" i="8"/>
  <c r="L135" i="8"/>
  <c r="R137" i="8"/>
  <c r="M74" i="11"/>
  <c r="R178" i="8"/>
  <c r="U166" i="8"/>
  <c r="N66" i="8"/>
  <c r="T29" i="8"/>
  <c r="S162" i="8"/>
  <c r="J88" i="11"/>
  <c r="L155" i="8"/>
  <c r="M28" i="8"/>
  <c r="Q183" i="8"/>
  <c r="V52" i="8"/>
  <c r="Q45" i="8"/>
  <c r="U122" i="8"/>
  <c r="J50" i="11"/>
  <c r="V42" i="8"/>
  <c r="T201" i="8"/>
  <c r="M38" i="11"/>
  <c r="M75" i="11"/>
  <c r="U72" i="8"/>
  <c r="M23" i="8"/>
  <c r="N8" i="8"/>
  <c r="S52" i="8"/>
  <c r="K89" i="11"/>
  <c r="M8" i="11"/>
  <c r="O9" i="8"/>
  <c r="K167" i="8"/>
  <c r="S56" i="8"/>
  <c r="L39" i="11"/>
  <c r="M95" i="8"/>
  <c r="V123" i="8"/>
  <c r="M175" i="8"/>
  <c r="V188" i="8"/>
  <c r="N73" i="8"/>
  <c r="S150" i="8"/>
  <c r="M211" i="8"/>
  <c r="L127" i="8"/>
  <c r="U123" i="8"/>
  <c r="O43" i="11"/>
  <c r="M17" i="11"/>
  <c r="N22" i="11"/>
  <c r="O101" i="8"/>
  <c r="R180" i="8"/>
  <c r="K110" i="8"/>
  <c r="L97" i="8"/>
  <c r="T67" i="8"/>
  <c r="N194" i="8"/>
  <c r="K69" i="8"/>
  <c r="L147" i="8"/>
  <c r="T103" i="8"/>
  <c r="O67" i="8"/>
  <c r="K159" i="8"/>
  <c r="V71" i="8"/>
  <c r="J33" i="11"/>
  <c r="R37" i="8"/>
  <c r="T56" i="8"/>
  <c r="N100" i="8"/>
  <c r="S175" i="8"/>
  <c r="L40" i="11"/>
  <c r="L136" i="8"/>
  <c r="R115" i="8"/>
  <c r="O10" i="11"/>
  <c r="S158" i="8"/>
  <c r="M67" i="8"/>
  <c r="T41" i="8"/>
  <c r="K107" i="8"/>
  <c r="J87" i="8"/>
  <c r="U174" i="8"/>
  <c r="J165" i="8"/>
  <c r="U195" i="8"/>
  <c r="K156" i="8"/>
  <c r="S114" i="8"/>
  <c r="L180" i="8"/>
  <c r="J146" i="8"/>
  <c r="N124" i="8"/>
  <c r="K173" i="8"/>
  <c r="S82" i="8"/>
  <c r="O50" i="8"/>
  <c r="T30" i="8"/>
  <c r="K26" i="11"/>
  <c r="S157" i="8"/>
  <c r="S39" i="8"/>
  <c r="J57" i="11"/>
  <c r="K176" i="8"/>
  <c r="V141" i="8"/>
  <c r="S169" i="8"/>
  <c r="M139" i="8"/>
  <c r="N40" i="8"/>
  <c r="M48" i="11"/>
  <c r="N94" i="8"/>
  <c r="R83" i="8"/>
  <c r="L49" i="11"/>
  <c r="O35" i="8"/>
  <c r="U40" i="8"/>
  <c r="L51" i="11"/>
  <c r="T165" i="8"/>
  <c r="M194" i="8"/>
  <c r="M111" i="8"/>
  <c r="J18" i="8"/>
  <c r="N44" i="8"/>
  <c r="N164" i="8"/>
  <c r="L48" i="11"/>
  <c r="K65" i="8"/>
  <c r="K84" i="8"/>
  <c r="V68" i="8"/>
  <c r="K178" i="8"/>
  <c r="K145" i="8"/>
  <c r="T114" i="8"/>
  <c r="Q27" i="8"/>
  <c r="K182" i="8"/>
  <c r="U22" i="8"/>
  <c r="K58" i="11"/>
  <c r="Q141" i="8"/>
  <c r="N12" i="8"/>
  <c r="K5" i="8"/>
  <c r="L45" i="8"/>
  <c r="O209" i="8"/>
  <c r="U150" i="8"/>
  <c r="Q134" i="8"/>
  <c r="K116" i="8"/>
  <c r="S75" i="8"/>
  <c r="U192" i="8"/>
  <c r="L62" i="8"/>
  <c r="O44" i="11"/>
  <c r="N157" i="8"/>
  <c r="O121" i="8"/>
  <c r="L211" i="8"/>
  <c r="S139" i="8"/>
  <c r="S89" i="8"/>
  <c r="K115" i="8"/>
  <c r="S2" i="8"/>
  <c r="L159" i="8"/>
  <c r="L74" i="8"/>
  <c r="O27" i="11"/>
  <c r="J58" i="8"/>
  <c r="U135" i="8"/>
  <c r="R44" i="8"/>
  <c r="Q177" i="8"/>
  <c r="U61" i="8"/>
  <c r="J161" i="8"/>
  <c r="S102" i="8"/>
  <c r="K166" i="8"/>
  <c r="L12" i="11"/>
  <c r="M7" i="8"/>
  <c r="L35" i="8"/>
  <c r="T156" i="8"/>
  <c r="J25" i="11"/>
  <c r="K36" i="11"/>
  <c r="M33" i="8"/>
  <c r="K197" i="8"/>
  <c r="S14" i="8"/>
  <c r="L78" i="11"/>
  <c r="J3" i="8"/>
  <c r="Q40" i="8"/>
  <c r="L74" i="11"/>
  <c r="S63" i="8"/>
  <c r="O58" i="8"/>
  <c r="K9" i="8"/>
  <c r="L117" i="8"/>
  <c r="M177" i="8"/>
  <c r="Q186" i="8"/>
  <c r="S117" i="8"/>
  <c r="J195" i="8"/>
  <c r="K198" i="8"/>
  <c r="K40" i="11"/>
  <c r="Q96" i="8"/>
  <c r="K62" i="11"/>
  <c r="L184" i="8"/>
  <c r="V110" i="8"/>
  <c r="L15" i="8"/>
  <c r="J43" i="11"/>
  <c r="K163" i="8"/>
  <c r="Q118" i="8"/>
  <c r="N50" i="11"/>
  <c r="L204" i="8"/>
  <c r="J91" i="8"/>
  <c r="M36" i="11"/>
  <c r="L61" i="8"/>
  <c r="O94" i="8"/>
  <c r="Q205" i="8"/>
  <c r="Q97" i="8"/>
  <c r="L185" i="8"/>
  <c r="L142" i="8"/>
  <c r="N175" i="8"/>
  <c r="O84" i="8"/>
  <c r="K95" i="8"/>
  <c r="N135" i="8"/>
  <c r="J44" i="8"/>
  <c r="O59" i="11"/>
  <c r="K26" i="8"/>
  <c r="N107" i="8"/>
  <c r="K127" i="8"/>
  <c r="J94" i="11"/>
  <c r="R78" i="8"/>
  <c r="S28" i="8"/>
  <c r="N152" i="8"/>
  <c r="K24" i="8"/>
  <c r="N60" i="11"/>
  <c r="Q202" i="8"/>
  <c r="O12" i="11"/>
  <c r="L183" i="8"/>
  <c r="Q206" i="8"/>
  <c r="K180" i="8"/>
  <c r="J6" i="11"/>
  <c r="U95" i="8"/>
  <c r="V99" i="8"/>
  <c r="V161" i="8"/>
  <c r="K194" i="8"/>
  <c r="V65" i="8"/>
  <c r="K74" i="8"/>
  <c r="S50" i="8"/>
  <c r="V98" i="8"/>
  <c r="R16" i="8"/>
  <c r="U88" i="8"/>
  <c r="O91" i="8"/>
  <c r="U207" i="8"/>
  <c r="J100" i="8"/>
  <c r="V128" i="8"/>
  <c r="V119" i="8"/>
  <c r="M57" i="11"/>
  <c r="K160" i="8"/>
  <c r="V22" i="8"/>
  <c r="T107" i="8"/>
  <c r="U60" i="8"/>
  <c r="Q122" i="8"/>
  <c r="T71" i="8"/>
  <c r="U182" i="8"/>
  <c r="S7" i="8"/>
  <c r="O37" i="11"/>
  <c r="K68" i="8"/>
  <c r="Q74" i="8"/>
  <c r="L37" i="8"/>
  <c r="O53" i="8"/>
  <c r="T36" i="8"/>
  <c r="J98" i="8"/>
  <c r="M206" i="8"/>
  <c r="O165" i="8"/>
  <c r="M63" i="11"/>
  <c r="R63" i="8"/>
  <c r="M157" i="8"/>
  <c r="R135" i="8"/>
  <c r="Q39" i="8"/>
  <c r="S204" i="8"/>
  <c r="V73" i="8"/>
  <c r="K42" i="11"/>
  <c r="O91" i="11"/>
  <c r="M202" i="8"/>
  <c r="V54" i="8"/>
  <c r="U50" i="8"/>
  <c r="N110" i="8"/>
  <c r="R163" i="8"/>
  <c r="M10" i="8"/>
  <c r="M94" i="8"/>
  <c r="Q18" i="8"/>
  <c r="T174" i="8"/>
  <c r="M207" i="8"/>
  <c r="Q22" i="8"/>
  <c r="K99" i="8"/>
  <c r="K90" i="8"/>
  <c r="J140" i="8"/>
  <c r="N62" i="8"/>
  <c r="L61" i="11"/>
  <c r="O6" i="8"/>
  <c r="V82" i="8"/>
  <c r="N207" i="8"/>
  <c r="R46" i="8"/>
  <c r="V55" i="8"/>
  <c r="K58" i="8"/>
  <c r="U137" i="8"/>
  <c r="U104" i="8"/>
  <c r="M132" i="8"/>
  <c r="S133" i="8"/>
  <c r="N89" i="11"/>
  <c r="T35" i="8"/>
  <c r="L6" i="8"/>
  <c r="O80" i="8"/>
  <c r="J82" i="8"/>
  <c r="Q187" i="8"/>
  <c r="T92" i="8"/>
  <c r="K53" i="11"/>
  <c r="Q101" i="8"/>
  <c r="T100" i="8"/>
  <c r="O24" i="8"/>
  <c r="Q169" i="8"/>
  <c r="O113" i="8"/>
  <c r="V64" i="8"/>
  <c r="Q105" i="8"/>
  <c r="M145" i="8"/>
  <c r="S55" i="8"/>
  <c r="J160" i="8"/>
  <c r="J26" i="8"/>
  <c r="M72" i="8"/>
  <c r="T161" i="8"/>
  <c r="S186" i="8"/>
  <c r="M9" i="11"/>
  <c r="V202" i="8"/>
  <c r="J136" i="8"/>
  <c r="L50" i="8"/>
  <c r="V184" i="8"/>
  <c r="V93" i="8"/>
  <c r="M12" i="11"/>
  <c r="S74" i="8"/>
  <c r="O110" i="8"/>
  <c r="T62" i="8"/>
  <c r="M26" i="11"/>
  <c r="L21" i="11"/>
  <c r="S144" i="8"/>
  <c r="N178" i="8"/>
  <c r="V77" i="8"/>
  <c r="O197" i="8"/>
  <c r="T31" i="8"/>
  <c r="T164" i="8"/>
  <c r="V157" i="8"/>
  <c r="U163" i="8"/>
  <c r="O170" i="8"/>
  <c r="S70" i="8"/>
  <c r="N63" i="8"/>
  <c r="O207" i="8"/>
  <c r="L72" i="8"/>
  <c r="S195" i="8"/>
  <c r="Q64" i="8"/>
  <c r="J68" i="8"/>
  <c r="M5" i="8"/>
  <c r="M54" i="11"/>
  <c r="R100" i="8"/>
  <c r="L12" i="8"/>
  <c r="M42" i="8"/>
  <c r="K98" i="8"/>
  <c r="S199" i="8"/>
  <c r="K46" i="8"/>
  <c r="L14" i="11"/>
  <c r="J206" i="8"/>
  <c r="N82" i="8"/>
  <c r="R4" i="8"/>
  <c r="L34" i="11"/>
  <c r="N210" i="8"/>
  <c r="T197" i="8"/>
  <c r="M13" i="11"/>
  <c r="L36" i="8"/>
  <c r="S37" i="8"/>
  <c r="U54" i="8"/>
  <c r="T112" i="8"/>
  <c r="N176" i="8"/>
  <c r="R42" i="8"/>
  <c r="V153" i="8"/>
  <c r="V10" i="8"/>
  <c r="J114" i="8"/>
  <c r="U181" i="8"/>
  <c r="K76" i="8"/>
  <c r="Q157" i="8"/>
  <c r="M53" i="11"/>
  <c r="L138" i="8"/>
  <c r="O149" i="8"/>
  <c r="O16" i="11"/>
  <c r="N145" i="8"/>
  <c r="N59" i="11"/>
  <c r="V140" i="8"/>
  <c r="M165" i="8"/>
  <c r="S153" i="8"/>
  <c r="U43" i="8"/>
  <c r="N94" i="11"/>
  <c r="V74" i="8"/>
  <c r="K10" i="11"/>
  <c r="L42" i="11"/>
  <c r="N184" i="8"/>
  <c r="M77" i="11"/>
  <c r="M108" i="8"/>
  <c r="N7" i="8"/>
  <c r="V8" i="8"/>
  <c r="S127" i="8"/>
  <c r="K123" i="8"/>
  <c r="T187" i="8"/>
  <c r="J125" i="8"/>
  <c r="S8" i="8"/>
  <c r="O210" i="8"/>
  <c r="J62" i="8"/>
  <c r="M123" i="8"/>
  <c r="L18" i="11"/>
  <c r="O90" i="11"/>
  <c r="T166" i="8"/>
  <c r="J157" i="8"/>
  <c r="Q68" i="8"/>
  <c r="T143" i="8"/>
  <c r="J30" i="8"/>
  <c r="S151" i="8"/>
  <c r="M210" i="8"/>
  <c r="M30" i="11"/>
  <c r="M146" i="8"/>
  <c r="R198" i="8"/>
  <c r="N80" i="11"/>
  <c r="M192" i="8"/>
  <c r="V51" i="8"/>
  <c r="J90" i="8"/>
  <c r="N57" i="8"/>
  <c r="J7" i="8"/>
  <c r="L88" i="8"/>
  <c r="S180" i="8"/>
  <c r="O65" i="8"/>
  <c r="R15" i="8"/>
  <c r="Q88" i="8"/>
  <c r="T9" i="8"/>
  <c r="O193" i="8"/>
  <c r="O64" i="11"/>
  <c r="V87" i="8"/>
  <c r="J65" i="11"/>
  <c r="K188" i="8"/>
  <c r="V5" i="8"/>
  <c r="M51" i="8"/>
  <c r="N3" i="8"/>
  <c r="L82" i="8"/>
  <c r="M173" i="8"/>
  <c r="Q210" i="8"/>
  <c r="O63" i="11"/>
  <c r="V136" i="8"/>
  <c r="U158" i="8"/>
  <c r="R90" i="8"/>
  <c r="J20" i="11"/>
  <c r="M154" i="8"/>
  <c r="Q93" i="8"/>
  <c r="L102" i="8"/>
  <c r="N127" i="8"/>
  <c r="R51" i="8"/>
  <c r="O52" i="11"/>
  <c r="V176" i="8"/>
  <c r="S200" i="8"/>
  <c r="M91" i="8"/>
  <c r="S131" i="8"/>
  <c r="J88" i="8"/>
  <c r="J37" i="11"/>
  <c r="S149" i="8"/>
  <c r="K11" i="11"/>
  <c r="V207" i="8"/>
  <c r="L94" i="11"/>
  <c r="U139" i="8"/>
  <c r="L121" i="8"/>
  <c r="L210" i="8"/>
  <c r="S206" i="8"/>
  <c r="N10" i="11"/>
  <c r="K100" i="8"/>
  <c r="J110" i="8"/>
  <c r="U168" i="8"/>
  <c r="L20" i="11"/>
  <c r="K78" i="11"/>
  <c r="U154" i="8"/>
  <c r="J12" i="11"/>
  <c r="T65" i="8"/>
  <c r="O20" i="8"/>
  <c r="S45" i="8"/>
  <c r="O92" i="11"/>
  <c r="R182" i="8"/>
  <c r="S167" i="8"/>
  <c r="K151" i="8"/>
  <c r="M49" i="8"/>
  <c r="L193" i="8"/>
  <c r="K56" i="11"/>
  <c r="L141" i="8"/>
  <c r="S86" i="8"/>
  <c r="L91" i="11"/>
  <c r="T58" i="8"/>
  <c r="U149" i="8"/>
  <c r="O147" i="8"/>
  <c r="M9" i="8"/>
  <c r="L110" i="8"/>
  <c r="O72" i="11"/>
  <c r="S187" i="8"/>
  <c r="N62" i="11"/>
  <c r="V185" i="8"/>
  <c r="Q44" i="8"/>
  <c r="T147" i="8"/>
  <c r="T122" i="8"/>
  <c r="Q188" i="8"/>
  <c r="O47" i="8"/>
  <c r="T200" i="8"/>
  <c r="U201" i="8"/>
  <c r="M49" i="11"/>
  <c r="J171" i="8"/>
  <c r="O32" i="11"/>
  <c r="R125" i="8"/>
  <c r="R54" i="8"/>
  <c r="Q140" i="8"/>
  <c r="O70" i="8"/>
  <c r="V142" i="8"/>
  <c r="Q147" i="8"/>
  <c r="R139" i="8"/>
  <c r="O51" i="11"/>
  <c r="O74" i="8"/>
  <c r="K131" i="8"/>
  <c r="Q76" i="8"/>
  <c r="L169" i="8"/>
  <c r="T183" i="8"/>
  <c r="Q42" i="8"/>
  <c r="Q15" i="8"/>
  <c r="J42" i="8"/>
  <c r="M16" i="11"/>
  <c r="N13" i="8"/>
  <c r="J201" i="8"/>
  <c r="S111" i="8"/>
  <c r="V101" i="8"/>
  <c r="K57" i="8"/>
  <c r="U153" i="8"/>
  <c r="N31" i="11"/>
  <c r="V168" i="8"/>
  <c r="U62" i="8"/>
  <c r="J43" i="8"/>
  <c r="R113" i="8"/>
  <c r="S104" i="8"/>
  <c r="J121" i="8"/>
  <c r="V80" i="8"/>
  <c r="J189" i="8"/>
  <c r="K16" i="8"/>
  <c r="L186" i="8"/>
  <c r="Q135" i="8"/>
  <c r="N72" i="11"/>
  <c r="M167" i="8"/>
  <c r="N82" i="11"/>
  <c r="O18" i="8"/>
  <c r="R13" i="8"/>
  <c r="O151" i="8"/>
  <c r="K28" i="11"/>
  <c r="V34" i="8"/>
  <c r="L46" i="11"/>
  <c r="R202" i="8"/>
  <c r="O40" i="11"/>
  <c r="J158" i="8"/>
  <c r="K63" i="8"/>
  <c r="M99" i="8"/>
  <c r="U76" i="8"/>
  <c r="J34" i="8"/>
  <c r="L98" i="8"/>
  <c r="O25" i="8"/>
  <c r="K104" i="8"/>
  <c r="U41" i="8"/>
  <c r="J78" i="11"/>
  <c r="O127" i="8"/>
  <c r="R36" i="8"/>
  <c r="J177" i="8"/>
  <c r="K51" i="11"/>
  <c r="L208" i="8"/>
  <c r="O129" i="8"/>
  <c r="O208" i="8"/>
  <c r="J148" i="8"/>
  <c r="R76" i="8"/>
  <c r="O85" i="8"/>
  <c r="O99" i="8"/>
  <c r="U112" i="8"/>
  <c r="T194" i="8"/>
  <c r="J12" i="8"/>
  <c r="N10" i="8"/>
  <c r="K67" i="11"/>
  <c r="L3" i="8"/>
  <c r="O123" i="8"/>
  <c r="N173" i="8"/>
  <c r="V40" i="8"/>
  <c r="O125" i="8"/>
  <c r="K24" i="11"/>
  <c r="M4" i="11"/>
  <c r="Q61" i="8"/>
  <c r="J86" i="8"/>
  <c r="K129" i="8"/>
  <c r="N55" i="8"/>
  <c r="K212" i="8"/>
  <c r="O184" i="8"/>
  <c r="K157" i="8"/>
  <c r="R95" i="8"/>
  <c r="L35" i="11"/>
  <c r="J53" i="8"/>
  <c r="N129" i="8"/>
  <c r="R43" i="8"/>
  <c r="M81" i="11"/>
  <c r="N32" i="8"/>
  <c r="N83" i="8"/>
  <c r="N52" i="8"/>
  <c r="V195" i="8"/>
  <c r="V24" i="8"/>
  <c r="S5" i="8"/>
  <c r="J48" i="8"/>
  <c r="L65" i="8"/>
  <c r="Q108" i="8"/>
  <c r="Q60" i="8"/>
  <c r="Q194" i="8"/>
  <c r="N22" i="8"/>
  <c r="Q153" i="8"/>
  <c r="U2" i="8"/>
  <c r="U172" i="8"/>
  <c r="S49" i="8"/>
  <c r="K34" i="11"/>
  <c r="O124" i="8"/>
  <c r="L173" i="8"/>
  <c r="N150" i="8"/>
  <c r="M152" i="8"/>
  <c r="Q200" i="8"/>
  <c r="U66" i="8"/>
  <c r="Q128" i="8"/>
  <c r="V190" i="8"/>
  <c r="J6" i="8"/>
  <c r="T195" i="8"/>
  <c r="Q173" i="8"/>
  <c r="R210" i="8"/>
  <c r="N108" i="8"/>
  <c r="V85" i="8"/>
  <c r="N16" i="8"/>
  <c r="O81" i="8"/>
  <c r="K76" i="11"/>
  <c r="J60" i="8"/>
  <c r="N158" i="8"/>
  <c r="S77" i="8"/>
  <c r="N118" i="8"/>
  <c r="V43" i="8"/>
  <c r="K128" i="8"/>
  <c r="U16" i="8"/>
  <c r="M103" i="8"/>
  <c r="O14" i="8"/>
  <c r="T34" i="8"/>
  <c r="L22" i="8"/>
  <c r="M20" i="8"/>
  <c r="T60" i="11"/>
  <c r="R72" i="11"/>
  <c r="S60" i="11"/>
  <c r="V62" i="11"/>
  <c r="Q62" i="11"/>
  <c r="Q88" i="11"/>
  <c r="S62" i="11"/>
  <c r="V88" i="11"/>
  <c r="U56" i="11"/>
  <c r="S6" i="11"/>
  <c r="R74" i="11"/>
  <c r="U60" i="11"/>
  <c r="V72" i="11"/>
  <c r="S5" i="11"/>
  <c r="S88" i="11"/>
  <c r="T88" i="11"/>
  <c r="G56" i="11"/>
  <c r="Q70" i="11"/>
  <c r="U70" i="11"/>
  <c r="R62" i="11"/>
  <c r="Q5" i="11"/>
  <c r="Q90" i="11"/>
  <c r="V90" i="11"/>
  <c r="S61" i="11"/>
  <c r="R32" i="11"/>
  <c r="V39" i="11"/>
  <c r="T90" i="11"/>
  <c r="U40" i="11"/>
  <c r="S39" i="11"/>
  <c r="Q39" i="11"/>
  <c r="T32" i="11"/>
  <c r="G14" i="11"/>
  <c r="G54" i="11"/>
  <c r="U61" i="11"/>
  <c r="U90" i="11"/>
  <c r="S90" i="11"/>
  <c r="U72" i="11"/>
  <c r="T72" i="11"/>
  <c r="S40" i="11"/>
  <c r="Y202" i="8"/>
  <c r="Z202" i="8"/>
  <c r="X202" i="8"/>
  <c r="AA202" i="8"/>
  <c r="AB202" i="8"/>
  <c r="AC202" i="8"/>
  <c r="X131" i="8"/>
  <c r="Y131" i="8"/>
  <c r="Z131" i="8"/>
  <c r="AA131" i="8"/>
  <c r="AB131" i="8"/>
  <c r="AC131" i="8"/>
  <c r="AA52" i="8"/>
  <c r="AB52" i="8"/>
  <c r="X52" i="8"/>
  <c r="Y52" i="8"/>
  <c r="Z52" i="8"/>
  <c r="AC52" i="8"/>
  <c r="X157" i="8"/>
  <c r="Z157" i="8"/>
  <c r="Y157" i="8"/>
  <c r="AC157" i="8"/>
  <c r="AA157" i="8"/>
  <c r="AB157" i="8"/>
  <c r="AA8" i="8"/>
  <c r="X8" i="8"/>
  <c r="Y8" i="8"/>
  <c r="Z8" i="8"/>
  <c r="AB8" i="8"/>
  <c r="AC8" i="8"/>
  <c r="AB207" i="8"/>
  <c r="AA207" i="8"/>
  <c r="X207" i="8"/>
  <c r="Y207" i="8"/>
  <c r="Z207" i="8"/>
  <c r="AC207" i="8"/>
  <c r="AB126" i="8"/>
  <c r="AC126" i="8"/>
  <c r="X126" i="8"/>
  <c r="Y126" i="8"/>
  <c r="AA126" i="8"/>
  <c r="Z126" i="8"/>
  <c r="Z201" i="8"/>
  <c r="X201" i="8"/>
  <c r="Y201" i="8"/>
  <c r="AA201" i="8"/>
  <c r="AB201" i="8"/>
  <c r="AC201" i="8"/>
  <c r="X101" i="8"/>
  <c r="Y101" i="8"/>
  <c r="Z101" i="8"/>
  <c r="AA101" i="8"/>
  <c r="AB101" i="8"/>
  <c r="AC101" i="8"/>
  <c r="AA70" i="8"/>
  <c r="X70" i="8"/>
  <c r="AB70" i="8"/>
  <c r="Y70" i="8"/>
  <c r="Z70" i="8"/>
  <c r="AC70" i="8"/>
  <c r="AB190" i="8"/>
  <c r="AA190" i="8"/>
  <c r="X190" i="8"/>
  <c r="Y190" i="8"/>
  <c r="Z190" i="8"/>
  <c r="AC190" i="8"/>
  <c r="Y192" i="8"/>
  <c r="AB192" i="8"/>
  <c r="X192" i="8"/>
  <c r="AA192" i="8"/>
  <c r="Z192" i="8"/>
  <c r="AC192" i="8"/>
  <c r="X187" i="8"/>
  <c r="Y187" i="8"/>
  <c r="Z187" i="8"/>
  <c r="AA187" i="8"/>
  <c r="AB187" i="8"/>
  <c r="AC187" i="8"/>
  <c r="X10" i="8"/>
  <c r="Y10" i="8"/>
  <c r="Z10" i="8"/>
  <c r="AA10" i="8"/>
  <c r="AB10" i="8"/>
  <c r="AC10" i="8"/>
  <c r="X31" i="8"/>
  <c r="Y31" i="8"/>
  <c r="Z31" i="8"/>
  <c r="AA31" i="8"/>
  <c r="AB31" i="8"/>
  <c r="AC31" i="8"/>
  <c r="Z118" i="8"/>
  <c r="X118" i="8"/>
  <c r="Y118" i="8"/>
  <c r="AA118" i="8"/>
  <c r="AB118" i="8"/>
  <c r="AC118" i="8"/>
  <c r="X83" i="8"/>
  <c r="Y83" i="8"/>
  <c r="Z83" i="8"/>
  <c r="AA83" i="8"/>
  <c r="AB83" i="8"/>
  <c r="AC83" i="8"/>
  <c r="X200" i="8"/>
  <c r="Y200" i="8"/>
  <c r="AC200" i="8"/>
  <c r="Z200" i="8"/>
  <c r="AB200" i="8"/>
  <c r="AA200" i="8"/>
  <c r="X185" i="8"/>
  <c r="AB185" i="8"/>
  <c r="Y185" i="8"/>
  <c r="Z185" i="8"/>
  <c r="AA185" i="8"/>
  <c r="AC185" i="8"/>
  <c r="X188" i="8"/>
  <c r="Y188" i="8"/>
  <c r="Z188" i="8"/>
  <c r="AA188" i="8"/>
  <c r="AB188" i="8"/>
  <c r="AC188" i="8"/>
  <c r="X111" i="8"/>
  <c r="Y111" i="8"/>
  <c r="AA111" i="8"/>
  <c r="Z111" i="8"/>
  <c r="AB111" i="8"/>
  <c r="AC111" i="8"/>
  <c r="Z150" i="8"/>
  <c r="Y150" i="8"/>
  <c r="X150" i="8"/>
  <c r="AA150" i="8"/>
  <c r="AB150" i="8"/>
  <c r="AC150" i="8"/>
  <c r="Z90" i="8"/>
  <c r="X90" i="8"/>
  <c r="Y90" i="8"/>
  <c r="AA90" i="8"/>
  <c r="AB90" i="8"/>
  <c r="AC90" i="8"/>
  <c r="AB197" i="8"/>
  <c r="AC197" i="8"/>
  <c r="X197" i="8"/>
  <c r="Y197" i="8"/>
  <c r="Z197" i="8"/>
  <c r="AA197" i="8"/>
  <c r="Z51" i="8"/>
  <c r="X51" i="8"/>
  <c r="Y51" i="8"/>
  <c r="AA51" i="8"/>
  <c r="AB51" i="8"/>
  <c r="AC51" i="8"/>
  <c r="X68" i="8"/>
  <c r="Y68" i="8"/>
  <c r="Z68" i="8"/>
  <c r="AA68" i="8"/>
  <c r="AB68" i="8"/>
  <c r="AC68" i="8"/>
  <c r="Z98" i="8"/>
  <c r="X98" i="8"/>
  <c r="Y98" i="8"/>
  <c r="AA98" i="8"/>
  <c r="AB98" i="8"/>
  <c r="AC98" i="8"/>
  <c r="V70" i="11"/>
  <c r="Z64" i="8"/>
  <c r="X64" i="8"/>
  <c r="Y64" i="8"/>
  <c r="AA64" i="8"/>
  <c r="AB64" i="8"/>
  <c r="AC64" i="8"/>
  <c r="Y89" i="8"/>
  <c r="X89" i="8"/>
  <c r="Z89" i="8"/>
  <c r="AA89" i="8"/>
  <c r="AB89" i="8"/>
  <c r="AC89" i="8"/>
  <c r="X112" i="8"/>
  <c r="Y112" i="8"/>
  <c r="Z112" i="8"/>
  <c r="AA112" i="8"/>
  <c r="AB112" i="8"/>
  <c r="AC112" i="8"/>
  <c r="Z159" i="8"/>
  <c r="X159" i="8"/>
  <c r="Y159" i="8"/>
  <c r="AA159" i="8"/>
  <c r="AB159" i="8"/>
  <c r="AC159" i="8"/>
  <c r="AC75" i="8"/>
  <c r="X75" i="8"/>
  <c r="Y75" i="8"/>
  <c r="Z75" i="8"/>
  <c r="AA75" i="8"/>
  <c r="AB75" i="8"/>
  <c r="X205" i="8"/>
  <c r="Y205" i="8"/>
  <c r="Z205" i="8"/>
  <c r="AA205" i="8"/>
  <c r="AB205" i="8"/>
  <c r="AC205" i="8"/>
  <c r="Z36" i="8"/>
  <c r="AA36" i="8"/>
  <c r="AB36" i="8"/>
  <c r="AC36" i="8"/>
  <c r="X36" i="8"/>
  <c r="Y36" i="8"/>
  <c r="X193" i="8"/>
  <c r="Y193" i="8"/>
  <c r="Z193" i="8"/>
  <c r="AA193" i="8"/>
  <c r="AB193" i="8"/>
  <c r="AC193" i="8"/>
  <c r="R70" i="11"/>
  <c r="Z16" i="8"/>
  <c r="X16" i="8"/>
  <c r="Y16" i="8"/>
  <c r="AA16" i="8"/>
  <c r="AB16" i="8"/>
  <c r="AC16" i="8"/>
  <c r="X50" i="8"/>
  <c r="Y50" i="8"/>
  <c r="Z50" i="8"/>
  <c r="AA50" i="8"/>
  <c r="AB50" i="8"/>
  <c r="AC50" i="8"/>
  <c r="X19" i="8"/>
  <c r="Y19" i="8"/>
  <c r="Z19" i="8"/>
  <c r="AA19" i="8"/>
  <c r="AB19" i="8"/>
  <c r="AC19" i="8"/>
  <c r="X56" i="8"/>
  <c r="AB56" i="8"/>
  <c r="Y56" i="8"/>
  <c r="Z56" i="8"/>
  <c r="AA56" i="8"/>
  <c r="AC56" i="8"/>
  <c r="AB172" i="8"/>
  <c r="X172" i="8"/>
  <c r="AA172" i="8"/>
  <c r="Y172" i="8"/>
  <c r="Z172" i="8"/>
  <c r="AC172" i="8"/>
  <c r="Z189" i="8"/>
  <c r="Y189" i="8"/>
  <c r="X189" i="8"/>
  <c r="AA189" i="8"/>
  <c r="AB189" i="8"/>
  <c r="AC189" i="8"/>
  <c r="X203" i="8"/>
  <c r="Y203" i="8"/>
  <c r="AB203" i="8"/>
  <c r="Z203" i="8"/>
  <c r="AA203" i="8"/>
  <c r="AC203" i="8"/>
  <c r="Z175" i="8"/>
  <c r="X175" i="8"/>
  <c r="Y175" i="8"/>
  <c r="AA175" i="8"/>
  <c r="AB175" i="8"/>
  <c r="AC175" i="8"/>
  <c r="Z88" i="8"/>
  <c r="AA88" i="8"/>
  <c r="AB88" i="8"/>
  <c r="AC88" i="8"/>
  <c r="X88" i="8"/>
  <c r="Y88" i="8"/>
  <c r="X176" i="8"/>
  <c r="Z176" i="8"/>
  <c r="Y176" i="8"/>
  <c r="AB176" i="8"/>
  <c r="AA176" i="8"/>
  <c r="AC176" i="8"/>
  <c r="AC41" i="8"/>
  <c r="X41" i="8"/>
  <c r="Y41" i="8"/>
  <c r="Z41" i="8"/>
  <c r="AA41" i="8"/>
  <c r="AB41" i="8"/>
  <c r="Y82" i="8"/>
  <c r="X82" i="8"/>
  <c r="Z82" i="8"/>
  <c r="AA82" i="8"/>
  <c r="AB82" i="8"/>
  <c r="AC82" i="8"/>
  <c r="Z81" i="8"/>
  <c r="X81" i="8"/>
  <c r="Y81" i="8"/>
  <c r="AA81" i="8"/>
  <c r="AB81" i="8"/>
  <c r="AC81" i="8"/>
  <c r="X96" i="8"/>
  <c r="Y96" i="8"/>
  <c r="Z96" i="8"/>
  <c r="AA96" i="8"/>
  <c r="AB96" i="8"/>
  <c r="AC96" i="8"/>
  <c r="AA155" i="8"/>
  <c r="X155" i="8"/>
  <c r="AB155" i="8"/>
  <c r="Y155" i="8"/>
  <c r="Z155" i="8"/>
  <c r="AC155" i="8"/>
  <c r="X108" i="8"/>
  <c r="AB108" i="8"/>
  <c r="Y108" i="8"/>
  <c r="AC108" i="8"/>
  <c r="Z108" i="8"/>
  <c r="AA108" i="8"/>
  <c r="Q61" i="11"/>
  <c r="X25" i="8"/>
  <c r="AA25" i="8"/>
  <c r="Y25" i="8"/>
  <c r="Z25" i="8"/>
  <c r="AB25" i="8"/>
  <c r="AC25" i="8"/>
  <c r="X195" i="8"/>
  <c r="AA195" i="8"/>
  <c r="Y195" i="8"/>
  <c r="Z195" i="8"/>
  <c r="AC195" i="8"/>
  <c r="AB195" i="8"/>
  <c r="X151" i="8"/>
  <c r="Y151" i="8"/>
  <c r="AB151" i="8"/>
  <c r="Z151" i="8"/>
  <c r="AA151" i="8"/>
  <c r="AC151" i="8"/>
  <c r="AB178" i="8"/>
  <c r="AC178" i="8"/>
  <c r="X178" i="8"/>
  <c r="Y178" i="8"/>
  <c r="Z178" i="8"/>
  <c r="AA178" i="8"/>
  <c r="Z142" i="8"/>
  <c r="X142" i="8"/>
  <c r="Y142" i="8"/>
  <c r="AA142" i="8"/>
  <c r="AB142" i="8"/>
  <c r="AC142" i="8"/>
  <c r="Z69" i="8"/>
  <c r="X69" i="8"/>
  <c r="Y69" i="8"/>
  <c r="AA69" i="8"/>
  <c r="AB69" i="8"/>
  <c r="AC69" i="8"/>
  <c r="X27" i="8"/>
  <c r="Y27" i="8"/>
  <c r="Z27" i="8"/>
  <c r="AA27" i="8"/>
  <c r="AB27" i="8"/>
  <c r="AC27" i="8"/>
  <c r="X148" i="8"/>
  <c r="Y148" i="8"/>
  <c r="Z148" i="8"/>
  <c r="AA148" i="8"/>
  <c r="AB148" i="8"/>
  <c r="AC148" i="8"/>
  <c r="AB76" i="8"/>
  <c r="AC76" i="8"/>
  <c r="X76" i="8"/>
  <c r="Y76" i="8"/>
  <c r="Z76" i="8"/>
  <c r="AA76" i="8"/>
  <c r="S74" i="11"/>
  <c r="Y72" i="8"/>
  <c r="Z72" i="8"/>
  <c r="X72" i="8"/>
  <c r="AA72" i="8"/>
  <c r="AB72" i="8"/>
  <c r="AC72" i="8"/>
  <c r="U39" i="11"/>
  <c r="X121" i="8"/>
  <c r="Y121" i="8"/>
  <c r="Z121" i="8"/>
  <c r="AA121" i="8"/>
  <c r="AB121" i="8"/>
  <c r="AC121" i="8"/>
  <c r="Z105" i="8"/>
  <c r="AA105" i="8"/>
  <c r="AB105" i="8"/>
  <c r="AC105" i="8"/>
  <c r="X105" i="8"/>
  <c r="Y105" i="8"/>
  <c r="AC127" i="8"/>
  <c r="X127" i="8"/>
  <c r="Y127" i="8"/>
  <c r="Z127" i="8"/>
  <c r="AA127" i="8"/>
  <c r="AB127" i="8"/>
  <c r="AB174" i="8"/>
  <c r="X174" i="8"/>
  <c r="Y174" i="8"/>
  <c r="Z174" i="8"/>
  <c r="AA174" i="8"/>
  <c r="AC174" i="8"/>
  <c r="AB61" i="8"/>
  <c r="X61" i="8"/>
  <c r="Y61" i="8"/>
  <c r="Z61" i="8"/>
  <c r="AA61" i="8"/>
  <c r="AC61" i="8"/>
  <c r="X33" i="8"/>
  <c r="Y33" i="8"/>
  <c r="Z33" i="8"/>
  <c r="AA33" i="8"/>
  <c r="AB33" i="8"/>
  <c r="AC33" i="8"/>
  <c r="AB128" i="8"/>
  <c r="AC128" i="8"/>
  <c r="X128" i="8"/>
  <c r="Y128" i="8"/>
  <c r="Z128" i="8"/>
  <c r="AA128" i="8"/>
  <c r="X26" i="8"/>
  <c r="Y26" i="8"/>
  <c r="Z26" i="8"/>
  <c r="AA26" i="8"/>
  <c r="AB26" i="8"/>
  <c r="AC26" i="8"/>
  <c r="X153" i="8"/>
  <c r="Y153" i="8"/>
  <c r="Z153" i="8"/>
  <c r="AA153" i="8"/>
  <c r="AB153" i="8"/>
  <c r="AC153" i="8"/>
  <c r="X86" i="8"/>
  <c r="Z86" i="8"/>
  <c r="Y86" i="8"/>
  <c r="AB86" i="8"/>
  <c r="AA86" i="8"/>
  <c r="AC86" i="8"/>
  <c r="X40" i="8"/>
  <c r="Y40" i="8"/>
  <c r="Z40" i="8"/>
  <c r="AA40" i="8"/>
  <c r="AB40" i="8"/>
  <c r="AC40" i="8"/>
  <c r="X168" i="8"/>
  <c r="AC168" i="8"/>
  <c r="Y168" i="8"/>
  <c r="Z168" i="8"/>
  <c r="AA168" i="8"/>
  <c r="AB168" i="8"/>
  <c r="AB44" i="8"/>
  <c r="X44" i="8"/>
  <c r="Y44" i="8"/>
  <c r="Z44" i="8"/>
  <c r="AA44" i="8"/>
  <c r="AC44" i="8"/>
  <c r="AA87" i="8"/>
  <c r="AB87" i="8"/>
  <c r="X87" i="8"/>
  <c r="Y87" i="8"/>
  <c r="Z87" i="8"/>
  <c r="AC87" i="8"/>
  <c r="Z173" i="8"/>
  <c r="AA173" i="8"/>
  <c r="AB173" i="8"/>
  <c r="AC173" i="8"/>
  <c r="X173" i="8"/>
  <c r="Y173" i="8"/>
  <c r="X136" i="8"/>
  <c r="Z136" i="8"/>
  <c r="Y136" i="8"/>
  <c r="AA136" i="8"/>
  <c r="AB136" i="8"/>
  <c r="AC136" i="8"/>
  <c r="G90" i="11"/>
  <c r="AA95" i="8"/>
  <c r="AB95" i="8"/>
  <c r="X95" i="8"/>
  <c r="Y95" i="8"/>
  <c r="Z95" i="8"/>
  <c r="AC95" i="8"/>
  <c r="X5" i="8"/>
  <c r="Y5" i="8"/>
  <c r="Z5" i="8"/>
  <c r="AA5" i="8"/>
  <c r="AB5" i="8"/>
  <c r="AC5" i="8"/>
  <c r="X45" i="8"/>
  <c r="Y45" i="8"/>
  <c r="Z45" i="8"/>
  <c r="AA45" i="8"/>
  <c r="AB45" i="8"/>
  <c r="AC45" i="8"/>
  <c r="Z166" i="8"/>
  <c r="X166" i="8"/>
  <c r="Y166" i="8"/>
  <c r="AA166" i="8"/>
  <c r="AB166" i="8"/>
  <c r="AC166" i="8"/>
  <c r="Z152" i="8"/>
  <c r="Y152" i="8"/>
  <c r="X152" i="8"/>
  <c r="AA152" i="8"/>
  <c r="AB152" i="8"/>
  <c r="AC152" i="8"/>
  <c r="Z156" i="8"/>
  <c r="AA156" i="8"/>
  <c r="AB156" i="8"/>
  <c r="AC156" i="8"/>
  <c r="X156" i="8"/>
  <c r="Y156" i="8"/>
  <c r="Z209" i="8"/>
  <c r="AA209" i="8"/>
  <c r="AB209" i="8"/>
  <c r="AC209" i="8"/>
  <c r="X209" i="8"/>
  <c r="Y209" i="8"/>
  <c r="X11" i="8"/>
  <c r="Y11" i="8"/>
  <c r="Z11" i="8"/>
  <c r="AA11" i="8"/>
  <c r="AB11" i="8"/>
  <c r="AC11" i="8"/>
  <c r="Y54" i="8"/>
  <c r="X54" i="8"/>
  <c r="Z54" i="8"/>
  <c r="AA54" i="8"/>
  <c r="AB54" i="8"/>
  <c r="AC54" i="8"/>
  <c r="Y99" i="8"/>
  <c r="Z99" i="8"/>
  <c r="X99" i="8"/>
  <c r="AA99" i="8"/>
  <c r="AB99" i="8"/>
  <c r="AC99" i="8"/>
  <c r="Z206" i="8"/>
  <c r="AA206" i="8"/>
  <c r="X206" i="8"/>
  <c r="Y206" i="8"/>
  <c r="AB206" i="8"/>
  <c r="AC206" i="8"/>
  <c r="X165" i="8"/>
  <c r="Y165" i="8"/>
  <c r="Z165" i="8"/>
  <c r="AA165" i="8"/>
  <c r="AC165" i="8"/>
  <c r="AB165" i="8"/>
  <c r="Z146" i="8"/>
  <c r="AB146" i="8"/>
  <c r="X146" i="8"/>
  <c r="Y146" i="8"/>
  <c r="AC146" i="8"/>
  <c r="AA146" i="8"/>
  <c r="X38" i="8"/>
  <c r="Y38" i="8"/>
  <c r="Z38" i="8"/>
  <c r="AA38" i="8"/>
  <c r="AB38" i="8"/>
  <c r="AC38" i="8"/>
  <c r="AB154" i="8"/>
  <c r="Z154" i="8"/>
  <c r="Y154" i="8"/>
  <c r="AA154" i="8"/>
  <c r="X154" i="8"/>
  <c r="AC154" i="8"/>
  <c r="X58" i="8"/>
  <c r="AC58" i="8"/>
  <c r="Y58" i="8"/>
  <c r="Z58" i="8"/>
  <c r="AA58" i="8"/>
  <c r="AB58" i="8"/>
  <c r="X144" i="8"/>
  <c r="AC144" i="8"/>
  <c r="Y144" i="8"/>
  <c r="Z144" i="8"/>
  <c r="AA144" i="8"/>
  <c r="AB144" i="8"/>
  <c r="AB171" i="8"/>
  <c r="AA171" i="8"/>
  <c r="Y171" i="8"/>
  <c r="Z171" i="8"/>
  <c r="X171" i="8"/>
  <c r="AC171" i="8"/>
  <c r="Z29" i="8"/>
  <c r="Y29" i="8"/>
  <c r="X29" i="8"/>
  <c r="AA29" i="8"/>
  <c r="AB29" i="8"/>
  <c r="AC29" i="8"/>
  <c r="X100" i="8"/>
  <c r="Y100" i="8"/>
  <c r="Z100" i="8"/>
  <c r="AA100" i="8"/>
  <c r="AB100" i="8"/>
  <c r="AC100" i="8"/>
  <c r="AB198" i="8"/>
  <c r="X198" i="8"/>
  <c r="Y198" i="8"/>
  <c r="Z198" i="8"/>
  <c r="AC198" i="8"/>
  <c r="AA198" i="8"/>
  <c r="X163" i="8"/>
  <c r="Y163" i="8"/>
  <c r="AA163" i="8"/>
  <c r="AB163" i="8"/>
  <c r="AC163" i="8"/>
  <c r="Z163" i="8"/>
  <c r="AB22" i="8"/>
  <c r="X22" i="8"/>
  <c r="Y22" i="8"/>
  <c r="Z22" i="8"/>
  <c r="AA22" i="8"/>
  <c r="AC22" i="8"/>
  <c r="X80" i="8"/>
  <c r="Y80" i="8"/>
  <c r="Z80" i="8"/>
  <c r="AA80" i="8"/>
  <c r="AB80" i="8"/>
  <c r="AC80" i="8"/>
  <c r="X62" i="8"/>
  <c r="Y62" i="8"/>
  <c r="Z62" i="8"/>
  <c r="AA62" i="8"/>
  <c r="AB62" i="8"/>
  <c r="AC62" i="8"/>
  <c r="AB42" i="8"/>
  <c r="AC42" i="8"/>
  <c r="X42" i="8"/>
  <c r="Y42" i="8"/>
  <c r="Z42" i="8"/>
  <c r="AA42" i="8"/>
  <c r="AB162" i="8"/>
  <c r="AC162" i="8"/>
  <c r="X162" i="8"/>
  <c r="Y162" i="8"/>
  <c r="Z162" i="8"/>
  <c r="AA162" i="8"/>
  <c r="Z71" i="8"/>
  <c r="AA71" i="8"/>
  <c r="AB71" i="8"/>
  <c r="AC71" i="8"/>
  <c r="X71" i="8"/>
  <c r="Y71" i="8"/>
  <c r="AB17" i="8"/>
  <c r="X17" i="8"/>
  <c r="AA17" i="8"/>
  <c r="Y17" i="8"/>
  <c r="Z17" i="8"/>
  <c r="AC17" i="8"/>
  <c r="AB145" i="8"/>
  <c r="AC145" i="8"/>
  <c r="X145" i="8"/>
  <c r="Y145" i="8"/>
  <c r="Z145" i="8"/>
  <c r="AA145" i="8"/>
  <c r="Z184" i="8"/>
  <c r="X184" i="8"/>
  <c r="Y184" i="8"/>
  <c r="AA184" i="8"/>
  <c r="AB184" i="8"/>
  <c r="AC184" i="8"/>
  <c r="Z18" i="8"/>
  <c r="AA18" i="8"/>
  <c r="AB18" i="8"/>
  <c r="AC18" i="8"/>
  <c r="X18" i="8"/>
  <c r="Y18" i="8"/>
  <c r="X97" i="8"/>
  <c r="Y97" i="8"/>
  <c r="Z97" i="8"/>
  <c r="AA97" i="8"/>
  <c r="AC97" i="8"/>
  <c r="AB97" i="8"/>
  <c r="AB7" i="8"/>
  <c r="AC7" i="8"/>
  <c r="X7" i="8"/>
  <c r="Y7" i="8"/>
  <c r="Z7" i="8"/>
  <c r="AA7" i="8"/>
  <c r="AB110" i="8"/>
  <c r="AC110" i="8"/>
  <c r="X110" i="8"/>
  <c r="Y110" i="8"/>
  <c r="Z110" i="8"/>
  <c r="AA110" i="8"/>
  <c r="X117" i="8"/>
  <c r="AC117" i="8"/>
  <c r="Y117" i="8"/>
  <c r="Z117" i="8"/>
  <c r="AA117" i="8"/>
  <c r="AB117" i="8"/>
  <c r="X55" i="8"/>
  <c r="Y55" i="8"/>
  <c r="Z55" i="8"/>
  <c r="AA55" i="8"/>
  <c r="AB55" i="8"/>
  <c r="AC55" i="8"/>
  <c r="AA122" i="8"/>
  <c r="X122" i="8"/>
  <c r="Y122" i="8"/>
  <c r="AB122" i="8"/>
  <c r="Z122" i="8"/>
  <c r="AC122" i="8"/>
  <c r="X181" i="8"/>
  <c r="Y181" i="8"/>
  <c r="Z181" i="8"/>
  <c r="AA181" i="8"/>
  <c r="AB181" i="8"/>
  <c r="AC181" i="8"/>
  <c r="Z199" i="8"/>
  <c r="X199" i="8"/>
  <c r="Y199" i="8"/>
  <c r="AA199" i="8"/>
  <c r="AB199" i="8"/>
  <c r="AC199" i="8"/>
  <c r="X102" i="8"/>
  <c r="Y102" i="8"/>
  <c r="Z102" i="8"/>
  <c r="AA102" i="8"/>
  <c r="AB102" i="8"/>
  <c r="AC102" i="8"/>
  <c r="Z140" i="8"/>
  <c r="AA140" i="8"/>
  <c r="AB140" i="8"/>
  <c r="AC140" i="8"/>
  <c r="X140" i="8"/>
  <c r="Y140" i="8"/>
  <c r="Z103" i="8"/>
  <c r="Y103" i="8"/>
  <c r="X103" i="8"/>
  <c r="AA103" i="8"/>
  <c r="AB103" i="8"/>
  <c r="AC103" i="8"/>
  <c r="X6" i="8"/>
  <c r="Y6" i="8"/>
  <c r="Z6" i="8"/>
  <c r="AA6" i="8"/>
  <c r="AC6" i="8"/>
  <c r="AB6" i="8"/>
  <c r="AB94" i="8"/>
  <c r="AC94" i="8"/>
  <c r="X94" i="8"/>
  <c r="Y94" i="8"/>
  <c r="Z94" i="8"/>
  <c r="AA94" i="8"/>
  <c r="Z12" i="8"/>
  <c r="X12" i="8"/>
  <c r="Y12" i="8"/>
  <c r="AA12" i="8"/>
  <c r="AB12" i="8"/>
  <c r="AC12" i="8"/>
  <c r="X49" i="8"/>
  <c r="Y49" i="8"/>
  <c r="Z49" i="8"/>
  <c r="AA49" i="8"/>
  <c r="AB49" i="8"/>
  <c r="AC49" i="8"/>
  <c r="AC92" i="8"/>
  <c r="X92" i="8"/>
  <c r="Y92" i="8"/>
  <c r="Z92" i="8"/>
  <c r="AA92" i="8"/>
  <c r="AB92" i="8"/>
  <c r="AA204" i="8"/>
  <c r="X204" i="8"/>
  <c r="Y204" i="8"/>
  <c r="Z204" i="8"/>
  <c r="AB204" i="8"/>
  <c r="AC204" i="8"/>
  <c r="X37" i="8"/>
  <c r="Z37" i="8"/>
  <c r="Y37" i="8"/>
  <c r="AA37" i="8"/>
  <c r="AB37" i="8"/>
  <c r="AC37" i="8"/>
  <c r="Z191" i="8"/>
  <c r="AA191" i="8"/>
  <c r="AB191" i="8"/>
  <c r="AC191" i="8"/>
  <c r="X191" i="8"/>
  <c r="Y191" i="8"/>
  <c r="X63" i="8"/>
  <c r="Y63" i="8"/>
  <c r="Z63" i="8"/>
  <c r="AA63" i="8"/>
  <c r="AB63" i="8"/>
  <c r="AC63" i="8"/>
  <c r="G11" i="11"/>
  <c r="AB210" i="8"/>
  <c r="Y210" i="8"/>
  <c r="Z210" i="8"/>
  <c r="AA210" i="8"/>
  <c r="X210" i="8"/>
  <c r="AC210" i="8"/>
  <c r="Y183" i="8"/>
  <c r="Z183" i="8"/>
  <c r="X183" i="8"/>
  <c r="AA183" i="8"/>
  <c r="AB183" i="8"/>
  <c r="AC183" i="8"/>
  <c r="X46" i="8"/>
  <c r="Y46" i="8"/>
  <c r="Z46" i="8"/>
  <c r="AA46" i="8"/>
  <c r="AB46" i="8"/>
  <c r="AC46" i="8"/>
  <c r="X85" i="8"/>
  <c r="Y85" i="8"/>
  <c r="Z85" i="8"/>
  <c r="AA85" i="8"/>
  <c r="AB85" i="8"/>
  <c r="AC85" i="8"/>
  <c r="Y147" i="8"/>
  <c r="X147" i="8"/>
  <c r="Z147" i="8"/>
  <c r="AA147" i="8"/>
  <c r="AB147" i="8"/>
  <c r="AC147" i="8"/>
  <c r="X114" i="8"/>
  <c r="Y114" i="8"/>
  <c r="Z114" i="8"/>
  <c r="AA114" i="8"/>
  <c r="AB114" i="8"/>
  <c r="AC114" i="8"/>
  <c r="Z53" i="8"/>
  <c r="AA53" i="8"/>
  <c r="AB53" i="8"/>
  <c r="AC53" i="8"/>
  <c r="X53" i="8"/>
  <c r="Y53" i="8"/>
  <c r="X48" i="8"/>
  <c r="AC48" i="8"/>
  <c r="Y48" i="8"/>
  <c r="Z48" i="8"/>
  <c r="AA48" i="8"/>
  <c r="AB48" i="8"/>
  <c r="Z107" i="8"/>
  <c r="X107" i="8"/>
  <c r="Y107" i="8"/>
  <c r="AA107" i="8"/>
  <c r="AB107" i="8"/>
  <c r="AC107" i="8"/>
  <c r="X79" i="8"/>
  <c r="Y79" i="8"/>
  <c r="Z79" i="8"/>
  <c r="AB79" i="8"/>
  <c r="AA79" i="8"/>
  <c r="AC79" i="8"/>
  <c r="X143" i="8"/>
  <c r="Y143" i="8"/>
  <c r="AA143" i="8"/>
  <c r="AB143" i="8"/>
  <c r="Z143" i="8"/>
  <c r="AC143" i="8"/>
  <c r="X15" i="8"/>
  <c r="Y15" i="8"/>
  <c r="Z15" i="8"/>
  <c r="AA15" i="8"/>
  <c r="AB15" i="8"/>
  <c r="AC15" i="8"/>
  <c r="X180" i="8"/>
  <c r="Y180" i="8"/>
  <c r="Z180" i="8"/>
  <c r="AB180" i="8"/>
  <c r="AA180" i="8"/>
  <c r="AC180" i="8"/>
  <c r="X84" i="8"/>
  <c r="Z84" i="8"/>
  <c r="Y84" i="8"/>
  <c r="AA84" i="8"/>
  <c r="AB84" i="8"/>
  <c r="AC84" i="8"/>
  <c r="Z125" i="8"/>
  <c r="X125" i="8"/>
  <c r="Y125" i="8"/>
  <c r="AA125" i="8"/>
  <c r="AB125" i="8"/>
  <c r="AC125" i="8"/>
  <c r="X170" i="8"/>
  <c r="Y170" i="8"/>
  <c r="Z170" i="8"/>
  <c r="AA170" i="8"/>
  <c r="AB170" i="8"/>
  <c r="AC170" i="8"/>
  <c r="X120" i="8"/>
  <c r="Y120" i="8"/>
  <c r="Z120" i="8"/>
  <c r="AA120" i="8"/>
  <c r="AB120" i="8"/>
  <c r="AC120" i="8"/>
  <c r="Z179" i="8"/>
  <c r="X179" i="8"/>
  <c r="Y179" i="8"/>
  <c r="AB179" i="8"/>
  <c r="AC179" i="8"/>
  <c r="AA179" i="8"/>
  <c r="X164" i="8"/>
  <c r="Y164" i="8"/>
  <c r="Z164" i="8"/>
  <c r="AA164" i="8"/>
  <c r="AB164" i="8"/>
  <c r="AC164" i="8"/>
  <c r="V59" i="11"/>
  <c r="AA104" i="8"/>
  <c r="X104" i="8"/>
  <c r="Y104" i="8"/>
  <c r="Z104" i="8"/>
  <c r="AB104" i="8"/>
  <c r="AC104" i="8"/>
  <c r="X132" i="8"/>
  <c r="Y132" i="8"/>
  <c r="Z132" i="8"/>
  <c r="AA132" i="8"/>
  <c r="AB132" i="8"/>
  <c r="AC132" i="8"/>
  <c r="X73" i="8"/>
  <c r="Y73" i="8"/>
  <c r="Z73" i="8"/>
  <c r="AA73" i="8"/>
  <c r="AB73" i="8"/>
  <c r="AC73" i="8"/>
  <c r="X169" i="8"/>
  <c r="Z169" i="8"/>
  <c r="Y169" i="8"/>
  <c r="AA169" i="8"/>
  <c r="AB169" i="8"/>
  <c r="AC169" i="8"/>
  <c r="Z124" i="8"/>
  <c r="X124" i="8"/>
  <c r="Y124" i="8"/>
  <c r="AA124" i="8"/>
  <c r="AB124" i="8"/>
  <c r="AC124" i="8"/>
  <c r="X9" i="8"/>
  <c r="Y9" i="8"/>
  <c r="Z9" i="8"/>
  <c r="AA9" i="8"/>
  <c r="AB9" i="8"/>
  <c r="AC9" i="8"/>
  <c r="Z115" i="8"/>
  <c r="X115" i="8"/>
  <c r="Y115" i="8"/>
  <c r="AA115" i="8"/>
  <c r="AB115" i="8"/>
  <c r="AC115" i="8"/>
  <c r="AC160" i="8"/>
  <c r="X160" i="8"/>
  <c r="Y160" i="8"/>
  <c r="Z160" i="8"/>
  <c r="AA160" i="8"/>
  <c r="AB160" i="8"/>
  <c r="Y47" i="8"/>
  <c r="Z47" i="8"/>
  <c r="X47" i="8"/>
  <c r="AA47" i="8"/>
  <c r="AB47" i="8"/>
  <c r="AC47" i="8"/>
  <c r="X78" i="8"/>
  <c r="Y78" i="8"/>
  <c r="AA78" i="8"/>
  <c r="Z78" i="8"/>
  <c r="AB78" i="8"/>
  <c r="AC78" i="8"/>
  <c r="X23" i="8"/>
  <c r="Y23" i="8"/>
  <c r="Z23" i="8"/>
  <c r="AA23" i="8"/>
  <c r="AB23" i="8"/>
  <c r="AC23" i="8"/>
  <c r="X66" i="8"/>
  <c r="Y66" i="8"/>
  <c r="Z66" i="8"/>
  <c r="AA66" i="8"/>
  <c r="AB66" i="8"/>
  <c r="AC66" i="8"/>
  <c r="Z167" i="8"/>
  <c r="Y167" i="8"/>
  <c r="X167" i="8"/>
  <c r="AA167" i="8"/>
  <c r="AB167" i="8"/>
  <c r="AC167" i="8"/>
  <c r="AB139" i="8"/>
  <c r="X139" i="8"/>
  <c r="Y139" i="8"/>
  <c r="AA139" i="8"/>
  <c r="Z139" i="8"/>
  <c r="AC139" i="8"/>
  <c r="Z34" i="8"/>
  <c r="X34" i="8"/>
  <c r="Y34" i="8"/>
  <c r="AA34" i="8"/>
  <c r="AB34" i="8"/>
  <c r="AC34" i="8"/>
  <c r="AA74" i="8"/>
  <c r="X74" i="8"/>
  <c r="Y74" i="8"/>
  <c r="Z74" i="8"/>
  <c r="AB74" i="8"/>
  <c r="AC74" i="8"/>
  <c r="X13" i="8"/>
  <c r="Y13" i="8"/>
  <c r="Z13" i="8"/>
  <c r="AA13" i="8"/>
  <c r="AC13" i="8"/>
  <c r="AB13" i="8"/>
  <c r="S59" i="11"/>
  <c r="Y116" i="8"/>
  <c r="Z116" i="8"/>
  <c r="X116" i="8"/>
  <c r="AA116" i="8"/>
  <c r="AB116" i="8"/>
  <c r="AC116" i="8"/>
  <c r="AA35" i="8"/>
  <c r="X35" i="8"/>
  <c r="Y35" i="8"/>
  <c r="Z35" i="8"/>
  <c r="AB35" i="8"/>
  <c r="AC35" i="8"/>
  <c r="AB59" i="8"/>
  <c r="AC59" i="8"/>
  <c r="X59" i="8"/>
  <c r="Y59" i="8"/>
  <c r="Z59" i="8"/>
  <c r="AA59" i="8"/>
  <c r="Z134" i="8"/>
  <c r="X134" i="8"/>
  <c r="Y134" i="8"/>
  <c r="AA134" i="8"/>
  <c r="AB134" i="8"/>
  <c r="AC134" i="8"/>
  <c r="X67" i="8"/>
  <c r="Y67" i="8"/>
  <c r="Z67" i="8"/>
  <c r="AA67" i="8"/>
  <c r="AB67" i="8"/>
  <c r="AC67" i="8"/>
  <c r="AB138" i="8"/>
  <c r="Y138" i="8"/>
  <c r="Z138" i="8"/>
  <c r="X138" i="8"/>
  <c r="AA138" i="8"/>
  <c r="AC138" i="8"/>
  <c r="X135" i="8"/>
  <c r="Y135" i="8"/>
  <c r="Z135" i="8"/>
  <c r="AA135" i="8"/>
  <c r="AC135" i="8"/>
  <c r="AB135" i="8"/>
  <c r="X21" i="8"/>
  <c r="Y21" i="8"/>
  <c r="Z21" i="8"/>
  <c r="AA21" i="8"/>
  <c r="AB21" i="8"/>
  <c r="AC21" i="8"/>
  <c r="X109" i="8"/>
  <c r="AC109" i="8"/>
  <c r="Y109" i="8"/>
  <c r="Z109" i="8"/>
  <c r="AA109" i="8"/>
  <c r="AB109" i="8"/>
  <c r="X129" i="8"/>
  <c r="Y129" i="8"/>
  <c r="AB129" i="8"/>
  <c r="Z129" i="8"/>
  <c r="AA129" i="8"/>
  <c r="AC129" i="8"/>
  <c r="Z123" i="8"/>
  <c r="AA123" i="8"/>
  <c r="AB123" i="8"/>
  <c r="AC123" i="8"/>
  <c r="X123" i="8"/>
  <c r="Y123" i="8"/>
  <c r="X30" i="8"/>
  <c r="Y30" i="8"/>
  <c r="Z30" i="8"/>
  <c r="AA30" i="8"/>
  <c r="AB30" i="8"/>
  <c r="AC30" i="8"/>
  <c r="AC177" i="8"/>
  <c r="X177" i="8"/>
  <c r="Y177" i="8"/>
  <c r="Z177" i="8"/>
  <c r="AA177" i="8"/>
  <c r="AB177" i="8"/>
  <c r="X137" i="8"/>
  <c r="Y137" i="8"/>
  <c r="Z137" i="8"/>
  <c r="AA137" i="8"/>
  <c r="AB137" i="8"/>
  <c r="AC137" i="8"/>
  <c r="X91" i="8"/>
  <c r="Y91" i="8"/>
  <c r="Z91" i="8"/>
  <c r="AA91" i="8"/>
  <c r="AB91" i="8"/>
  <c r="AC91" i="8"/>
  <c r="X60" i="8"/>
  <c r="Y60" i="8"/>
  <c r="Z60" i="8"/>
  <c r="AA60" i="8"/>
  <c r="AB60" i="8"/>
  <c r="AC60" i="8"/>
  <c r="T58" i="11"/>
  <c r="Q40" i="11"/>
  <c r="Z149" i="8"/>
  <c r="X149" i="8"/>
  <c r="Y149" i="8"/>
  <c r="AA149" i="8"/>
  <c r="AB149" i="8"/>
  <c r="AC149" i="8"/>
  <c r="Z133" i="8"/>
  <c r="X133" i="8"/>
  <c r="Y133" i="8"/>
  <c r="AA133" i="8"/>
  <c r="AB133" i="8"/>
  <c r="AC133" i="8"/>
  <c r="X28" i="8"/>
  <c r="Y28" i="8"/>
  <c r="Z28" i="8"/>
  <c r="AA28" i="8"/>
  <c r="AB28" i="8"/>
  <c r="AC28" i="8"/>
  <c r="X14" i="8"/>
  <c r="Y14" i="8"/>
  <c r="Z14" i="8"/>
  <c r="AA14" i="8"/>
  <c r="AB14" i="8"/>
  <c r="AC14" i="8"/>
  <c r="AB24" i="8"/>
  <c r="AC24" i="8"/>
  <c r="X24" i="8"/>
  <c r="Y24" i="8"/>
  <c r="Z24" i="8"/>
  <c r="AA24" i="8"/>
  <c r="X43" i="8"/>
  <c r="Y43" i="8"/>
  <c r="AB43" i="8"/>
  <c r="Z43" i="8"/>
  <c r="AA43" i="8"/>
  <c r="AC43" i="8"/>
  <c r="X106" i="8"/>
  <c r="Y106" i="8"/>
  <c r="Z106" i="8"/>
  <c r="AA106" i="8"/>
  <c r="AB106" i="8"/>
  <c r="AC106" i="8"/>
  <c r="AC161" i="8"/>
  <c r="X161" i="8"/>
  <c r="Y161" i="8"/>
  <c r="Z161" i="8"/>
  <c r="AA161" i="8"/>
  <c r="AB161" i="8"/>
  <c r="Y141" i="8"/>
  <c r="X141" i="8"/>
  <c r="Z141" i="8"/>
  <c r="AA141" i="8"/>
  <c r="AB141" i="8"/>
  <c r="AC141" i="8"/>
  <c r="AC196" i="8"/>
  <c r="X196" i="8"/>
  <c r="Y196" i="8"/>
  <c r="Z196" i="8"/>
  <c r="AA196" i="8"/>
  <c r="AB196" i="8"/>
  <c r="X3" i="8"/>
  <c r="Y3" i="8"/>
  <c r="Z3" i="8"/>
  <c r="AA3" i="8"/>
  <c r="AB3" i="8"/>
  <c r="AC3" i="8"/>
  <c r="V55" i="11"/>
  <c r="G50" i="11"/>
  <c r="U55" i="11"/>
  <c r="T70" i="11"/>
  <c r="V40" i="11"/>
  <c r="T40" i="11"/>
  <c r="Q74" i="11"/>
  <c r="V74" i="11"/>
  <c r="T74" i="11"/>
  <c r="G66" i="11"/>
  <c r="G87" i="11"/>
  <c r="Q58" i="11"/>
  <c r="V58" i="11"/>
  <c r="U58" i="11"/>
  <c r="G57" i="11"/>
  <c r="G62" i="11"/>
  <c r="G39" i="11"/>
  <c r="G93" i="11"/>
  <c r="G75" i="11"/>
  <c r="G86" i="11"/>
  <c r="G61" i="11"/>
  <c r="G51" i="11"/>
  <c r="G47" i="11"/>
  <c r="G71" i="11"/>
  <c r="G68" i="11"/>
  <c r="G70" i="11"/>
  <c r="G65" i="11"/>
  <c r="G83" i="11"/>
  <c r="G49" i="11"/>
  <c r="G25" i="11"/>
  <c r="G94" i="11"/>
  <c r="A95" i="10" s="1"/>
  <c r="G20" i="11"/>
  <c r="G55" i="11"/>
  <c r="G16" i="11"/>
  <c r="G23" i="11"/>
  <c r="G85" i="11"/>
  <c r="G60" i="11"/>
  <c r="G38" i="11"/>
  <c r="G64" i="11"/>
  <c r="G32" i="11"/>
  <c r="G5" i="11"/>
  <c r="G9" i="11"/>
  <c r="G40" i="11"/>
  <c r="G42" i="11"/>
  <c r="G45" i="11"/>
  <c r="G63" i="11"/>
  <c r="G67" i="11"/>
  <c r="G31" i="11"/>
  <c r="G81" i="11"/>
  <c r="G88" i="11"/>
  <c r="G72" i="11"/>
  <c r="G21" i="11"/>
  <c r="G41" i="11"/>
  <c r="G84" i="11"/>
  <c r="G35" i="11"/>
  <c r="G26" i="11"/>
  <c r="G95" i="11"/>
  <c r="A96" i="10" s="1"/>
  <c r="G52" i="11"/>
  <c r="V6" i="11"/>
  <c r="U6" i="11"/>
  <c r="T6" i="11"/>
  <c r="G46" i="11"/>
  <c r="G10" i="11"/>
  <c r="G27" i="11"/>
  <c r="R6" i="11"/>
  <c r="G24" i="11"/>
  <c r="G76" i="11"/>
  <c r="G48" i="11"/>
  <c r="S58" i="11"/>
  <c r="S73" i="11"/>
  <c r="T73" i="11"/>
  <c r="R73" i="11"/>
  <c r="U73" i="11"/>
  <c r="V73" i="11"/>
  <c r="G36" i="11"/>
  <c r="T59" i="11"/>
  <c r="G8" i="11"/>
  <c r="G7" i="11"/>
  <c r="G19" i="11"/>
  <c r="G82" i="11"/>
  <c r="V16" i="11"/>
  <c r="G59" i="11"/>
  <c r="U16" i="11"/>
  <c r="T16" i="11"/>
  <c r="S16" i="11"/>
  <c r="R16" i="11"/>
  <c r="R59" i="11"/>
  <c r="G40" i="8"/>
  <c r="G66" i="8"/>
  <c r="G201" i="8"/>
  <c r="G198" i="8"/>
  <c r="G117" i="8"/>
  <c r="G175" i="8"/>
  <c r="G195" i="8"/>
  <c r="G19" i="8"/>
  <c r="G160" i="8"/>
  <c r="G152" i="8"/>
  <c r="G43" i="8"/>
  <c r="G131" i="8"/>
  <c r="G177" i="8"/>
  <c r="G156" i="8"/>
  <c r="G105" i="8"/>
  <c r="G83" i="8"/>
  <c r="G74" i="8"/>
  <c r="G5" i="8"/>
  <c r="G163" i="8"/>
  <c r="G81" i="8"/>
  <c r="G50" i="8"/>
  <c r="G109" i="8"/>
  <c r="G129" i="8"/>
  <c r="G77" i="8"/>
  <c r="G137" i="8"/>
  <c r="G96" i="8"/>
  <c r="G27" i="8"/>
  <c r="G150" i="8"/>
  <c r="G13" i="8"/>
  <c r="G59" i="8"/>
  <c r="G134" i="8"/>
  <c r="G56" i="8"/>
  <c r="G67" i="8"/>
  <c r="G45" i="8"/>
  <c r="G106" i="8"/>
  <c r="G190" i="8"/>
  <c r="G55" i="8"/>
  <c r="G127" i="8"/>
  <c r="G174" i="8"/>
  <c r="G24" i="8"/>
  <c r="G141" i="8"/>
  <c r="G8" i="8"/>
  <c r="G31" i="8"/>
  <c r="G200" i="8"/>
  <c r="G188" i="8"/>
  <c r="G113" i="8"/>
  <c r="G209" i="8"/>
  <c r="G16" i="8"/>
  <c r="G7" i="8"/>
  <c r="G186" i="8"/>
  <c r="G104" i="8"/>
  <c r="G79" i="8"/>
  <c r="G90" i="8"/>
  <c r="G38" i="8"/>
  <c r="G207" i="8"/>
  <c r="G192" i="8"/>
  <c r="G139" i="8"/>
  <c r="G143" i="8"/>
  <c r="G115" i="8"/>
  <c r="G94" i="8"/>
  <c r="G64" i="8"/>
  <c r="G72" i="8"/>
  <c r="G26" i="8"/>
  <c r="G147" i="8"/>
  <c r="G11" i="8"/>
  <c r="G54" i="8"/>
  <c r="G180" i="8"/>
  <c r="G121" i="8"/>
  <c r="G126" i="8"/>
  <c r="G171" i="8"/>
  <c r="G29" i="8"/>
  <c r="G49" i="8"/>
  <c r="G211" i="8"/>
  <c r="A213" i="9" s="1"/>
  <c r="G168" i="8"/>
  <c r="G39" i="8"/>
  <c r="G99" i="8"/>
  <c r="G85" i="8"/>
  <c r="G153" i="8"/>
  <c r="G167" i="8"/>
  <c r="G123" i="8"/>
  <c r="G183" i="8"/>
  <c r="G145" i="8"/>
  <c r="G173" i="8"/>
  <c r="G33" i="8"/>
  <c r="G128" i="8"/>
  <c r="G202" i="8"/>
  <c r="G172" i="8"/>
  <c r="G122" i="8"/>
  <c r="G181" i="8"/>
  <c r="G73" i="8"/>
  <c r="G17" i="8"/>
  <c r="G108" i="8"/>
  <c r="G61" i="8"/>
  <c r="G119" i="8"/>
  <c r="G136" i="8"/>
  <c r="G48" i="8"/>
  <c r="G159" i="8"/>
  <c r="G165" i="8"/>
  <c r="G14" i="8"/>
  <c r="G84" i="8"/>
  <c r="G189" i="8"/>
  <c r="G164" i="8"/>
  <c r="G20" i="8"/>
  <c r="G91" i="8"/>
  <c r="G57" i="8"/>
  <c r="G196" i="8"/>
  <c r="G161" i="8"/>
  <c r="G60" i="8"/>
  <c r="G157" i="8"/>
  <c r="G3" i="8"/>
  <c r="G118" i="8"/>
  <c r="G146" i="8"/>
  <c r="G51" i="8"/>
  <c r="G36" i="8"/>
  <c r="G75" i="8"/>
  <c r="G205" i="8"/>
  <c r="G193" i="8"/>
  <c r="G68" i="8"/>
  <c r="G32" i="8"/>
  <c r="G86" i="8"/>
  <c r="G151" i="8"/>
  <c r="G69" i="8"/>
  <c r="G98" i="8"/>
  <c r="G148" i="8"/>
  <c r="G107" i="8"/>
  <c r="G210" i="8"/>
  <c r="G18" i="8"/>
  <c r="G92" i="8"/>
  <c r="G142" i="8"/>
  <c r="G194" i="8"/>
  <c r="G197" i="8"/>
  <c r="G65" i="8"/>
  <c r="G138" i="8"/>
  <c r="G88" i="8"/>
  <c r="G176" i="8"/>
  <c r="G41" i="8"/>
  <c r="G82" i="8"/>
  <c r="G132" i="8"/>
  <c r="G12" i="8"/>
  <c r="G154" i="8"/>
  <c r="G130" i="8"/>
  <c r="G155" i="8"/>
  <c r="G4" i="8"/>
  <c r="G87" i="8"/>
  <c r="G76" i="8"/>
  <c r="G162" i="8"/>
  <c r="G204" i="8"/>
  <c r="G158" i="8"/>
  <c r="G100" i="8"/>
  <c r="G166" i="8"/>
  <c r="G184" i="8"/>
  <c r="G110" i="8"/>
  <c r="G133" i="8"/>
  <c r="G182" i="8"/>
  <c r="G101" i="8"/>
  <c r="G21" i="8"/>
  <c r="G22" i="8"/>
  <c r="G80" i="8"/>
  <c r="G62" i="8"/>
  <c r="G42" i="8"/>
  <c r="G135" i="8"/>
  <c r="G144" i="8"/>
  <c r="G30" i="8"/>
  <c r="G199" i="8"/>
  <c r="G102" i="8"/>
  <c r="G206" i="8"/>
  <c r="G203" i="8"/>
  <c r="G116" i="8"/>
  <c r="G149" i="8"/>
  <c r="G58" i="8"/>
  <c r="G124" i="8"/>
  <c r="G28" i="8"/>
  <c r="G37" i="8"/>
  <c r="G46" i="8"/>
  <c r="G103" i="8"/>
  <c r="G6" i="8"/>
  <c r="G34" i="8"/>
  <c r="G44" i="8"/>
  <c r="G185" i="8"/>
  <c r="G212" i="8"/>
  <c r="A214" i="9" s="1"/>
  <c r="G114" i="8"/>
  <c r="G53" i="8"/>
  <c r="G169" i="8"/>
  <c r="G95" i="8"/>
  <c r="G111" i="8"/>
  <c r="G35" i="8"/>
  <c r="G70" i="8"/>
  <c r="G191" i="8"/>
  <c r="G63" i="8"/>
  <c r="G15" i="8"/>
  <c r="G140" i="8"/>
  <c r="G93" i="8"/>
  <c r="G178" i="8"/>
  <c r="G52" i="8"/>
  <c r="G10" i="8"/>
  <c r="G125" i="8"/>
  <c r="G170" i="8"/>
  <c r="G120" i="8"/>
  <c r="G179" i="8"/>
  <c r="G97" i="8"/>
  <c r="G9" i="8"/>
  <c r="G187" i="8"/>
  <c r="G112" i="8"/>
  <c r="G71" i="8"/>
  <c r="G25" i="8"/>
  <c r="G89" i="8"/>
  <c r="G47" i="8"/>
  <c r="G78" i="8"/>
  <c r="G23" i="8"/>
  <c r="G208" i="8"/>
  <c r="B4" i="9" a="1"/>
  <c r="B4" i="10" a="1"/>
  <c r="A205" i="9" l="1"/>
  <c r="A70" i="10"/>
  <c r="A59" i="10"/>
  <c r="A174" i="9"/>
  <c r="A83" i="9"/>
  <c r="A95" i="9"/>
  <c r="A20" i="10"/>
  <c r="A120" i="9"/>
  <c r="A189" i="9"/>
  <c r="A94" i="9"/>
  <c r="A207" i="9"/>
  <c r="A72" i="10"/>
  <c r="A121" i="9"/>
  <c r="A44" i="10"/>
  <c r="A80" i="9"/>
  <c r="A170" i="9"/>
  <c r="A18" i="10"/>
  <c r="A31" i="10"/>
  <c r="A11" i="9"/>
  <c r="A192" i="9"/>
  <c r="A200" i="9"/>
  <c r="A45" i="10"/>
  <c r="A23" i="9"/>
  <c r="A56" i="9"/>
  <c r="A6" i="9"/>
  <c r="A142" i="9"/>
  <c r="A211" i="9"/>
  <c r="A24" i="10"/>
  <c r="A91" i="9"/>
  <c r="A17" i="9"/>
  <c r="A82" i="9"/>
  <c r="A184" i="9"/>
  <c r="A23" i="10"/>
  <c r="A74" i="10"/>
  <c r="A55" i="10"/>
  <c r="A57" i="10"/>
  <c r="A79" i="10"/>
  <c r="A90" i="10"/>
  <c r="A88" i="10"/>
  <c r="A105" i="9"/>
  <c r="A158" i="9"/>
  <c r="A35" i="10"/>
  <c r="A19" i="10"/>
  <c r="A48" i="9"/>
  <c r="A157" i="9"/>
  <c r="A212" i="9"/>
  <c r="A155" i="9"/>
  <c r="A74" i="9"/>
  <c r="A61" i="9"/>
  <c r="A66" i="9"/>
  <c r="A44" i="9"/>
  <c r="A136" i="9"/>
  <c r="A27" i="10"/>
  <c r="A37" i="9"/>
  <c r="A60" i="9"/>
  <c r="A79" i="9"/>
  <c r="A80" i="10"/>
  <c r="A34" i="10"/>
  <c r="A54" i="10"/>
  <c r="A14" i="10"/>
  <c r="A29" i="10"/>
  <c r="A7" i="10"/>
  <c r="A15" i="10"/>
  <c r="A206" i="9"/>
  <c r="A77" i="9"/>
  <c r="A16" i="10"/>
  <c r="A146" i="9"/>
  <c r="A164" i="9"/>
  <c r="A196" i="9"/>
  <c r="A68" i="9"/>
  <c r="A148" i="9"/>
  <c r="A50" i="9"/>
  <c r="A149" i="9"/>
  <c r="A58" i="9"/>
  <c r="A193" i="9"/>
  <c r="A30" i="9"/>
  <c r="A152" i="9"/>
  <c r="A78" i="10"/>
  <c r="A103" i="9"/>
  <c r="A71" i="9"/>
  <c r="A198" i="9"/>
  <c r="A75" i="9"/>
  <c r="A10" i="9"/>
  <c r="A154" i="9"/>
  <c r="A151" i="9"/>
  <c r="A183" i="9"/>
  <c r="A162" i="9"/>
  <c r="A139" i="9"/>
  <c r="A60" i="10"/>
  <c r="A56" i="10"/>
  <c r="A81" i="10"/>
  <c r="A92" i="10"/>
  <c r="A93" i="10"/>
  <c r="A73" i="9"/>
  <c r="A150" i="9"/>
  <c r="A96" i="9"/>
  <c r="A202" i="9"/>
  <c r="A38" i="10"/>
  <c r="A114" i="9"/>
  <c r="A72" i="9"/>
  <c r="A19" i="9"/>
  <c r="A41" i="9"/>
  <c r="A117" i="9"/>
  <c r="A33" i="9"/>
  <c r="A6" i="10"/>
  <c r="A69" i="10"/>
  <c r="A36" i="10"/>
  <c r="A65" i="10"/>
  <c r="A48" i="10"/>
  <c r="A39" i="10"/>
  <c r="A178" i="9"/>
  <c r="A34" i="9"/>
  <c r="A31" i="9"/>
  <c r="A99" i="9"/>
  <c r="A194" i="9"/>
  <c r="A85" i="10"/>
  <c r="A122" i="9"/>
  <c r="A113" i="9"/>
  <c r="A201" i="9"/>
  <c r="A160" i="9"/>
  <c r="A123" i="9"/>
  <c r="A81" i="9"/>
  <c r="A94" i="10"/>
  <c r="A59" i="9"/>
  <c r="A76" i="10"/>
  <c r="A106" i="9"/>
  <c r="A40" i="10"/>
  <c r="A210" i="9"/>
  <c r="A54" i="9"/>
  <c r="A46" i="9"/>
  <c r="A38" i="9"/>
  <c r="A147" i="9"/>
  <c r="A188" i="9"/>
  <c r="A47" i="9"/>
  <c r="A7" i="9"/>
  <c r="Y2" i="8"/>
  <c r="A25" i="9"/>
  <c r="A180" i="9"/>
  <c r="A36" i="9"/>
  <c r="A137" i="9"/>
  <c r="A78" i="9"/>
  <c r="A144" i="9"/>
  <c r="A53" i="9"/>
  <c r="A161" i="9"/>
  <c r="A13" i="9"/>
  <c r="A9" i="9"/>
  <c r="A69" i="9"/>
  <c r="A76" i="9"/>
  <c r="A4" i="9"/>
  <c r="A30" i="10"/>
  <c r="AC211" i="8"/>
  <c r="AA39" i="8"/>
  <c r="A8" i="9"/>
  <c r="A89" i="9"/>
  <c r="A33" i="10"/>
  <c r="A27" i="9"/>
  <c r="A65" i="9"/>
  <c r="A39" i="9"/>
  <c r="A24" i="9"/>
  <c r="A132" i="9"/>
  <c r="A109" i="9"/>
  <c r="A159" i="9"/>
  <c r="A63" i="9"/>
  <c r="A87" i="9"/>
  <c r="A190" i="9"/>
  <c r="A15" i="9"/>
  <c r="A179" i="9"/>
  <c r="A42" i="10"/>
  <c r="A61" i="10"/>
  <c r="A62" i="10"/>
  <c r="A156" i="9"/>
  <c r="A62" i="9"/>
  <c r="A110" i="9"/>
  <c r="A101" i="9"/>
  <c r="A133" i="9"/>
  <c r="A22" i="10"/>
  <c r="A86" i="10"/>
  <c r="A87" i="10"/>
  <c r="AA20" i="8"/>
  <c r="A134" i="9"/>
  <c r="A145" i="9"/>
  <c r="A97" i="9"/>
  <c r="A118" i="9"/>
  <c r="A112" i="9"/>
  <c r="A43" i="9"/>
  <c r="A88" i="9"/>
  <c r="A93" i="9"/>
  <c r="A124" i="9"/>
  <c r="A51" i="9"/>
  <c r="A26" i="9"/>
  <c r="A21" i="9"/>
  <c r="A8" i="10"/>
  <c r="A11" i="10"/>
  <c r="A32" i="10"/>
  <c r="A21" i="10"/>
  <c r="A63" i="10"/>
  <c r="A13" i="10"/>
  <c r="A186" i="9"/>
  <c r="A58" i="10"/>
  <c r="A181" i="9"/>
  <c r="A171" i="9"/>
  <c r="A131" i="9"/>
  <c r="A208" i="9"/>
  <c r="A90" i="9"/>
  <c r="A70" i="9"/>
  <c r="A40" i="9"/>
  <c r="A111" i="9"/>
  <c r="A64" i="10"/>
  <c r="A26" i="10"/>
  <c r="AC2" i="8"/>
  <c r="Z119" i="8"/>
  <c r="A126" i="9"/>
  <c r="A135" i="9"/>
  <c r="A28" i="10"/>
  <c r="A22" i="9"/>
  <c r="A176" i="9"/>
  <c r="A197" i="9"/>
  <c r="A68" i="10"/>
  <c r="A172" i="9"/>
  <c r="A116" i="9"/>
  <c r="A104" i="9"/>
  <c r="A102" i="9"/>
  <c r="A140" i="9"/>
  <c r="A195" i="9"/>
  <c r="A191" i="9"/>
  <c r="A130" i="9"/>
  <c r="A128" i="9"/>
  <c r="A92" i="9"/>
  <c r="A57" i="9"/>
  <c r="A52" i="9"/>
  <c r="A119" i="9"/>
  <c r="A84" i="9"/>
  <c r="A141" i="9"/>
  <c r="A127" i="9"/>
  <c r="A67" i="9"/>
  <c r="A86" i="9"/>
  <c r="A35" i="9"/>
  <c r="A43" i="10"/>
  <c r="A84" i="10"/>
  <c r="AC93" i="8"/>
  <c r="A12" i="10"/>
  <c r="A91" i="10"/>
  <c r="A75" i="10"/>
  <c r="Y57" i="8"/>
  <c r="A14" i="9"/>
  <c r="A100" i="9"/>
  <c r="A163" i="9"/>
  <c r="A12" i="9"/>
  <c r="A187" i="9"/>
  <c r="A32" i="9"/>
  <c r="A199" i="9"/>
  <c r="A16" i="9"/>
  <c r="A175" i="9"/>
  <c r="A203" i="9"/>
  <c r="A53" i="10"/>
  <c r="A41" i="10"/>
  <c r="A66" i="10"/>
  <c r="Z77" i="8"/>
  <c r="A167" i="9"/>
  <c r="Z194" i="8"/>
  <c r="AB57" i="8"/>
  <c r="AA4" i="8"/>
  <c r="AC77" i="8"/>
  <c r="X211" i="8"/>
  <c r="AA186" i="8"/>
  <c r="Z113" i="8"/>
  <c r="Y211" i="8"/>
  <c r="AC158" i="8"/>
  <c r="B4" i="9"/>
  <c r="B4" i="10"/>
  <c r="AA158" i="8"/>
  <c r="A182" i="9"/>
  <c r="A108" i="9"/>
  <c r="A165" i="9"/>
  <c r="A67" i="10"/>
  <c r="Z2" i="8"/>
  <c r="Y93" i="8"/>
  <c r="AA211" i="8"/>
  <c r="AC57" i="8"/>
  <c r="A52" i="10"/>
  <c r="AA2" i="8"/>
  <c r="Y77" i="8"/>
  <c r="AB130" i="8"/>
  <c r="Z32" i="8"/>
  <c r="A49" i="10"/>
  <c r="AB2" i="8"/>
  <c r="Y194" i="8"/>
  <c r="Z182" i="8"/>
  <c r="AB119" i="8"/>
  <c r="Y186" i="8"/>
  <c r="A125" i="9"/>
  <c r="A18" i="9"/>
  <c r="A85" i="9"/>
  <c r="A77" i="10"/>
  <c r="AC194" i="8"/>
  <c r="Y119" i="8"/>
  <c r="Z20" i="8"/>
  <c r="AB182" i="8"/>
  <c r="A185" i="9"/>
  <c r="A49" i="9"/>
  <c r="A64" i="9"/>
  <c r="A20" i="9"/>
  <c r="A138" i="9"/>
  <c r="A169" i="9"/>
  <c r="A28" i="9"/>
  <c r="A107" i="9"/>
  <c r="A42" i="9"/>
  <c r="A25" i="10"/>
  <c r="A73" i="10"/>
  <c r="AC130" i="8"/>
  <c r="Y39" i="8"/>
  <c r="Z4" i="8"/>
  <c r="AB20" i="8"/>
  <c r="Y130" i="8"/>
  <c r="AA77" i="8"/>
  <c r="A5" i="9"/>
  <c r="A115" i="9"/>
  <c r="A83" i="10"/>
  <c r="A89" i="10"/>
  <c r="A17" i="10"/>
  <c r="AC119" i="8"/>
  <c r="Y113" i="8"/>
  <c r="Z57" i="8"/>
  <c r="AB211" i="8"/>
  <c r="A82" i="10"/>
  <c r="AC39" i="8"/>
  <c r="Y208" i="8"/>
  <c r="Z211" i="8"/>
  <c r="AB93" i="8"/>
  <c r="AC65" i="8"/>
  <c r="Y32" i="8"/>
  <c r="AA93" i="8"/>
  <c r="X93" i="8"/>
  <c r="AA57" i="8"/>
  <c r="X4" i="8"/>
  <c r="A29" i="9"/>
  <c r="A45" i="9"/>
  <c r="A9" i="10"/>
  <c r="A47" i="10"/>
  <c r="AC182" i="8"/>
  <c r="Y20" i="8"/>
  <c r="AA194" i="8"/>
  <c r="X77" i="8"/>
  <c r="A98" i="9"/>
  <c r="AC32" i="8"/>
  <c r="Y4" i="8"/>
  <c r="AA130" i="8"/>
  <c r="X39" i="8"/>
  <c r="A153" i="9"/>
  <c r="A143" i="9"/>
  <c r="A37" i="10"/>
  <c r="A46" i="10"/>
  <c r="A50" i="10"/>
  <c r="A51" i="10"/>
  <c r="AC20" i="8"/>
  <c r="X208" i="8"/>
  <c r="Z208" i="8"/>
  <c r="AC4" i="8"/>
  <c r="Y158" i="8"/>
  <c r="AA65" i="8"/>
  <c r="X20" i="8"/>
  <c r="X57" i="8"/>
  <c r="A209" i="9"/>
  <c r="A55" i="9"/>
  <c r="A168" i="9"/>
  <c r="A166" i="9"/>
  <c r="A204" i="9"/>
  <c r="A173" i="9"/>
  <c r="A129" i="9"/>
  <c r="A177" i="9"/>
  <c r="A10" i="10"/>
  <c r="A71" i="10"/>
  <c r="X2" i="8"/>
  <c r="Z93" i="8"/>
  <c r="Z158" i="8"/>
  <c r="AC186" i="8"/>
  <c r="AB158" i="8"/>
  <c r="X186" i="8"/>
  <c r="AC113" i="8"/>
  <c r="Z130" i="8"/>
  <c r="AB194" i="8"/>
  <c r="AB77" i="8"/>
  <c r="X158" i="8"/>
  <c r="AC208" i="8"/>
  <c r="Y65" i="8"/>
  <c r="Z39" i="8"/>
  <c r="AA119" i="8"/>
  <c r="AB39" i="8"/>
  <c r="X194" i="8"/>
  <c r="AB113" i="8"/>
  <c r="X130" i="8"/>
  <c r="Y182" i="8"/>
  <c r="Z65" i="8"/>
  <c r="AA113" i="8"/>
  <c r="AB65" i="8"/>
  <c r="X119" i="8"/>
  <c r="AA182" i="8"/>
  <c r="AB208" i="8"/>
  <c r="X113" i="8"/>
  <c r="AA208" i="8"/>
  <c r="AB32" i="8"/>
  <c r="X65" i="8"/>
  <c r="Z186" i="8"/>
  <c r="AA32" i="8"/>
  <c r="AB186" i="8"/>
  <c r="X182" i="8"/>
  <c r="AB4" i="8"/>
  <c r="X32" i="8"/>
  <c r="C3" i="11" a="1"/>
  <c r="O3" i="11" a="1"/>
  <c r="L3" i="11" a="1"/>
  <c r="J3" i="11" a="1"/>
  <c r="K3" i="11" a="1"/>
  <c r="M3" i="11" a="1"/>
  <c r="N3" i="11" a="1"/>
  <c r="K3" i="11" l="1"/>
  <c r="J3" i="11"/>
  <c r="L3" i="11"/>
  <c r="M3" i="11"/>
  <c r="N3" i="11"/>
  <c r="O3" i="11"/>
  <c r="C3" i="11"/>
  <c r="F3" i="11" a="1"/>
  <c r="F3" i="11" s="1"/>
  <c r="I3" i="11"/>
  <c r="H3" i="11"/>
  <c r="H4" i="11"/>
  <c r="G4" i="11"/>
  <c r="G3" i="11"/>
  <c r="V75" i="11" l="1"/>
  <c r="V10" i="11"/>
  <c r="V41" i="11"/>
  <c r="V64" i="11"/>
  <c r="V91" i="11"/>
  <c r="V17" i="11"/>
  <c r="V7" i="11"/>
  <c r="V33" i="11"/>
  <c r="U75" i="11"/>
  <c r="U10" i="11"/>
  <c r="U64" i="11"/>
  <c r="U17" i="11"/>
  <c r="U91" i="11"/>
  <c r="U7" i="11"/>
  <c r="U41" i="11"/>
  <c r="U33" i="11"/>
  <c r="T64" i="11"/>
  <c r="T10" i="11"/>
  <c r="T75" i="11"/>
  <c r="T7" i="11"/>
  <c r="T17" i="11"/>
  <c r="T91" i="11"/>
  <c r="T33" i="11"/>
  <c r="T41" i="11"/>
  <c r="S64" i="11"/>
  <c r="S17" i="11"/>
  <c r="S91" i="11"/>
  <c r="S33" i="11"/>
  <c r="S75" i="11"/>
  <c r="S10" i="11"/>
  <c r="S7" i="11"/>
  <c r="S41" i="11"/>
  <c r="Q75" i="11"/>
  <c r="Q64" i="11"/>
  <c r="Q41" i="11"/>
  <c r="Q7" i="11"/>
  <c r="Q10" i="11"/>
  <c r="Q33" i="11"/>
  <c r="Q17" i="11"/>
  <c r="Q91" i="11"/>
  <c r="R64" i="11"/>
  <c r="R91" i="11"/>
  <c r="R33" i="11"/>
  <c r="R17" i="11"/>
  <c r="R10" i="11"/>
  <c r="R75" i="11"/>
  <c r="R7" i="11"/>
  <c r="R41" i="11"/>
  <c r="Y3" i="11" a="1"/>
  <c r="Y3" i="11" s="1"/>
  <c r="V27" i="11"/>
  <c r="V76" i="11"/>
  <c r="V8" i="11"/>
  <c r="V65" i="11"/>
  <c r="V18" i="11"/>
  <c r="V34" i="11"/>
  <c r="V49" i="11"/>
  <c r="V92" i="11"/>
  <c r="V42" i="11"/>
  <c r="V13" i="11"/>
  <c r="V11" i="11"/>
  <c r="U27" i="11"/>
  <c r="U76" i="11"/>
  <c r="U8" i="11"/>
  <c r="U65" i="11"/>
  <c r="U18" i="11"/>
  <c r="U34" i="11"/>
  <c r="U49" i="11"/>
  <c r="U42" i="11"/>
  <c r="U13" i="11"/>
  <c r="U11" i="11"/>
  <c r="U92" i="11"/>
  <c r="T27" i="11"/>
  <c r="T76" i="11"/>
  <c r="T8" i="11"/>
  <c r="T65" i="11"/>
  <c r="T18" i="11"/>
  <c r="T34" i="11"/>
  <c r="T49" i="11"/>
  <c r="T13" i="11"/>
  <c r="T42" i="11"/>
  <c r="T11" i="11"/>
  <c r="T92" i="11"/>
  <c r="S27" i="11"/>
  <c r="S76" i="11"/>
  <c r="S8" i="11"/>
  <c r="S65" i="11"/>
  <c r="S34" i="11"/>
  <c r="S49" i="11"/>
  <c r="S13" i="11"/>
  <c r="S18" i="11"/>
  <c r="S42" i="11"/>
  <c r="S11" i="11"/>
  <c r="S92" i="11"/>
  <c r="Q27" i="11"/>
  <c r="Q76" i="11"/>
  <c r="Q8" i="11"/>
  <c r="Q65" i="11"/>
  <c r="Q34" i="11"/>
  <c r="Q49" i="11"/>
  <c r="Q18" i="11"/>
  <c r="Q42" i="11"/>
  <c r="Q13" i="11"/>
  <c r="Q92" i="11"/>
  <c r="Q11" i="11"/>
  <c r="R27" i="11"/>
  <c r="R76" i="11"/>
  <c r="R8" i="11"/>
  <c r="R65" i="11"/>
  <c r="R34" i="11"/>
  <c r="R49" i="11"/>
  <c r="R18" i="11"/>
  <c r="R42" i="11"/>
  <c r="R13" i="11"/>
  <c r="R92" i="11"/>
  <c r="R11" i="11"/>
  <c r="V77" i="11"/>
  <c r="V93" i="11"/>
  <c r="V35" i="11"/>
  <c r="V84" i="11"/>
  <c r="V43" i="11"/>
  <c r="V50" i="11"/>
  <c r="V28" i="11"/>
  <c r="V66" i="11"/>
  <c r="V19" i="11"/>
  <c r="V23" i="11"/>
  <c r="U77" i="11"/>
  <c r="U93" i="11"/>
  <c r="U35" i="11"/>
  <c r="U66" i="11"/>
  <c r="U84" i="11"/>
  <c r="U50" i="11"/>
  <c r="U28" i="11"/>
  <c r="U23" i="11"/>
  <c r="U19" i="11"/>
  <c r="U43" i="11"/>
  <c r="T19" i="11"/>
  <c r="T35" i="11"/>
  <c r="T93" i="11"/>
  <c r="T84" i="11"/>
  <c r="T50" i="11"/>
  <c r="T28" i="11"/>
  <c r="T66" i="11"/>
  <c r="T23" i="11"/>
  <c r="T43" i="11"/>
  <c r="T77" i="11"/>
  <c r="S19" i="11"/>
  <c r="S35" i="11"/>
  <c r="S93" i="11"/>
  <c r="S84" i="11"/>
  <c r="S50" i="11"/>
  <c r="S28" i="11"/>
  <c r="S66" i="11"/>
  <c r="S23" i="11"/>
  <c r="S43" i="11"/>
  <c r="S77" i="11"/>
  <c r="Q19" i="11"/>
  <c r="Q35" i="11"/>
  <c r="Q93" i="11"/>
  <c r="Q84" i="11"/>
  <c r="Q50" i="11"/>
  <c r="Q28" i="11"/>
  <c r="Q66" i="11"/>
  <c r="Q23" i="11"/>
  <c r="Q43" i="11"/>
  <c r="Q77" i="11"/>
  <c r="R19" i="11"/>
  <c r="R35" i="11"/>
  <c r="R93" i="11"/>
  <c r="R84" i="11"/>
  <c r="R50" i="11"/>
  <c r="R28" i="11"/>
  <c r="R66" i="11"/>
  <c r="R23" i="11"/>
  <c r="R43" i="11"/>
  <c r="R77" i="11"/>
  <c r="V85" i="11"/>
  <c r="V67" i="11"/>
  <c r="V29" i="11"/>
  <c r="V51" i="11"/>
  <c r="V36" i="11"/>
  <c r="V20" i="11"/>
  <c r="V78" i="11"/>
  <c r="V24" i="11"/>
  <c r="V44" i="11"/>
  <c r="V94" i="11"/>
  <c r="V81" i="11"/>
  <c r="V97" i="11"/>
  <c r="U85" i="11"/>
  <c r="U29" i="11"/>
  <c r="U67" i="11"/>
  <c r="U51" i="11"/>
  <c r="U36" i="11"/>
  <c r="U20" i="11"/>
  <c r="U78" i="11"/>
  <c r="U44" i="11"/>
  <c r="U24" i="11"/>
  <c r="U81" i="11"/>
  <c r="U97" i="11"/>
  <c r="U94" i="11"/>
  <c r="T94" i="11"/>
  <c r="T85" i="11"/>
  <c r="T67" i="11"/>
  <c r="T29" i="11"/>
  <c r="T51" i="11"/>
  <c r="T36" i="11"/>
  <c r="T20" i="11"/>
  <c r="T78" i="11"/>
  <c r="T44" i="11"/>
  <c r="T24" i="11"/>
  <c r="T81" i="11"/>
  <c r="T97" i="11"/>
  <c r="S94" i="11"/>
  <c r="S85" i="11"/>
  <c r="S67" i="11"/>
  <c r="S29" i="11"/>
  <c r="S51" i="11"/>
  <c r="S36" i="11"/>
  <c r="S20" i="11"/>
  <c r="S78" i="11"/>
  <c r="S44" i="11"/>
  <c r="S24" i="11"/>
  <c r="S81" i="11"/>
  <c r="S97" i="11"/>
  <c r="Q85" i="11"/>
  <c r="Q29" i="11"/>
  <c r="Q67" i="11"/>
  <c r="Q36" i="11"/>
  <c r="Q20" i="11"/>
  <c r="Q51" i="11"/>
  <c r="Q78" i="11"/>
  <c r="Q44" i="11"/>
  <c r="Q24" i="11"/>
  <c r="Q81" i="11"/>
  <c r="Q97" i="11"/>
  <c r="Q94" i="11"/>
  <c r="R85" i="11"/>
  <c r="R29" i="11"/>
  <c r="R67" i="11"/>
  <c r="R36" i="11"/>
  <c r="R51" i="11"/>
  <c r="R20" i="11"/>
  <c r="R78" i="11"/>
  <c r="R44" i="11"/>
  <c r="R24" i="11"/>
  <c r="R81" i="11"/>
  <c r="R97" i="11"/>
  <c r="R94" i="11"/>
  <c r="V25" i="11"/>
  <c r="V30" i="11"/>
  <c r="V21" i="11"/>
  <c r="V79" i="11"/>
  <c r="V37" i="11"/>
  <c r="V47" i="11"/>
  <c r="V68" i="11"/>
  <c r="V45" i="11"/>
  <c r="V52" i="11"/>
  <c r="V95" i="11"/>
  <c r="V98" i="11"/>
  <c r="V82" i="11"/>
  <c r="V86" i="11"/>
  <c r="U25" i="11"/>
  <c r="U30" i="11"/>
  <c r="U21" i="11"/>
  <c r="U79" i="11"/>
  <c r="U37" i="11"/>
  <c r="U47" i="11"/>
  <c r="U68" i="11"/>
  <c r="U52" i="11"/>
  <c r="U45" i="11"/>
  <c r="U95" i="11"/>
  <c r="U98" i="11"/>
  <c r="U82" i="11"/>
  <c r="U86" i="11"/>
  <c r="T25" i="11"/>
  <c r="T30" i="11"/>
  <c r="T21" i="11"/>
  <c r="T79" i="11"/>
  <c r="T47" i="11"/>
  <c r="T45" i="11"/>
  <c r="T37" i="11"/>
  <c r="T68" i="11"/>
  <c r="T52" i="11"/>
  <c r="T95" i="11"/>
  <c r="T98" i="11"/>
  <c r="T82" i="11"/>
  <c r="T86" i="11"/>
  <c r="S30" i="11"/>
  <c r="S21" i="11"/>
  <c r="S79" i="11"/>
  <c r="S47" i="11"/>
  <c r="S68" i="11"/>
  <c r="S52" i="11"/>
  <c r="S45" i="11"/>
  <c r="S37" i="11"/>
  <c r="S95" i="11"/>
  <c r="S86" i="11"/>
  <c r="S82" i="11"/>
  <c r="S98" i="11"/>
  <c r="S25" i="11"/>
  <c r="Q21" i="11"/>
  <c r="Q47" i="11"/>
  <c r="Q79" i="11"/>
  <c r="Q45" i="11"/>
  <c r="Q37" i="11"/>
  <c r="Q95" i="11"/>
  <c r="Q52" i="11"/>
  <c r="Q68" i="11"/>
  <c r="Q82" i="11"/>
  <c r="Q86" i="11"/>
  <c r="Q98" i="11"/>
  <c r="Q25" i="11"/>
  <c r="Q30" i="11"/>
  <c r="R30" i="11"/>
  <c r="R21" i="11"/>
  <c r="R47" i="11"/>
  <c r="R79" i="11"/>
  <c r="R45" i="11"/>
  <c r="R37" i="11"/>
  <c r="R95" i="11"/>
  <c r="R68" i="11"/>
  <c r="R52" i="11"/>
  <c r="R82" i="11"/>
  <c r="R86" i="11"/>
  <c r="R98" i="11"/>
  <c r="R25" i="11"/>
  <c r="U48" i="11"/>
  <c r="U80" i="11"/>
  <c r="U96" i="11"/>
  <c r="U22" i="11"/>
  <c r="U38" i="11"/>
  <c r="U12" i="11"/>
  <c r="U87" i="11"/>
  <c r="U83" i="11"/>
  <c r="U99" i="11"/>
  <c r="U14" i="11"/>
  <c r="U46" i="11"/>
  <c r="U9" i="11"/>
  <c r="U31" i="11"/>
  <c r="U26" i="11"/>
  <c r="U53" i="11"/>
  <c r="U69" i="11"/>
  <c r="V48" i="11"/>
  <c r="V80" i="11"/>
  <c r="V96" i="11"/>
  <c r="V53" i="11"/>
  <c r="V22" i="11"/>
  <c r="V38" i="11"/>
  <c r="V12" i="11"/>
  <c r="V69" i="11"/>
  <c r="V87" i="11"/>
  <c r="V83" i="11"/>
  <c r="V99" i="11"/>
  <c r="V14" i="11"/>
  <c r="V46" i="11"/>
  <c r="V9" i="11"/>
  <c r="V31" i="11"/>
  <c r="V26" i="11"/>
  <c r="T96" i="11"/>
  <c r="T22" i="11"/>
  <c r="T38" i="11"/>
  <c r="T12" i="11"/>
  <c r="T69" i="11"/>
  <c r="T87" i="11"/>
  <c r="T80" i="11"/>
  <c r="T83" i="11"/>
  <c r="T99" i="11"/>
  <c r="T14" i="11"/>
  <c r="T46" i="11"/>
  <c r="T9" i="11"/>
  <c r="T48" i="11"/>
  <c r="T31" i="11"/>
  <c r="T26" i="11"/>
  <c r="T53" i="11"/>
  <c r="S22" i="11"/>
  <c r="S38" i="11"/>
  <c r="S12" i="11"/>
  <c r="S87" i="11"/>
  <c r="S69" i="11"/>
  <c r="S83" i="11"/>
  <c r="S99" i="11"/>
  <c r="S14" i="11"/>
  <c r="S46" i="11"/>
  <c r="S9" i="11"/>
  <c r="S31" i="11"/>
  <c r="S26" i="11"/>
  <c r="S53" i="11"/>
  <c r="S48" i="11"/>
  <c r="S80" i="11"/>
  <c r="S96" i="11"/>
  <c r="Q4" i="11"/>
  <c r="Q22" i="11"/>
  <c r="Q38" i="11"/>
  <c r="Q87" i="11"/>
  <c r="Q12" i="11"/>
  <c r="Q83" i="11"/>
  <c r="Q99" i="11"/>
  <c r="Q14" i="11"/>
  <c r="Q46" i="11"/>
  <c r="Q9" i="11"/>
  <c r="Q31" i="11"/>
  <c r="Q26" i="11"/>
  <c r="Q96" i="11"/>
  <c r="Q53" i="11"/>
  <c r="Q69" i="11"/>
  <c r="Q48" i="11"/>
  <c r="Q80" i="11"/>
  <c r="R87" i="11"/>
  <c r="R22" i="11"/>
  <c r="R38" i="11"/>
  <c r="R12" i="11"/>
  <c r="R80" i="11"/>
  <c r="R83" i="11"/>
  <c r="R99" i="11"/>
  <c r="R96" i="11"/>
  <c r="R14" i="11"/>
  <c r="R46" i="11"/>
  <c r="R9" i="11"/>
  <c r="R31" i="11"/>
  <c r="R26" i="11"/>
  <c r="R53" i="11"/>
  <c r="R69" i="11"/>
  <c r="R48" i="11"/>
  <c r="U3" i="11"/>
  <c r="U4" i="11"/>
  <c r="V3" i="11"/>
  <c r="V4" i="11"/>
  <c r="S3" i="11"/>
  <c r="S4" i="11"/>
  <c r="T3" i="11"/>
  <c r="T4" i="11"/>
  <c r="R3" i="11"/>
  <c r="R4" i="11"/>
  <c r="Q3" i="11"/>
  <c r="O1" i="11"/>
  <c r="N1" i="11"/>
  <c r="M1" i="11"/>
  <c r="L1" i="11"/>
  <c r="K1" i="11"/>
  <c r="J1" i="11"/>
  <c r="A4" i="10"/>
  <c r="A5" i="10"/>
  <c r="X3" i="11" l="1"/>
  <c r="X8" i="11"/>
  <c r="X9" i="11"/>
  <c r="X14" i="11"/>
  <c r="X15" i="11"/>
  <c r="X4" i="11"/>
  <c r="X10" i="11"/>
  <c r="X18" i="11"/>
  <c r="X19" i="11"/>
  <c r="X11" i="11"/>
  <c r="X16" i="11"/>
  <c r="X17" i="11"/>
  <c r="X6" i="11"/>
  <c r="X7" i="11"/>
  <c r="X12" i="11"/>
  <c r="X13" i="11"/>
  <c r="X5" i="11"/>
  <c r="Z3" i="11" a="1"/>
  <c r="Z3" i="11" s="1"/>
  <c r="Z21" i="11" s="1"/>
  <c r="AA3" i="11" a="1"/>
  <c r="AA3" i="11" s="1"/>
  <c r="AA21" i="11" s="1"/>
  <c r="AB3" i="11" a="1"/>
  <c r="AB3" i="11" s="1"/>
  <c r="AB21" i="11" s="1"/>
  <c r="AE3" i="11" a="1"/>
  <c r="AE3" i="11" s="1"/>
  <c r="AE21" i="11" s="1"/>
  <c r="U1" i="11"/>
  <c r="AD3" i="11" a="1"/>
  <c r="AD3" i="11" s="1"/>
  <c r="AD21" i="11" s="1"/>
  <c r="AC3" i="11" a="1"/>
  <c r="AC3" i="11" s="1"/>
  <c r="AC21" i="11" s="1"/>
  <c r="R1" i="11"/>
  <c r="Q1" i="11"/>
  <c r="T1" i="11"/>
  <c r="S1" i="11"/>
  <c r="V1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<sst xmlns="http://schemas.openxmlformats.org/spreadsheetml/2006/main" count="1845" uniqueCount="469">
  <si>
    <t>UML</t>
  </si>
  <si>
    <t>Mendix</t>
  </si>
  <si>
    <t>Aurea</t>
  </si>
  <si>
    <t>Source</t>
  </si>
  <si>
    <t>https://docs.mendix.com/refguide/domain-model/</t>
  </si>
  <si>
    <t>Platform</t>
  </si>
  <si>
    <t>Functional scope</t>
  </si>
  <si>
    <t>Project stage</t>
  </si>
  <si>
    <t>Keywords</t>
  </si>
  <si>
    <t>https://docs.mendix.com/refguide/pages/</t>
  </si>
  <si>
    <t>https://docs.mendix.com/refguide/nanoflows/</t>
  </si>
  <si>
    <t>Implementation</t>
  </si>
  <si>
    <t>https://docs.mendix.com/refguide/nanoflows/
https://docs.mendix.com/refguide/expressions/</t>
  </si>
  <si>
    <t>https://docs.mendix.com/refguide/application-logic/
https://docs.mendix.com/refguide/resources/</t>
  </si>
  <si>
    <t>Version control</t>
  </si>
  <si>
    <t>https://docs.mendix.com/refguide/version-control/</t>
  </si>
  <si>
    <t>Programming</t>
  </si>
  <si>
    <t>https://docs.mendix.com/refguide/java-programming/
https://docs.mendix.com/refguide/mobile/introduction-to-mobile-technologies/</t>
  </si>
  <si>
    <t>https://docs.mendix.com/refguide/runtime-server/</t>
  </si>
  <si>
    <t>https://docs.mendix.com/refguide/data-storage/</t>
  </si>
  <si>
    <t>https://docs.mendix.com/refguide/mendix-client/</t>
  </si>
  <si>
    <t>Client module installation</t>
  </si>
  <si>
    <t>Database installation</t>
  </si>
  <si>
    <t>Runtime server installation</t>
  </si>
  <si>
    <t>Deployment</t>
  </si>
  <si>
    <t>https://docs.mendix.com/developerportal/deploy/</t>
  </si>
  <si>
    <t>https://docs.mendix.com/howto/front-end/</t>
  </si>
  <si>
    <t>https://docs.mendix.com/howto/data-models/</t>
  </si>
  <si>
    <t>https://docs.mendix.com/howto/extensibility/build-javascript-actions/</t>
  </si>
  <si>
    <t>"Java", "JavaScript", "API"</t>
  </si>
  <si>
    <t>https://docs.mendix.com/refguide/setting-up-data-validation/</t>
  </si>
  <si>
    <t>https://docs.mendix.com/refguide/workflows/
https://docs.mendix.com/refguide/workflow-engine/</t>
  </si>
  <si>
    <t>Database design</t>
  </si>
  <si>
    <t>GUI design and development</t>
  </si>
  <si>
    <t>Data validation development</t>
  </si>
  <si>
    <t>Actions design and development</t>
  </si>
  <si>
    <t>Application logic</t>
  </si>
  <si>
    <t>Validations</t>
  </si>
  <si>
    <t>Workflow model</t>
  </si>
  <si>
    <t>Database model</t>
  </si>
  <si>
    <t>UI model</t>
  </si>
  <si>
    <t>Outsystems</t>
  </si>
  <si>
    <t>https://success.outsystems.com/documentation/</t>
  </si>
  <si>
    <t>https://docs.mendix.com/</t>
  </si>
  <si>
    <t>https://success.outsystems.com/documentation/11/developing_an_application/use_data/data_modeling/entity_relationships/
???</t>
  </si>
  <si>
    <t>Fetching data</t>
  </si>
  <si>
    <t>https://success.outsystems.com/documentation/11/developing_an_application/use_data/query_data/fetch_data_using_human_language/
https://success.outsystems.com/documentation/11/developing_an_application/use_data/query_data/fetch_and_display_data_from_the_database_in_outsystems/
https://success.outsystems.com/documentation/11/developing_an_application/use_data/query_data/sql_queries/</t>
  </si>
  <si>
    <t>https://success.outsystems.com/documentation/11/developing_an_application/design_ui/</t>
  </si>
  <si>
    <t>https://success.outsystems.com/documentation/11/developing_an_application/implement_application_logic/code_mentor_logic_suggestions/
https://success.outsystems.com/documentation/11/reference/outsystems_language/logic/expressions/</t>
  </si>
  <si>
    <t>https://success.outsystems.com/documentation/11/developing_an_application/implement_application_logic/actions_in_reactive_web_and_mobile_apps/
https://success.outsystems.com/documentation/11/developing_an_application/implement_application_logic/actions_in_web_applications/</t>
  </si>
  <si>
    <t>"Custom Process Model"</t>
  </si>
  <si>
    <t>https://success.outsystems.com/documentation/11/developing_an_application/use_processes_bpt/processes/</t>
  </si>
  <si>
    <t>https://success.outsystems.com/documentation/11/extensibility_and_integration/extend_logic_with_your_own_code/</t>
  </si>
  <si>
    <t>https://success.outsystems.com/documentation/11/developing_an_application/design_ui/forms/validate_the_fields_of_a_form/</t>
  </si>
  <si>
    <t>https://success.outsystems.com/documentation/11/developing_an_application/use_processes_bpt/</t>
  </si>
  <si>
    <t>https://success.outsystems.com/documentation/11/managing_the_applications_lifecycle/deploy_applications/</t>
  </si>
  <si>
    <t>https://success.outsystems.com/documentation/11/setup_and_maintain_your_outsystems_infrastructure/setting_up_outsystems/</t>
  </si>
  <si>
    <t>https://success.outsystems.com/documentation/11/setup_and_maintain_your_outsystems_infrastructure/setting_up_outsystems/default_platform_server_and_database_configurations/</t>
  </si>
  <si>
    <t>"Custom Version Control"</t>
  </si>
  <si>
    <t>https://success.outsystems.com/documentation/11/managing_the_applications_lifecycle/deploy_applications/tag_a_version/</t>
  </si>
  <si>
    <t>"Binaries", ".NET Framework"</t>
  </si>
  <si>
    <t>https://success.outsystems.com/documentation/11/developing_an_application/use_data/data_modeling/</t>
  </si>
  <si>
    <t>Zoho Creator</t>
  </si>
  <si>
    <t>https://help.zoho.com/portal/en/kb/creator/developer-guide/</t>
  </si>
  <si>
    <t>https://help.zoho.com/portal/en/kb/creator/developer-guide/pages/snippets/articles/understand-snippets
https://help.zoho.com/portal/en/kb/creator/developer-guide/pages/page-script-and-variables/articles/page-scripts-and-variable#4_Page_scripts_and_variables_in_Creator</t>
  </si>
  <si>
    <t>https://www.zoho.com/deluge/help/
https://help.zoho.com/portal/en/kb/creator/developer-guide/pages/snippets/articles/understand-zml-snippet
https://help.zoho.com/portal/en/kb/creator/developer-guide/application-settings/application-ide/articles/view-and-modify-application-ide</t>
  </si>
  <si>
    <t>https://help.zoho.com/portal/en/kb/creator/developer-guide/application-settings/schema-builder/articles/understand-schema-builder</t>
  </si>
  <si>
    <t>https://help.zoho.com/portal/en/kb/creator/developer-guide/workflows/understand-workflows/articles/understand-workflows</t>
  </si>
  <si>
    <t>https://help.zoho.com/portal/en/kb/creator/developer-guide/workflows</t>
  </si>
  <si>
    <t>https://help.zoho.com/portal/en/kb/creator/developer-guide/microservices</t>
  </si>
  <si>
    <t>https://help.zoho.com/portal/en/kb/creator/developer-guide/forms/understand-forms/articles/form-component
https://help.zoho.com/portal/en/kb/creator/pre-built-apps</t>
  </si>
  <si>
    <t>https://help.zoho.com/portal/en/kb/creator/developer-guide/forms/understand-forms/articles/form-component#45_Types_of_Forms_in_Creator
https://help.zoho.com/portal/en/kb/creator/developer-guide/microservices/datasources/articles/manage-datasources
https://help.zoho.com/portal/en/kb/creator/developer-guide/microservices/understand-connections/articles/create-custom-connector</t>
  </si>
  <si>
    <t>https://help.zoho.com/portal/en/kb/creator/developer-guide/forms/add-and-manage-fields/articles/fields-lookup-relationship-between-forms
https://help.zoho.com/portal/en/kb/creator/developer-guide/application-settings/schema-builder/articles/understand-schema-builder
https://help.zoho.com/portal/en/kb/creator/developer-guide/forms/add-and-manage-fields/articles/understand-fields#Types_of_fields</t>
  </si>
  <si>
    <t>https://help.zoho.com/portal/en/kb/creator/developer-guide/workflows/create-and-manage-on-validation-actions/articles/configure-deluge-script-on-validate-in-form-workflows</t>
  </si>
  <si>
    <t>https://help.zoho.com/portal/en/kb/creator/developer-guide/workflows/create-and-manage-on-user-input-actions/articles/configure-deluge-script-on-user-input-in-form-workflows
https://help.zoho.com/portal/en/kb/creator/developer-guide/reports/customize-report/articles/create-custom-action</t>
  </si>
  <si>
    <t>https://www.zoho.com/creator/help/on-premise/installation.html</t>
  </si>
  <si>
    <t>https://www.zoho.com/creator/help/on-premise/import-app-from-cloud.html</t>
  </si>
  <si>
    <t>https://help.zoho.com/portal/en/kb/creator/developer-guide/environments/articles/version-history</t>
  </si>
  <si>
    <t>"Cloud Computing", "On-Premise", "Application IDE", "Import/Export", "Scripts"</t>
  </si>
  <si>
    <t>MS Power App</t>
  </si>
  <si>
    <t>https://learn.microsoft.com/en-us/power-apps/</t>
  </si>
  <si>
    <t>https://learn.microsoft.com/en-us/power-apps/developer/data-platform/reference/about-entity-reference</t>
  </si>
  <si>
    <t>https://learn.microsoft.com/en-us/power-automate/business-process-flows-overview</t>
  </si>
  <si>
    <t>"Custom Process Model (Business Process Flows)"</t>
  </si>
  <si>
    <t>https://learn.microsoft.com/en-us/power-apps/maker/data-platform/data-platform-intro
https://learn.microsoft.com/en-us/power-apps/maker/data-platform/overview-realtime-workflows</t>
  </si>
  <si>
    <t>https://learn.microsoft.com/en-us/power-platform/admin/environments-overview</t>
  </si>
  <si>
    <t>https://learn.microsoft.com/en-us/power-apps/maker/data-platform/</t>
  </si>
  <si>
    <t>https://learn.microsoft.com/en-us/power-apps/maker/data-platform/data-platform-create-business-rule</t>
  </si>
  <si>
    <t>https://learn.microsoft.com/en-us/dotnet/api/microsoft.crm.sdk?view=dataverse-sdk-latest
https://learn.microsoft.com/en-us/power-apps/developer/component-framework/implementing-controls-using-typescript?tabs=before</t>
  </si>
  <si>
    <t>https://learn.microsoft.com/en-us/power-apps/developer/model-driven-apps/client-scripting</t>
  </si>
  <si>
    <t>https://learn.microsoft.com/en-us/power-apps/maker/canvas-apps/ai-conversations-create-app
https://learn.microsoft.com/en-us/power-apps/maker/canvas-apps/ai-edit-app#whats-supported:~:text=Templatized%20formulas
https://learn.microsoft.com/en-us/power-apps/developer/model-driven-apps/customize-entity-forms</t>
  </si>
  <si>
    <t>https://learn.microsoft.com/en-us/power-apps/maker/model-driven-apps/model-driven-app-overview
https://learn.microsoft.com/en-us/power-apps/maker/canvas-apps/
https://learn.microsoft.com/en-us/power-apps/maker/canvas-apps/create-responsive-layout</t>
  </si>
  <si>
    <t>https://learn.microsoft.com/en-us/power-apps/maker/canvas-apps/git-version-control</t>
  </si>
  <si>
    <t>https://learn.microsoft.com/en-us/power-apps/developer/data-platform/webapi/reference/about?view=dataverse-latest
https://learn.microsoft.com/en-us/power-apps/developer/data-platform/webapi/reference/queryfunctions?view=dataverse-latest
https://learn.microsoft.com/en-us/power-apps/developer/data-platform/work-with-data
https://learn.microsoft.com/en-us/power-apps/maker/canvas-apps/data-platform-create-app-scratch</t>
  </si>
  <si>
    <t>https://learn.microsoft.com/en-us/power-apps/maker/canvas-apps/working-with-formulas
https://learn.microsoft.com/en-us/power-apps/maker/canvas-apps/power-apps-ideas</t>
  </si>
  <si>
    <t>https://learn.microsoft.com/en-us/power-apps/maker/data-platform/overview-realtime-workflows</t>
  </si>
  <si>
    <t>https://learn.microsoft.com/en-us/power-apps/maker/canvas-apps/gateway-reference</t>
  </si>
  <si>
    <t>https://learn.microsoft.com/en-us/power-apps/powerapps-overview</t>
  </si>
  <si>
    <t>https://learn.microsoft.com/en-us/power-apps/limits-and-config</t>
  </si>
  <si>
    <r>
      <rPr>
        <sz val="12"/>
        <rFont val="Calibri"/>
        <family val="2"/>
        <charset val="238"/>
        <scheme val="minor"/>
      </rPr>
      <t>+"Web Browser", +"Mobile App", "Web Services"</t>
    </r>
  </si>
  <si>
    <r>
      <rPr>
        <sz val="12"/>
        <rFont val="Calibri"/>
        <family val="2"/>
        <charset val="238"/>
        <scheme val="minor"/>
      </rPr>
      <t>"On-premises Data Gateway", +"Software as a Service"</t>
    </r>
  </si>
  <si>
    <t>Google AppSheet</t>
  </si>
  <si>
    <t>https://support.google.com/appsheet/topic/11998887</t>
  </si>
  <si>
    <t>https://support.google.com/appsheet/answer/10104707</t>
  </si>
  <si>
    <t>https://support.google.com/appsheet/topic/10104992</t>
  </si>
  <si>
    <t>+"Web Browser", +"Mobile App"</t>
  </si>
  <si>
    <t>+"Embedded Database (Spreadsheets)", "Relational database", "REST API"</t>
  </si>
  <si>
    <t>https://support.google.com/appsheet/answer/10104707
https://support.google.com/appsheet/answer/10106597</t>
  </si>
  <si>
    <t>https://support.google.com/appsheet/topic/10099793
https://support.google.com/appsheet/topic/10099317</t>
  </si>
  <si>
    <t>https://support.google.com/appsheet/topic/10099793
https://support.google.com/appsheet/answer/10099523
https://support.google.com/appsheet/answer/12065898
https://support.google.com/appsheet/answer/10106509</t>
  </si>
  <si>
    <t>https://support.google.com/appsheet/answer/10104707
https://developers.google.com/apps-script/guides/jdbc
https://support.google.com/appsheet/answer/10106309</t>
  </si>
  <si>
    <t>https://www.appsheet.com/templates
https://support.google.com/appsheet/topic/10101309</t>
  </si>
  <si>
    <t>"On-premises Data Gateway (Web Services)", +"Software as a Service", +"App Gallery"</t>
  </si>
  <si>
    <t>https://support.google.com/appsheet/topic/10104993
https://support.google.com/appsheet/answer/10104707
https://support.google.com/appsheet/answer/11510510</t>
  </si>
  <si>
    <t>https://support.google.com/appsheet/topic/11511235
https://support.google.com/appsheet/answer/10107706
https://support.google.com/appsheet/topic/11496219
https://support.google.com/appsheet/topic/11998887</t>
  </si>
  <si>
    <t>https://developers.google.com/apps-script/overview
https://support.google.com/appsheet/answer/11511244
https://support.google.com/appsheet/answer/11445188
https://support.google.com/appsheet/table/10104782
https://support.google.com/appsheet/answer/10104642</t>
  </si>
  <si>
    <t>https://support.google.com/appsheet/topic/10104641</t>
  </si>
  <si>
    <t>https://support.google.com/appsheet/answer/10107949
https://support.google.com/appsheet/answer/10099318</t>
  </si>
  <si>
    <t>https://support.google.com/appsheet/answer/10106772
https://support.google.com/appsheet/topic/10102631
https://support.google.com/appsheet/answer/10106435</t>
  </si>
  <si>
    <t>https://support.google.com/appsheet/answer/10104495</t>
  </si>
  <si>
    <t>+"Cloud Based Environment", "Mobile App"</t>
  </si>
  <si>
    <t>+"BPMN Process Model"</t>
  </si>
  <si>
    <t>|</t>
  </si>
  <si>
    <t>"Domain Model", "Data Structure", "Entity Diagrams", "Association", "One-to-Many", "Many-to-Many", "Denormalization", "XPath"</t>
  </si>
  <si>
    <t>"Boolean Expressions", "Responsive Web Design", "Data Types"</t>
  </si>
  <si>
    <r>
      <rPr>
        <sz val="12"/>
        <rFont val="Calibri"/>
        <family val="2"/>
        <charset val="238"/>
        <scheme val="minor"/>
      </rPr>
      <t>+"View Types", +"UI Branding", +"Conditional Formatting", +"Business Data Types"</t>
    </r>
  </si>
  <si>
    <r>
      <rPr>
        <sz val="12"/>
        <rFont val="Calibri"/>
        <family val="2"/>
        <charset val="238"/>
        <scheme val="minor"/>
      </rPr>
      <t>"Web API (Microsoft Dataverse)", "Types", "Functions", "Actions", "One-to-One", "One-to-Many", "Many-to-Many", +"Business Data Types"</t>
    </r>
  </si>
  <si>
    <t>"Denormalization", "Relational Database", "SQL"</t>
  </si>
  <si>
    <t>"Conditional Expressions", "Boolean Expressions", "Domain Model"</t>
  </si>
  <si>
    <t>"Eclipse", "Java API", "Java", "Emulators Andoid iOS", "PWA", "Native Mobile App"</t>
  </si>
  <si>
    <t>"Relational Database", "File Storage"</t>
  </si>
  <si>
    <t>"HTTPS Server", "API"</t>
  </si>
  <si>
    <t>"Git", "Code Repository Concept"</t>
  </si>
  <si>
    <t>"Relational Database", "SQL"</t>
  </si>
  <si>
    <t>+"Human Language", +"GUI Queries", "SQL Queries"</t>
  </si>
  <si>
    <t>"Conditional Expressions", "Boolean Expressions", "Data Fields"</t>
  </si>
  <si>
    <t>"Relational Database", "file storage"</t>
  </si>
  <si>
    <t>+"Custom Database Model", "Entity Diagrams", "One-to-One", "One-to-Many", "Many-to-Many", +"Business Data Types"</t>
  </si>
  <si>
    <t>"REST API (Custom Connectors)", "OAuth", "URL", "Cloud Services", "Local Storage", +"Integrated Data Sources"</t>
  </si>
  <si>
    <r>
      <t>+"WYSIWYG", "Snippets", "Scripts", "Variables", "IT Data Types", "Programming Functions", "HTML", +"GUI Style Editor"</t>
    </r>
    <r>
      <rPr>
        <sz val="12"/>
        <color rgb="FFFF0000"/>
        <rFont val="Calibri"/>
        <family val="2"/>
        <charset val="238"/>
        <scheme val="minor"/>
      </rPr>
      <t xml:space="preserve"> </t>
    </r>
  </si>
  <si>
    <t>"SAML Authentication", "Email Server (SMTP)", "Proxy server", "SSL Certificates"</t>
  </si>
  <si>
    <t>+"Embedded Database (Postgres)", "Relational Database"</t>
  </si>
  <si>
    <t>"Binaries", "URL Configuration"</t>
  </si>
  <si>
    <r>
      <rPr>
        <sz val="12"/>
        <rFont val="Calibri"/>
        <family val="2"/>
        <charset val="238"/>
        <scheme val="minor"/>
      </rPr>
      <t>"Entity Relationships", +"Predefined Entities",</t>
    </r>
    <r>
      <rPr>
        <sz val="12"/>
        <color rgb="FFFF0000"/>
        <rFont val="Calibri"/>
        <family val="2"/>
        <scheme val="minor"/>
      </rPr>
      <t xml:space="preserve"> </t>
    </r>
    <r>
      <rPr>
        <sz val="12"/>
        <rFont val="Calibri"/>
        <family val="2"/>
        <charset val="238"/>
        <scheme val="minor"/>
      </rPr>
      <t>"One-to-One", "One-to-Many", "Many-to-Many"</t>
    </r>
  </si>
  <si>
    <r>
      <rPr>
        <sz val="12"/>
        <rFont val="Calibri"/>
        <family val="2"/>
        <charset val="238"/>
        <scheme val="minor"/>
      </rPr>
      <t>"Model-driven Apps", +"Screen Templates / Sample Power Apps", "Responsive Web Design"</t>
    </r>
  </si>
  <si>
    <t>"Formulas", "Variables", +"Power Fx - an Open-source programming language for low-code", +"NLP", "Boolean Expressions", "Conditional Expressions"</t>
  </si>
  <si>
    <t>+"Embedded Database (Microsoft Dataverse)", "Relational Database (MS SQL Server)"</t>
  </si>
  <si>
    <t>+"Actions", "Functions", "Expressions", "Events", +"Predefined Process Steps", +"Predefined Tasks", "Formulas", "Variables", "Boolean Expressions", "Conditional Expressions"</t>
  </si>
  <si>
    <t>"Web API", +"Cloud-based Spreadsheets", "SQL Databases". "JDBC", "Data Source Integration"</t>
  </si>
  <si>
    <t>"HTML", "CSS", "SASS (SCSS)", "Themes"</t>
  </si>
  <si>
    <t>".NET", "+Visual Programming", "HTML DOM", "Iteration Statements", "Conditional Expressions"</t>
  </si>
  <si>
    <t>"Scripts (Deluge)", "Boolean Expressions", "Conditional Expressions"</t>
  </si>
  <si>
    <t>"Boolean Expressions", "Conditional Expressions", +"Business Rules (graphical)"</t>
  </si>
  <si>
    <t>+"App templates", +"View Types", +"UI Branding (no HTML/CSS)", "Conditional Expressions", "Expressions", "Functions"</t>
  </si>
  <si>
    <t>"Boolean Expressions", "Conditional Expressions", +"Lookup/Drop-down Data Patterns"</t>
  </si>
  <si>
    <t>"Boolean Expressions", "Conditional Expressions", +"Column Expressions"</t>
  </si>
  <si>
    <t>+"Automations", "Expressions", "Functions", "Conditional Expressions"</t>
  </si>
  <si>
    <t>"Transactions", "JavaScript", "String Functions", "Conditional Expressions", "Arithmetic Expressions", "Boolean Expressions", "Enumerations"</t>
  </si>
  <si>
    <t>"Boolean expressions", "Conditional Expressions"</t>
  </si>
  <si>
    <t>+"AI Assisted Development", "Expressions", "JavaScript", "REST API", "SOAP"</t>
  </si>
  <si>
    <t>"File Storage", "Database Synchronization", "REST API", "SOAP", "WSDL", "Swagger", "Relational Database", "Xpath", "OQL", "Java", "API", "HTTPS Server"</t>
  </si>
  <si>
    <t>"CSS", "Grid", "Style Classes", "Responsive Web Design", "IT Data Types", "Responsive Breakpoints", "Reactive Web App", "Event Propagation", "Master Detail", "Programming Functions", "HTML"</t>
  </si>
  <si>
    <t>Keyword</t>
  </si>
  <si>
    <t>Classification (Generalized keyword)</t>
  </si>
  <si>
    <t>+BPMN Process Model</t>
  </si>
  <si>
    <t>Custom Process Model</t>
  </si>
  <si>
    <t>+Business Data Types</t>
  </si>
  <si>
    <t>+Form-based Data</t>
  </si>
  <si>
    <t>+Item-Detail</t>
  </si>
  <si>
    <t>+Lookup/Drop-down</t>
  </si>
  <si>
    <t>+Predefined Entities</t>
  </si>
  <si>
    <t>Association</t>
  </si>
  <si>
    <t>Conditional Expressions</t>
  </si>
  <si>
    <t>Constraints</t>
  </si>
  <si>
    <t>Data Structure</t>
  </si>
  <si>
    <t>Data Types</t>
  </si>
  <si>
    <t>Denormalization</t>
  </si>
  <si>
    <t>Domain Model</t>
  </si>
  <si>
    <t>Entity Diagrams</t>
  </si>
  <si>
    <t>Entity relationships</t>
  </si>
  <si>
    <t>Enumeration</t>
  </si>
  <si>
    <t>Expressions</t>
  </si>
  <si>
    <t>Foreign Key</t>
  </si>
  <si>
    <t>Indexes</t>
  </si>
  <si>
    <t>Many-to-Many</t>
  </si>
  <si>
    <t>One-to-Many</t>
  </si>
  <si>
    <t>One-to-One</t>
  </si>
  <si>
    <t>XML</t>
  </si>
  <si>
    <t>XPath</t>
  </si>
  <si>
    <t>+App templates</t>
  </si>
  <si>
    <t>+App templates (CUBBE)</t>
  </si>
  <si>
    <t>+Screen Templates</t>
  </si>
  <si>
    <t>+Screen Templates / Sample Power Apps</t>
  </si>
  <si>
    <t>+Screen templates / Zoho - Pre-built Apps</t>
  </si>
  <si>
    <t>+UI Branding (no HTML/CSS)</t>
  </si>
  <si>
    <t>+View Types</t>
  </si>
  <si>
    <t>Boolean Expressions</t>
  </si>
  <si>
    <t>Functions</t>
  </si>
  <si>
    <t>Model-driven Apps</t>
  </si>
  <si>
    <t>Reactive Web App</t>
  </si>
  <si>
    <t>Responsive Web Design</t>
  </si>
  <si>
    <t>Variables</t>
  </si>
  <si>
    <t>+Business Rules (graphical)</t>
  </si>
  <si>
    <t>+Lookup/Drop-down Data Patterns</t>
  </si>
  <si>
    <t>Arithmetic Expressions</t>
  </si>
  <si>
    <t>Enumerations</t>
  </si>
  <si>
    <t>JavaScript</t>
  </si>
  <si>
    <t>Scripts (Deluge)</t>
  </si>
  <si>
    <t>String Functions</t>
  </si>
  <si>
    <t>Transactions</t>
  </si>
  <si>
    <t>+Actions</t>
  </si>
  <si>
    <t>+Graphical actions</t>
  </si>
  <si>
    <t>+NLP</t>
  </si>
  <si>
    <t>+Power Fx - an Open-source programming language for low-code</t>
  </si>
  <si>
    <t>+Predefined Process Steps</t>
  </si>
  <si>
    <t>+Predefined Tasks</t>
  </si>
  <si>
    <t>Activity Diagram</t>
  </si>
  <si>
    <t>Algorithms</t>
  </si>
  <si>
    <t>Control Structures</t>
  </si>
  <si>
    <t>Events</t>
  </si>
  <si>
    <t>Formulas</t>
  </si>
  <si>
    <t>Java</t>
  </si>
  <si>
    <t>Microservices</t>
  </si>
  <si>
    <t>Regular Expressions</t>
  </si>
  <si>
    <t>Sequence Flow</t>
  </si>
  <si>
    <t>SQL/OQL</t>
  </si>
  <si>
    <t>Custom Process Model (AppSheet Automation)</t>
  </si>
  <si>
    <t>Custom Process Model (Business Process Flows)</t>
  </si>
  <si>
    <t>Java API</t>
  </si>
  <si>
    <t>REST API</t>
  </si>
  <si>
    <t>Triggers</t>
  </si>
  <si>
    <t>+Custom Database Model</t>
  </si>
  <si>
    <t>+Lookup Column</t>
  </si>
  <si>
    <t>+Reference Column</t>
  </si>
  <si>
    <t>+References</t>
  </si>
  <si>
    <t>+Slices (Subset od data; columns and actions)</t>
  </si>
  <si>
    <t>Actions</t>
  </si>
  <si>
    <t>Functions (Deep Link)</t>
  </si>
  <si>
    <t>Keys</t>
  </si>
  <si>
    <t>Relational Database</t>
  </si>
  <si>
    <t>Relational Database Concept</t>
  </si>
  <si>
    <t>SQL</t>
  </si>
  <si>
    <t>Types</t>
  </si>
  <si>
    <t>Web API (Microsoft Dataverse)</t>
  </si>
  <si>
    <t>.NET</t>
  </si>
  <si>
    <t>+Cloud-based Spreadsheets</t>
  </si>
  <si>
    <t>+GUI Queries</t>
  </si>
  <si>
    <t>+Human Language</t>
  </si>
  <si>
    <t>+Integrated Data Sources</t>
  </si>
  <si>
    <t>Cloud Services</t>
  </si>
  <si>
    <t>Data Source Integration</t>
  </si>
  <si>
    <t>Local Storage</t>
  </si>
  <si>
    <t>OAuth</t>
  </si>
  <si>
    <t>REST API (Custom Connectors)</t>
  </si>
  <si>
    <t>SDK</t>
  </si>
  <si>
    <t>SQL (Azure SQL Database)</t>
  </si>
  <si>
    <t>SQL Databases. JDBC</t>
  </si>
  <si>
    <t>SQL Queries</t>
  </si>
  <si>
    <t>URL</t>
  </si>
  <si>
    <t>Web API</t>
  </si>
  <si>
    <t>+Conditional Formatting</t>
  </si>
  <si>
    <t xml:space="preserve">+GUI Style Editor </t>
  </si>
  <si>
    <t>+Templatized Formulas</t>
  </si>
  <si>
    <t>+UI Branding</t>
  </si>
  <si>
    <t>+WYSIWYG</t>
  </si>
  <si>
    <t>CSS</t>
  </si>
  <si>
    <t>Event Propagation</t>
  </si>
  <si>
    <t>Grid</t>
  </si>
  <si>
    <t>HTML</t>
  </si>
  <si>
    <t>IT Data Types</t>
  </si>
  <si>
    <t>Master Detail</t>
  </si>
  <si>
    <t>Programming Functions</t>
  </si>
  <si>
    <t>Responsive Breakpoints</t>
  </si>
  <si>
    <t>SASS (SCSS)</t>
  </si>
  <si>
    <t>Scripts</t>
  </si>
  <si>
    <t>Snippets</t>
  </si>
  <si>
    <t>Style Classes</t>
  </si>
  <si>
    <t>Themes</t>
  </si>
  <si>
    <t>+Column Expressions</t>
  </si>
  <si>
    <t>Data Fields</t>
  </si>
  <si>
    <t>+"Built-in Connectors", "REST API", "Scripts (Deluge)", "Expressions", "Conditional Expressions"</t>
  </si>
  <si>
    <t>"API", "JavaScript", "Expressions", "Conditional Expressions", "Object Model"</t>
  </si>
  <si>
    <t>+AI Assisted Development</t>
  </si>
  <si>
    <t>+Automations</t>
  </si>
  <si>
    <t>+Built-in Connectors</t>
  </si>
  <si>
    <t>API</t>
  </si>
  <si>
    <t>Object Model</t>
  </si>
  <si>
    <t>SOAP</t>
  </si>
  <si>
    <t>+Visual Programming</t>
  </si>
  <si>
    <t>CLI (Microsoft Power Platform CLI)</t>
  </si>
  <si>
    <t>Complex Types</t>
  </si>
  <si>
    <t>Eclipse</t>
  </si>
  <si>
    <t>Emulators Andoid iOS</t>
  </si>
  <si>
    <t>Entity Types</t>
  </si>
  <si>
    <t>EnumTypes</t>
  </si>
  <si>
    <t>HTML DOM</t>
  </si>
  <si>
    <t>IDE</t>
  </si>
  <si>
    <t>IDE (Visual Studio Code)</t>
  </si>
  <si>
    <t>Iteration Statements</t>
  </si>
  <si>
    <t>JSON</t>
  </si>
  <si>
    <t>Markup Language</t>
  </si>
  <si>
    <t>Metadata</t>
  </si>
  <si>
    <t>Native Mobile App</t>
  </si>
  <si>
    <t>node.js</t>
  </si>
  <si>
    <t>PWA</t>
  </si>
  <si>
    <t>Query Functions</t>
  </si>
  <si>
    <t>Snippets (ZML)</t>
  </si>
  <si>
    <t>TypeScript</t>
  </si>
  <si>
    <t>Web API (AppSheet API)</t>
  </si>
  <si>
    <t>+Cloud Based Environment</t>
  </si>
  <si>
    <t>Compiler Service</t>
  </si>
  <si>
    <t>Database Synchronization</t>
  </si>
  <si>
    <t>Deployment Controller Service</t>
  </si>
  <si>
    <t>Email Server (SMTP)</t>
  </si>
  <si>
    <t>File Storage</t>
  </si>
  <si>
    <t>HTTPS Server</t>
  </si>
  <si>
    <t>Load Balancing</t>
  </si>
  <si>
    <t>Log Service</t>
  </si>
  <si>
    <t>Mobile App</t>
  </si>
  <si>
    <t>OQL</t>
  </si>
  <si>
    <t>Proxy server</t>
  </si>
  <si>
    <t>SAML Authentication</t>
  </si>
  <si>
    <t>Scheduler Service</t>
  </si>
  <si>
    <t>Shared Libraries</t>
  </si>
  <si>
    <t>SSL Certificates</t>
  </si>
  <si>
    <t>Swagger</t>
  </si>
  <si>
    <t>WSDL</t>
  </si>
  <si>
    <t>Xpath</t>
  </si>
  <si>
    <t>+Embedded Database (Microsoft Dataverse)</t>
  </si>
  <si>
    <t>+Embedded Database (Postgres)</t>
  </si>
  <si>
    <t>+Embedded Database (Spreadsheets)</t>
  </si>
  <si>
    <t>Relational Database (MS SQL Server)</t>
  </si>
  <si>
    <t>.NET Framework</t>
  </si>
  <si>
    <t>+Mobile App</t>
  </si>
  <si>
    <t>+Web Browser</t>
  </si>
  <si>
    <t>Binaries</t>
  </si>
  <si>
    <t>URL Configuration</t>
  </si>
  <si>
    <t>Web Services</t>
  </si>
  <si>
    <t>+App Gallery</t>
  </si>
  <si>
    <t>+Software as a Service</t>
  </si>
  <si>
    <t>Application IDE</t>
  </si>
  <si>
    <t>CI/CD</t>
  </si>
  <si>
    <t>Cloud Computing</t>
  </si>
  <si>
    <t>Docker</t>
  </si>
  <si>
    <t>Import/Export</t>
  </si>
  <si>
    <t>Kubernetes</t>
  </si>
  <si>
    <t>On-Premise</t>
  </si>
  <si>
    <t>On-premises Data Gateway</t>
  </si>
  <si>
    <t>On-premises Data Gateway (Web Services)</t>
  </si>
  <si>
    <t>Code Repository Concept</t>
  </si>
  <si>
    <t>Custom Version Control</t>
  </si>
  <si>
    <t>Git</t>
  </si>
  <si>
    <t>Primary Key</t>
  </si>
  <si>
    <t>XML/XPath</t>
  </si>
  <si>
    <t>+Business Rules</t>
  </si>
  <si>
    <t>+Custom Language</t>
  </si>
  <si>
    <t>"Custom Process Model (AppSheet Automation)", "REST API", "JavaScript", "Conditional Expressions"</t>
  </si>
  <si>
    <t>+Slices</t>
  </si>
  <si>
    <r>
      <rPr>
        <sz val="12"/>
        <rFont val="Calibri"/>
        <family val="2"/>
        <charset val="238"/>
        <scheme val="minor"/>
      </rPr>
      <t>"Relational Database Concept", +"Reference Column", +"Lookup Column", "Keys", "Types", "Expressions (App Formula Expression; Initial Value Expression)", "Functions (Deep Link)", +"References", +"Slices (Subset od data; columns and actions)", +"Business Data Types", "Conditional Expressions"</t>
    </r>
  </si>
  <si>
    <t>Expressions (App Formula Expression; Initial Value Expression)</t>
  </si>
  <si>
    <t>Custom Query Language</t>
  </si>
  <si>
    <t>"Web API (Microsoft Dataverse)", "SDK", ".NET", "SQL (Azure SQL Database)", "Custom Query Language (Power Query M formula)", "Formulas"</t>
  </si>
  <si>
    <t>Custom Query Language (Power Query M formula)</t>
  </si>
  <si>
    <t>+"AI Support (Copilot - Build apps through conversation)", +"Templatized Formulas", "IT Data Types", "Programming Functions", "XML", "JavaScript"</t>
  </si>
  <si>
    <t>+AI Support</t>
  </si>
  <si>
    <t>CSS/SCSS</t>
  </si>
  <si>
    <t>"JavaScript", "Web API (AppSheet API)", "HTML", "JSON", "XML", "Functions", "Boolean Expressions", "Conditional Expressions", "Expressions"</t>
  </si>
  <si>
    <t>"Scripts (Deluge)", "Snippets (ZML)", "HTML", "IDE", "Markup Language", "Boolean Expressions", "Iteration Statements", "Conditional Expressions"</t>
  </si>
  <si>
    <t>CLI</t>
  </si>
  <si>
    <t>Emulators</t>
  </si>
  <si>
    <t>+"Cloud Based Environment"</t>
  </si>
  <si>
    <t>+Embedded Database</t>
  </si>
  <si>
    <t>"Cloud Services", "CI/CD", "Docker", "Kubernetes"</t>
  </si>
  <si>
    <t>Project Stage</t>
  </si>
  <si>
    <t>Project Stage Aggr</t>
  </si>
  <si>
    <t>Keyword Aggr</t>
  </si>
  <si>
    <t>UNION (UNIQUE)</t>
  </si>
  <si>
    <t>.</t>
  </si>
  <si>
    <t>Element</t>
  </si>
  <si>
    <t>begin table</t>
  </si>
  <si>
    <t>caption</t>
  </si>
  <si>
    <t>footnote</t>
  </si>
  <si>
    <t>label</t>
  </si>
  <si>
    <t>* Source: own elaboration.</t>
  </si>
  <si>
    <t>value</t>
  </si>
  <si>
    <t>columns_orientation</t>
  </si>
  <si>
    <t>VHHHHHHHH</t>
  </si>
  <si>
    <t>header_orientation</t>
  </si>
  <si>
    <t>aggregate_columns</t>
  </si>
  <si>
    <t>YYNNNNNNN</t>
  </si>
  <si>
    <t>HHHVVVVVV</t>
  </si>
  <si>
    <t>columns_alignment</t>
  </si>
  <si>
    <t>llllccccc</t>
  </si>
  <si>
    <t>end_table</t>
  </si>
  <si>
    <t>table_range_begin</t>
  </si>
  <si>
    <t>table_range_end</t>
  </si>
  <si>
    <t>row</t>
  </si>
  <si>
    <t>col</t>
  </si>
  <si>
    <t>sheet</t>
  </si>
  <si>
    <t>TABELA_UNIQUE!F1</t>
  </si>
  <si>
    <t>Workflow design and development</t>
  </si>
  <si>
    <t>-</t>
  </si>
  <si>
    <r>
      <rPr>
        <sz val="12"/>
        <rFont val="Calibri"/>
        <family val="2"/>
        <charset val="238"/>
        <scheme val="minor"/>
      </rPr>
      <t>"Entity Relationships", +"Form-based Data", "Entity Diagrams",</t>
    </r>
    <r>
      <rPr>
        <sz val="12"/>
        <color rgb="FFFF0000"/>
        <rFont val="Calibri"/>
        <family val="2"/>
        <scheme val="minor"/>
      </rPr>
      <t xml:space="preserve"> </t>
    </r>
    <r>
      <rPr>
        <sz val="12"/>
        <rFont val="Calibri"/>
        <family val="2"/>
        <charset val="238"/>
        <scheme val="minor"/>
      </rPr>
      <t>"One-to-One", "One-to-Many", "Many-to-Many",</t>
    </r>
    <r>
      <rPr>
        <sz val="12"/>
        <color rgb="FFFF0000"/>
        <rFont val="Calibri"/>
        <family val="2"/>
        <scheme val="minor"/>
      </rPr>
      <t xml:space="preserve"> </t>
    </r>
    <r>
      <rPr>
        <sz val="12"/>
        <rFont val="Calibri"/>
        <family val="2"/>
        <charset val="238"/>
        <scheme val="minor"/>
      </rPr>
      <t>+"Business Data Types"</t>
    </r>
  </si>
  <si>
    <t>"Entity Relationships", "Entity Diagrams", "Primary Key", "Foreign Key", "One-to-One", "One-to-Many", "Many-to-Many", "Indexes", "Data Types"</t>
  </si>
  <si>
    <t>XML/Xpath</t>
  </si>
  <si>
    <t>Functional Scope Aggr</t>
  </si>
  <si>
    <t>Original keywords</t>
  </si>
  <si>
    <t>+Lookup/Drop-down Data Patterns (dictionaries and multi field groups)</t>
  </si>
  <si>
    <t>Scripts (Groovy)</t>
  </si>
  <si>
    <t>+"Business Rules (graphical)", "Boolean Expressions", "Conditional Expressions", +"Lookup/Drop-down Data Patterns (dictionaries and multi field groups)", "Scripts (Groovy)"</t>
  </si>
  <si>
    <t>+"Actions", "Expressions", "Events", "Variables", "Boolean Expressions", "Conditional Expressions", "SQL"</t>
  </si>
  <si>
    <t>"Sequence Flow", "Activity Diagram", "Control Structures", "Algorithms", "Java", "JavaScript", "SQL/OQL", "Regular Expressions", "Variables", "Data Types"</t>
  </si>
  <si>
    <t>+"Graphical actions", "Variables"</t>
  </si>
  <si>
    <t>"Microservices", "Variables"</t>
  </si>
  <si>
    <t>+"BPMN Process Model", "Events", "Triggers", "Java API"</t>
  </si>
  <si>
    <t>+"Screen templates / Zoho - Pre-built Apps", +"Business Data Types", "Variables", "Boolean Expressions", "Conditional Expressions"</t>
  </si>
  <si>
    <t>+"App templates (CUBBE)", +"View Types", "+Business Data Types", "Conditional Expressions", "Expressions", "Variables"</t>
  </si>
  <si>
    <t>+"Screen Templates", "Reactive Web App", +"Business Data Types", "Variables", "Boolean expressions", "Conditional Expressions"</t>
  </si>
  <si>
    <t>"Types", +"References", +"Business Data Types"</t>
  </si>
  <si>
    <t>"SQL", "JDBC", "Data source integration", "Formulas"</t>
  </si>
  <si>
    <t>+AI Support (Copilot - Build apps through conversation)</t>
  </si>
  <si>
    <t>+GUI Style Editor</t>
  </si>
  <si>
    <t>+"Business Rules (graphical)", "Boolean expressions", "Conditional Expressions", "Data fields", "Scripts"</t>
  </si>
  <si>
    <t>"Expressions", "Conditional Expressions", "API", "Scripts"</t>
  </si>
  <si>
    <t>"JavaScript", "HTML", "XML", "Boolean Expressions", "Conditional Expressions", "Expressions"</t>
  </si>
  <si>
    <t>SDK/IDE</t>
  </si>
  <si>
    <t>"Deployment Controller Service", "Scheduler Service", "Compiler Service", "Log Service", "HTTPS Server", "Shared Libraries", "Load Balancing"</t>
  </si>
  <si>
    <t>+"Cloud Based Environment", "Email Server (SMTP)"</t>
  </si>
  <si>
    <t>+Embedded Database (Postgres or Oracle)</t>
  </si>
  <si>
    <t>+"Embedded Database (Postgres or Oracle)", "Relational database"</t>
  </si>
  <si>
    <t>+"Web Browser"</t>
  </si>
  <si>
    <t>+"Software as a Service"</t>
  </si>
  <si>
    <t>"Cloud Computing", "CI/CD", "REST API", "SOAP"</t>
  </si>
  <si>
    <t xml:space="preserve">Project stage &amp; Functional scope &amp; Keywords\TblrNote{1} &amp; \rotatebox[origin=lb]{90}{Mendix} &amp; \rotatebox[origin=lb]{90}{Outsystems} &amp; \rotatebox[origin=lb]{90}{Zoho Creator} &amp; \rotatebox[origin=lb]{90}{MS Power App} &amp; \rotatebox[origin=lb]{90}{Google AppSheet} &amp; \rotatebox[origin=lb]{90}{Aurea LCDP} \\ </t>
  </si>
  <si>
    <t>IT skills (*) and non-IT skills (+) necessary to build applications in individual LCDP platforms, divided into Project stage and Functional scope</t>
  </si>
  <si>
    <t>tab:lcdp_skills</t>
  </si>
  <si>
    <t>caption_short</t>
  </si>
  <si>
    <t>IT and non-IT skills in LCDPs</t>
  </si>
  <si>
    <t>TABELA_UNIQUE!O214</t>
  </si>
  <si>
    <t>row_definitions</t>
  </si>
  <si>
    <t>\end{longtblr}
\end{adjustwidth}</t>
  </si>
  <si>
    <t>Importance</t>
  </si>
  <si>
    <t>"SDK", ".NET", "Web API", "Entity Types", "Functions", "Query Functions", "Complex Types", "EnumTypes", "Metadata", "TypeScript", "IDE (Visual Studio Code)", "node.js", "CLI (Microsoft Power Platform CLI)", "Boolean Expressions", "Iteration Statements", "Conditional Expressions"</t>
  </si>
  <si>
    <t>+"Business Data Types", +"GUI Style Editor", +"WYSIWYG", "XML"</t>
  </si>
  <si>
    <t>Design</t>
  </si>
  <si>
    <t>Development</t>
  </si>
  <si>
    <t>TOTAL</t>
  </si>
  <si>
    <t>https://aurea-bpm.com/documentation/
https://www.tecna.pl/oferta/platforma-aurea</t>
  </si>
  <si>
    <t>https://aurea-bpm.com/documentation/aurea-modeler</t>
  </si>
  <si>
    <t>https://aurea-bpm.com/documentation/data-model</t>
  </si>
  <si>
    <t>https://aurea-bpm.com/documentation/ui-model</t>
  </si>
  <si>
    <t>https://aurea-bpm.com/documentation/validations</t>
  </si>
  <si>
    <t>https://aurea-bpm.com/documentation/aurea-modeler
https://aurea-bpm.com/documentation/aurea-modeler/actions</t>
  </si>
  <si>
    <t>https://aurea-bpm.com/documentation/data-design</t>
  </si>
  <si>
    <t>https://aurea-bpm.com/documentation/uix-design</t>
  </si>
  <si>
    <t>https://aurea-bpm.com/documentation/actions</t>
  </si>
  <si>
    <t>https://aurea-bpm.com/documentation/scripting</t>
  </si>
  <si>
    <t>https://aurea-bpm.com/documentation/configuration</t>
  </si>
  <si>
    <t>https://aurea-bpm.com/documentation/database-installation</t>
  </si>
  <si>
    <t>https://aurea-bpm.com/documentation/app-installation</t>
  </si>
  <si>
    <t>"Xpath", "OQL", "SQL", "Odata"</t>
  </si>
  <si>
    <t>https://www.mendix.com/evaluation-guide/app-capabilities/data-querying-management/</t>
  </si>
  <si>
    <t>"Enumerations", +"Business Data Types", "XML/XPath", +"Form-based Data"</t>
  </si>
  <si>
    <t>"Entity Relationships", +"Item-Detail", +"Lookup/Drop-down", "Expressions", "Enumerations", "Data Types", "Constraints", "Conditional Expressions"</t>
  </si>
  <si>
    <t>CONC generalized keywords and importance</t>
  </si>
  <si>
    <t>CONC generalized keywords</t>
  </si>
  <si>
    <t>CONC keywords</t>
  </si>
  <si>
    <t>https://about.appsheet.com/home/
https://support.google.com/appsheet
https://support.google.com/appsheet#topic=11981018</t>
  </si>
  <si>
    <t>Project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</si>
</sst>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4"/>
      <name val="Calibri"/>
      <family val="2"/>
      <charset val="238"/>
      <scheme val="minor"/>
    </font>
    <font>
      <b/>
      <sz val="15"/>
      <color theme="3"/>
      <name val="Calibri"/>
      <family val="2"/>
      <scheme val="minor"/>
    </font>
    <font>
      <b/>
      <i/>
      <sz val="12"/>
      <color theme="4"/>
      <name val="Calibri"/>
      <family val="2"/>
      <charset val="238"/>
      <scheme val="minor"/>
    </font>
    <font>
      <b/>
      <i/>
      <sz val="12"/>
      <color theme="9"/>
      <name val="Calibri"/>
      <family val="2"/>
      <scheme val="minor"/>
    </font>
    <font>
      <i/>
      <sz val="12"/>
      <color theme="9"/>
      <name val="Calibri"/>
      <family val="2"/>
      <scheme val="minor"/>
    </font>
    <font>
      <sz val="12"/>
      <color theme="9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12" fillId="0" borderId="2" applyNumberFormat="0" applyFill="0" applyAlignment="0" applyProtection="0"/>
  </cellStyleXfs>
  <cellXfs count="4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/>
    <xf numFmtId="0" fontId="3" fillId="3" borderId="0" xfId="3"/>
    <xf numFmtId="0" fontId="0" fillId="0" borderId="0" xfId="0" quotePrefix="1"/>
    <xf numFmtId="0" fontId="4" fillId="0" borderId="0" xfId="1" applyAlignment="1"/>
    <xf numFmtId="0" fontId="9" fillId="0" borderId="0" xfId="0" applyFont="1"/>
    <xf numFmtId="0" fontId="3" fillId="2" borderId="0" xfId="2" applyAlignment="1"/>
    <xf numFmtId="0" fontId="3" fillId="3" borderId="0" xfId="3" applyAlignment="1"/>
    <xf numFmtId="0" fontId="8" fillId="0" borderId="0" xfId="0" applyFont="1"/>
    <xf numFmtId="0" fontId="10" fillId="0" borderId="0" xfId="0" applyFont="1"/>
    <xf numFmtId="0" fontId="7" fillId="0" borderId="0" xfId="0" applyFont="1"/>
    <xf numFmtId="0" fontId="8" fillId="0" borderId="0" xfId="0" quotePrefix="1" applyFont="1"/>
    <xf numFmtId="0" fontId="10" fillId="0" borderId="0" xfId="0" quotePrefix="1" applyFont="1"/>
    <xf numFmtId="0" fontId="6" fillId="2" borderId="0" xfId="2" applyFont="1" applyAlignment="1"/>
    <xf numFmtId="0" fontId="7" fillId="0" borderId="0" xfId="0" quotePrefix="1" applyFont="1"/>
    <xf numFmtId="0" fontId="4" fillId="2" borderId="0" xfId="1" applyFill="1" applyAlignment="1"/>
    <xf numFmtId="0" fontId="11" fillId="0" borderId="0" xfId="0" applyFont="1"/>
    <xf numFmtId="0" fontId="2" fillId="2" borderId="0" xfId="2" quotePrefix="1" applyFont="1" applyAlignment="1"/>
    <xf numFmtId="0" fontId="5" fillId="0" borderId="0" xfId="0" applyFont="1" applyAlignment="1">
      <alignment wrapText="1"/>
    </xf>
    <xf numFmtId="0" fontId="5" fillId="0" borderId="1" xfId="0" applyFont="1" applyBorder="1"/>
    <xf numFmtId="0" fontId="0" fillId="0" borderId="1" xfId="0" applyBorder="1"/>
    <xf numFmtId="0" fontId="0" fillId="0" borderId="1" xfId="0" quotePrefix="1" applyBorder="1"/>
    <xf numFmtId="0" fontId="11" fillId="0" borderId="1" xfId="0" applyFont="1" applyBorder="1"/>
    <xf numFmtId="0" fontId="12" fillId="0" borderId="2" xfId="4"/>
    <xf numFmtId="0" fontId="13" fillId="0" borderId="0" xfId="0" applyFont="1"/>
    <xf numFmtId="0" fontId="13" fillId="0" borderId="1" xfId="0" applyFont="1" applyBorder="1"/>
    <xf numFmtId="0" fontId="0" fillId="0" borderId="0" xfId="0" applyAlignment="1">
      <alignment vertical="top"/>
    </xf>
    <xf numFmtId="0" fontId="14" fillId="0" borderId="0" xfId="0" applyFont="1"/>
    <xf numFmtId="0" fontId="14" fillId="0" borderId="0" xfId="0" applyFont="1" applyAlignment="1">
      <alignment horizontal="center" textRotation="90"/>
    </xf>
    <xf numFmtId="0" fontId="15" fillId="0" borderId="0" xfId="0" applyFont="1"/>
    <xf numFmtId="0" fontId="16" fillId="0" borderId="0" xfId="0" applyFont="1" applyAlignment="1">
      <alignment horizontal="center"/>
    </xf>
    <xf numFmtId="0" fontId="1" fillId="3" borderId="0" xfId="3" quotePrefix="1" applyFont="1"/>
    <xf numFmtId="0" fontId="17" fillId="0" borderId="0" xfId="0" applyFont="1"/>
    <xf numFmtId="0" fontId="18" fillId="0" borderId="0" xfId="0" applyFont="1"/>
    <xf numFmtId="0" fontId="3" fillId="0" borderId="0" xfId="2" applyFill="1" applyAlignment="1"/>
    <xf numFmtId="0" fontId="0" fillId="0" borderId="3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4" xfId="0" applyBorder="1" applyAlignment="1">
      <alignment horizontal="center"/>
    </xf>
  </cellXfs>
  <cellStyles count="5">
    <cellStyle name="20% - Accent3" xfId="2" builtinId="38"/>
    <cellStyle name="60% - Accent3" xfId="3" builtinId="40"/>
    <cellStyle name="Heading 1" xfId="4" builtinId="16"/>
    <cellStyle name="Hyperlink" xfId="1" builtinId="8"/>
    <cellStyle name="Normal" xfId="0" builtinId="0"/>
  </cellStyles>
  <dxfs count="7">
    <dxf>
      <font>
        <i/>
        <color theme="4"/>
        <charset val="238"/>
      </font>
      <numFmt numFmtId="0" formatCode="General"/>
    </dxf>
    <dxf>
      <font>
        <i/>
        <strike val="0"/>
        <outline val="0"/>
        <shadow val="0"/>
        <u val="none"/>
        <vertAlign val="baseline"/>
        <sz val="12"/>
        <color theme="4"/>
        <name val="Calibri"/>
        <family val="2"/>
        <charset val="238"/>
        <scheme val="minor"/>
      </font>
      <numFmt numFmtId="0" formatCode="General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4"/>
        <name val="Calibri"/>
        <family val="2"/>
        <charset val="238"/>
        <scheme val="minor"/>
      </font>
      <numFmt numFmtId="0" formatCode="General"/>
    </dxf>
    <dxf>
      <font>
        <i/>
        <strike val="0"/>
        <outline val="0"/>
        <shadow val="0"/>
        <u val="none"/>
        <vertAlign val="baseline"/>
        <sz val="12"/>
        <color theme="4"/>
        <name val="Calibri"/>
        <family val="2"/>
        <charset val="238"/>
        <scheme val="minor"/>
      </font>
      <numFmt numFmtId="0" formatCode="General"/>
    </dxf>
    <dxf>
      <font>
        <i/>
        <strike val="0"/>
        <outline val="0"/>
        <shadow val="0"/>
        <u val="none"/>
        <vertAlign val="baseline"/>
        <sz val="12"/>
        <color theme="4"/>
        <name val="Calibri"/>
        <family val="2"/>
        <charset val="238"/>
        <scheme val="minor"/>
      </font>
    </dxf>
    <dxf>
      <font>
        <i/>
        <color theme="4"/>
        <charset val="238"/>
      </font>
      <numFmt numFmtId="0" formatCode="General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TABELA_UNIQUE_IMPORTANT!$Y$3</c:f>
              <c:strCache>
                <c:ptCount val="1"/>
                <c:pt idx="0">
                  <c:v>Database model</c:v>
                </c:pt>
              </c:strCache>
            </c:strRef>
          </c:tx>
          <c:spPr>
            <a:solidFill>
              <a:schemeClr val="accent3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TABELA_UNIQUE_IMPORTANT!$Z$2:$AE$2</c:f>
              <c:strCache>
                <c:ptCount val="6"/>
                <c:pt idx="0">
                  <c:v>Mendix</c:v>
                </c:pt>
                <c:pt idx="1">
                  <c:v>Outsystems</c:v>
                </c:pt>
                <c:pt idx="2">
                  <c:v>Zoho Creator</c:v>
                </c:pt>
                <c:pt idx="3">
                  <c:v>MS Power App</c:v>
                </c:pt>
                <c:pt idx="4">
                  <c:v>Google AppSheet</c:v>
                </c:pt>
                <c:pt idx="5">
                  <c:v>Aurea</c:v>
                </c:pt>
              </c:strCache>
            </c:strRef>
          </c:cat>
          <c:val>
            <c:numRef>
              <c:f>TABELA_UNIQUE_IMPORTANT!$Z$3:$AE$3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F-44E5-ADBF-ACC576B5ECBE}"/>
            </c:ext>
          </c:extLst>
        </c:ser>
        <c:ser>
          <c:idx val="1"/>
          <c:order val="1"/>
          <c:tx>
            <c:strRef>
              <c:f>TABELA_UNIQUE_IMPORTANT!$Y$4</c:f>
              <c:strCache>
                <c:ptCount val="1"/>
                <c:pt idx="0">
                  <c:v>UI model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TABELA_UNIQUE_IMPORTANT!$Z$2:$AE$2</c:f>
              <c:strCache>
                <c:ptCount val="6"/>
                <c:pt idx="0">
                  <c:v>Mendix</c:v>
                </c:pt>
                <c:pt idx="1">
                  <c:v>Outsystems</c:v>
                </c:pt>
                <c:pt idx="2">
                  <c:v>Zoho Creator</c:v>
                </c:pt>
                <c:pt idx="3">
                  <c:v>MS Power App</c:v>
                </c:pt>
                <c:pt idx="4">
                  <c:v>Google AppSheet</c:v>
                </c:pt>
                <c:pt idx="5">
                  <c:v>Aurea</c:v>
                </c:pt>
              </c:strCache>
            </c:strRef>
          </c:cat>
          <c:val>
            <c:numRef>
              <c:f>TABELA_UNIQUE_IMPORTANT!$Z$4:$AE$4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BF-44E5-ADBF-ACC576B5ECBE}"/>
            </c:ext>
          </c:extLst>
        </c:ser>
        <c:ser>
          <c:idx val="2"/>
          <c:order val="2"/>
          <c:tx>
            <c:strRef>
              <c:f>TABELA_UNIQUE_IMPORTANT!$Y$5</c:f>
              <c:strCache>
                <c:ptCount val="1"/>
                <c:pt idx="0">
                  <c:v>Validations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TABELA_UNIQUE_IMPORTANT!$Z$2:$AE$2</c:f>
              <c:strCache>
                <c:ptCount val="6"/>
                <c:pt idx="0">
                  <c:v>Mendix</c:v>
                </c:pt>
                <c:pt idx="1">
                  <c:v>Outsystems</c:v>
                </c:pt>
                <c:pt idx="2">
                  <c:v>Zoho Creator</c:v>
                </c:pt>
                <c:pt idx="3">
                  <c:v>MS Power App</c:v>
                </c:pt>
                <c:pt idx="4">
                  <c:v>Google AppSheet</c:v>
                </c:pt>
                <c:pt idx="5">
                  <c:v>Aurea</c:v>
                </c:pt>
              </c:strCache>
            </c:strRef>
          </c:cat>
          <c:val>
            <c:numRef>
              <c:f>TABELA_UNIQUE_IMPORTANT!$Z$5:$AE$5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BF-44E5-ADBF-ACC576B5ECBE}"/>
            </c:ext>
          </c:extLst>
        </c:ser>
        <c:ser>
          <c:idx val="3"/>
          <c:order val="3"/>
          <c:tx>
            <c:strRef>
              <c:f>TABELA_UNIQUE_IMPORTANT!$Y$6</c:f>
              <c:strCache>
                <c:ptCount val="1"/>
                <c:pt idx="0">
                  <c:v>Application logic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TABELA_UNIQUE_IMPORTANT!$Z$2:$AE$2</c:f>
              <c:strCache>
                <c:ptCount val="6"/>
                <c:pt idx="0">
                  <c:v>Mendix</c:v>
                </c:pt>
                <c:pt idx="1">
                  <c:v>Outsystems</c:v>
                </c:pt>
                <c:pt idx="2">
                  <c:v>Zoho Creator</c:v>
                </c:pt>
                <c:pt idx="3">
                  <c:v>MS Power App</c:v>
                </c:pt>
                <c:pt idx="4">
                  <c:v>Google AppSheet</c:v>
                </c:pt>
                <c:pt idx="5">
                  <c:v>Aurea</c:v>
                </c:pt>
              </c:strCache>
            </c:strRef>
          </c:cat>
          <c:val>
            <c:numRef>
              <c:f>TABELA_UNIQUE_IMPORTANT!$Z$6:$AE$6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BF-44E5-ADBF-ACC576B5ECBE}"/>
            </c:ext>
          </c:extLst>
        </c:ser>
        <c:ser>
          <c:idx val="4"/>
          <c:order val="4"/>
          <c:tx>
            <c:strRef>
              <c:f>TABELA_UNIQUE_IMPORTANT!$Y$7</c:f>
              <c:strCache>
                <c:ptCount val="1"/>
                <c:pt idx="0">
                  <c:v>Workflow design and development</c:v>
                </c:pt>
              </c:strCache>
            </c:strRef>
          </c:tx>
          <c:spPr>
            <a:solidFill>
              <a:schemeClr val="accent3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TABELA_UNIQUE_IMPORTANT!$Z$2:$AE$2</c:f>
              <c:strCache>
                <c:ptCount val="6"/>
                <c:pt idx="0">
                  <c:v>Mendix</c:v>
                </c:pt>
                <c:pt idx="1">
                  <c:v>Outsystems</c:v>
                </c:pt>
                <c:pt idx="2">
                  <c:v>Zoho Creator</c:v>
                </c:pt>
                <c:pt idx="3">
                  <c:v>MS Power App</c:v>
                </c:pt>
                <c:pt idx="4">
                  <c:v>Google AppSheet</c:v>
                </c:pt>
                <c:pt idx="5">
                  <c:v>Aurea</c:v>
                </c:pt>
              </c:strCache>
            </c:strRef>
          </c:cat>
          <c:val>
            <c:numRef>
              <c:f>TABELA_UNIQUE_IMPORTANT!$Z$7:$AE$7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BF-44E5-ADBF-ACC576B5E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5955568"/>
        <c:axId val="515956048"/>
      </c:barChart>
      <c:catAx>
        <c:axId val="515955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956048"/>
        <c:crosses val="autoZero"/>
        <c:auto val="1"/>
        <c:lblAlgn val="ctr"/>
        <c:lblOffset val="100"/>
        <c:noMultiLvlLbl val="0"/>
      </c:catAx>
      <c:valAx>
        <c:axId val="51595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95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196391076115488"/>
          <c:y val="4.1198489722937943E-2"/>
          <c:w val="0.69481386701662295"/>
          <c:h val="0.525213800107994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TABELA_UNIQUE_IMPORTANT!$Y$8</c:f>
              <c:strCache>
                <c:ptCount val="1"/>
                <c:pt idx="0">
                  <c:v>Database design</c:v>
                </c:pt>
              </c:strCache>
            </c:strRef>
          </c:tx>
          <c:spPr>
            <a:solidFill>
              <a:schemeClr val="accent3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TABELA_UNIQUE_IMPORTANT!$Z$2:$AE$2</c:f>
              <c:strCache>
                <c:ptCount val="6"/>
                <c:pt idx="0">
                  <c:v>Mendix</c:v>
                </c:pt>
                <c:pt idx="1">
                  <c:v>Outsystems</c:v>
                </c:pt>
                <c:pt idx="2">
                  <c:v>Zoho Creator</c:v>
                </c:pt>
                <c:pt idx="3">
                  <c:v>MS Power App</c:v>
                </c:pt>
                <c:pt idx="4">
                  <c:v>Google AppSheet</c:v>
                </c:pt>
                <c:pt idx="5">
                  <c:v>Aurea</c:v>
                </c:pt>
              </c:strCache>
            </c:strRef>
          </c:cat>
          <c:val>
            <c:numRef>
              <c:f>TABELA_UNIQUE_IMPORTANT!$Z$8:$AE$8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A-4DDF-A80B-4D9B0936E33A}"/>
            </c:ext>
          </c:extLst>
        </c:ser>
        <c:ser>
          <c:idx val="1"/>
          <c:order val="1"/>
          <c:tx>
            <c:strRef>
              <c:f>TABELA_UNIQUE_IMPORTANT!$Y$9</c:f>
              <c:strCache>
                <c:ptCount val="1"/>
                <c:pt idx="0">
                  <c:v>Fetching data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TABELA_UNIQUE_IMPORTANT!$Z$2:$AE$2</c:f>
              <c:strCache>
                <c:ptCount val="6"/>
                <c:pt idx="0">
                  <c:v>Mendix</c:v>
                </c:pt>
                <c:pt idx="1">
                  <c:v>Outsystems</c:v>
                </c:pt>
                <c:pt idx="2">
                  <c:v>Zoho Creator</c:v>
                </c:pt>
                <c:pt idx="3">
                  <c:v>MS Power App</c:v>
                </c:pt>
                <c:pt idx="4">
                  <c:v>Google AppSheet</c:v>
                </c:pt>
                <c:pt idx="5">
                  <c:v>Aurea</c:v>
                </c:pt>
              </c:strCache>
            </c:strRef>
          </c:cat>
          <c:val>
            <c:numRef>
              <c:f>TABELA_UNIQUE_IMPORTANT!$Z$9:$AE$9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CA-4DDF-A80B-4D9B0936E33A}"/>
            </c:ext>
          </c:extLst>
        </c:ser>
        <c:ser>
          <c:idx val="2"/>
          <c:order val="2"/>
          <c:tx>
            <c:strRef>
              <c:f>TABELA_UNIQUE_IMPORTANT!$Y$10</c:f>
              <c:strCache>
                <c:ptCount val="1"/>
                <c:pt idx="0">
                  <c:v>GUI design and development</c:v>
                </c:pt>
              </c:strCache>
            </c:strRef>
          </c:tx>
          <c:spPr>
            <a:solidFill>
              <a:schemeClr val="accent3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TABELA_UNIQUE_IMPORTANT!$Z$2:$AE$2</c:f>
              <c:strCache>
                <c:ptCount val="6"/>
                <c:pt idx="0">
                  <c:v>Mendix</c:v>
                </c:pt>
                <c:pt idx="1">
                  <c:v>Outsystems</c:v>
                </c:pt>
                <c:pt idx="2">
                  <c:v>Zoho Creator</c:v>
                </c:pt>
                <c:pt idx="3">
                  <c:v>MS Power App</c:v>
                </c:pt>
                <c:pt idx="4">
                  <c:v>Google AppSheet</c:v>
                </c:pt>
                <c:pt idx="5">
                  <c:v>Aurea</c:v>
                </c:pt>
              </c:strCache>
            </c:strRef>
          </c:cat>
          <c:val>
            <c:numRef>
              <c:f>TABELA_UNIQUE_IMPORTANT!$Z$10:$AE$10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CA-4DDF-A80B-4D9B0936E33A}"/>
            </c:ext>
          </c:extLst>
        </c:ser>
        <c:ser>
          <c:idx val="3"/>
          <c:order val="3"/>
          <c:tx>
            <c:strRef>
              <c:f>TABELA_UNIQUE_IMPORTANT!$Y$11</c:f>
              <c:strCache>
                <c:ptCount val="1"/>
                <c:pt idx="0">
                  <c:v>Data validation development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TABELA_UNIQUE_IMPORTANT!$Z$2:$AE$2</c:f>
              <c:strCache>
                <c:ptCount val="6"/>
                <c:pt idx="0">
                  <c:v>Mendix</c:v>
                </c:pt>
                <c:pt idx="1">
                  <c:v>Outsystems</c:v>
                </c:pt>
                <c:pt idx="2">
                  <c:v>Zoho Creator</c:v>
                </c:pt>
                <c:pt idx="3">
                  <c:v>MS Power App</c:v>
                </c:pt>
                <c:pt idx="4">
                  <c:v>Google AppSheet</c:v>
                </c:pt>
                <c:pt idx="5">
                  <c:v>Aurea</c:v>
                </c:pt>
              </c:strCache>
            </c:strRef>
          </c:cat>
          <c:val>
            <c:numRef>
              <c:f>TABELA_UNIQUE_IMPORTANT!$Z$11:$AE$11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CA-4DDF-A80B-4D9B0936E33A}"/>
            </c:ext>
          </c:extLst>
        </c:ser>
        <c:ser>
          <c:idx val="4"/>
          <c:order val="4"/>
          <c:tx>
            <c:strRef>
              <c:f>TABELA_UNIQUE_IMPORTANT!$Y$12</c:f>
              <c:strCache>
                <c:ptCount val="1"/>
                <c:pt idx="0">
                  <c:v>Actions design and development</c:v>
                </c:pt>
              </c:strCache>
            </c:strRef>
          </c:tx>
          <c:spPr>
            <a:solidFill>
              <a:schemeClr val="accent3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TABELA_UNIQUE_IMPORTANT!$Z$2:$AE$2</c:f>
              <c:strCache>
                <c:ptCount val="6"/>
                <c:pt idx="0">
                  <c:v>Mendix</c:v>
                </c:pt>
                <c:pt idx="1">
                  <c:v>Outsystems</c:v>
                </c:pt>
                <c:pt idx="2">
                  <c:v>Zoho Creator</c:v>
                </c:pt>
                <c:pt idx="3">
                  <c:v>MS Power App</c:v>
                </c:pt>
                <c:pt idx="4">
                  <c:v>Google AppSheet</c:v>
                </c:pt>
                <c:pt idx="5">
                  <c:v>Aurea</c:v>
                </c:pt>
              </c:strCache>
            </c:strRef>
          </c:cat>
          <c:val>
            <c:numRef>
              <c:f>TABELA_UNIQUE_IMPORTANT!$Z$12:$AE$12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CA-4DDF-A80B-4D9B0936E33A}"/>
            </c:ext>
          </c:extLst>
        </c:ser>
        <c:ser>
          <c:idx val="5"/>
          <c:order val="5"/>
          <c:tx>
            <c:strRef>
              <c:f>TABELA_UNIQUE_IMPORTANT!$Y$13</c:f>
              <c:strCache>
                <c:ptCount val="1"/>
                <c:pt idx="0">
                  <c:v>Programming</c:v>
                </c:pt>
              </c:strCache>
            </c:strRef>
          </c:tx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TABELA_UNIQUE_IMPORTANT!$Z$2:$AE$2</c:f>
              <c:strCache>
                <c:ptCount val="6"/>
                <c:pt idx="0">
                  <c:v>Mendix</c:v>
                </c:pt>
                <c:pt idx="1">
                  <c:v>Outsystems</c:v>
                </c:pt>
                <c:pt idx="2">
                  <c:v>Zoho Creator</c:v>
                </c:pt>
                <c:pt idx="3">
                  <c:v>MS Power App</c:v>
                </c:pt>
                <c:pt idx="4">
                  <c:v>Google AppSheet</c:v>
                </c:pt>
                <c:pt idx="5">
                  <c:v>Aurea</c:v>
                </c:pt>
              </c:strCache>
            </c:strRef>
          </c:cat>
          <c:val>
            <c:numRef>
              <c:f>TABELA_UNIQUE_IMPORTANT!$Z$13:$AE$13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CA-4DDF-A80B-4D9B0936E33A}"/>
            </c:ext>
          </c:extLst>
        </c:ser>
        <c:ser>
          <c:idx val="6"/>
          <c:order val="6"/>
          <c:tx>
            <c:strRef>
              <c:f>TABELA_UNIQUE_IMPORTANT!$Y$14</c:f>
              <c:strCache>
                <c:ptCount val="1"/>
                <c:pt idx="0">
                  <c:v>Runtime server installation</c:v>
                </c:pt>
              </c:strCache>
            </c:strRef>
          </c:tx>
          <c:spPr>
            <a:solidFill>
              <a:schemeClr val="accent3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TABELA_UNIQUE_IMPORTANT!$Z$2:$AE$2</c:f>
              <c:strCache>
                <c:ptCount val="6"/>
                <c:pt idx="0">
                  <c:v>Mendix</c:v>
                </c:pt>
                <c:pt idx="1">
                  <c:v>Outsystems</c:v>
                </c:pt>
                <c:pt idx="2">
                  <c:v>Zoho Creator</c:v>
                </c:pt>
                <c:pt idx="3">
                  <c:v>MS Power App</c:v>
                </c:pt>
                <c:pt idx="4">
                  <c:v>Google AppSheet</c:v>
                </c:pt>
                <c:pt idx="5">
                  <c:v>Aurea</c:v>
                </c:pt>
              </c:strCache>
            </c:strRef>
          </c:cat>
          <c:val>
            <c:numRef>
              <c:f>TABELA_UNIQUE_IMPORTANT!$Z$14:$AE$14</c:f>
              <c:numCache>
                <c:formatCode>General</c:formatCode>
                <c:ptCount val="6"/>
                <c:pt idx="0">
                  <c:v>9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CA-4DDF-A80B-4D9B0936E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9302911"/>
        <c:axId val="561581360"/>
      </c:barChart>
      <c:catAx>
        <c:axId val="1729302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581360"/>
        <c:crosses val="autoZero"/>
        <c:auto val="1"/>
        <c:lblAlgn val="ctr"/>
        <c:lblOffset val="100"/>
        <c:noMultiLvlLbl val="0"/>
      </c:catAx>
      <c:valAx>
        <c:axId val="56158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30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961504811898513E-2"/>
          <c:y val="0.67202374826041822"/>
          <c:w val="0.96085454943132131"/>
          <c:h val="0.305504348254343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TABELA_UNIQUE_IMPORTANT!$Y$15</c:f>
              <c:strCache>
                <c:ptCount val="1"/>
                <c:pt idx="0">
                  <c:v>Database installation</c:v>
                </c:pt>
              </c:strCache>
            </c:strRef>
          </c:tx>
          <c:spPr>
            <a:solidFill>
              <a:schemeClr val="accent3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TABELA_UNIQUE_IMPORTANT!$Z$2:$AE$2</c:f>
              <c:strCache>
                <c:ptCount val="6"/>
                <c:pt idx="0">
                  <c:v>Mendix</c:v>
                </c:pt>
                <c:pt idx="1">
                  <c:v>Outsystems</c:v>
                </c:pt>
                <c:pt idx="2">
                  <c:v>Zoho Creator</c:v>
                </c:pt>
                <c:pt idx="3">
                  <c:v>MS Power App</c:v>
                </c:pt>
                <c:pt idx="4">
                  <c:v>Google AppSheet</c:v>
                </c:pt>
                <c:pt idx="5">
                  <c:v>Aurea</c:v>
                </c:pt>
              </c:strCache>
            </c:strRef>
          </c:cat>
          <c:val>
            <c:numRef>
              <c:f>TABELA_UNIQUE_IMPORTANT!$Z$15:$AE$15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8-47E0-BAAD-693FD7AE1220}"/>
            </c:ext>
          </c:extLst>
        </c:ser>
        <c:ser>
          <c:idx val="1"/>
          <c:order val="1"/>
          <c:tx>
            <c:strRef>
              <c:f>TABELA_UNIQUE_IMPORTANT!$Y$16</c:f>
              <c:strCache>
                <c:ptCount val="1"/>
                <c:pt idx="0">
                  <c:v>Client module installation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TABELA_UNIQUE_IMPORTANT!$Z$2:$AE$2</c:f>
              <c:strCache>
                <c:ptCount val="6"/>
                <c:pt idx="0">
                  <c:v>Mendix</c:v>
                </c:pt>
                <c:pt idx="1">
                  <c:v>Outsystems</c:v>
                </c:pt>
                <c:pt idx="2">
                  <c:v>Zoho Creator</c:v>
                </c:pt>
                <c:pt idx="3">
                  <c:v>MS Power App</c:v>
                </c:pt>
                <c:pt idx="4">
                  <c:v>Google AppSheet</c:v>
                </c:pt>
                <c:pt idx="5">
                  <c:v>Aurea</c:v>
                </c:pt>
              </c:strCache>
            </c:strRef>
          </c:cat>
          <c:val>
            <c:numRef>
              <c:f>TABELA_UNIQUE_IMPORTANT!$Z$16:$AE$16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28-47E0-BAAD-693FD7AE1220}"/>
            </c:ext>
          </c:extLst>
        </c:ser>
        <c:ser>
          <c:idx val="2"/>
          <c:order val="2"/>
          <c:tx>
            <c:strRef>
              <c:f>TABELA_UNIQUE_IMPORTANT!$Y$17</c:f>
              <c:strCache>
                <c:ptCount val="1"/>
                <c:pt idx="0">
                  <c:v>Deployment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TABELA_UNIQUE_IMPORTANT!$Z$2:$AE$2</c:f>
              <c:strCache>
                <c:ptCount val="6"/>
                <c:pt idx="0">
                  <c:v>Mendix</c:v>
                </c:pt>
                <c:pt idx="1">
                  <c:v>Outsystems</c:v>
                </c:pt>
                <c:pt idx="2">
                  <c:v>Zoho Creator</c:v>
                </c:pt>
                <c:pt idx="3">
                  <c:v>MS Power App</c:v>
                </c:pt>
                <c:pt idx="4">
                  <c:v>Google AppSheet</c:v>
                </c:pt>
                <c:pt idx="5">
                  <c:v>Aurea</c:v>
                </c:pt>
              </c:strCache>
            </c:strRef>
          </c:cat>
          <c:val>
            <c:numRef>
              <c:f>TABELA_UNIQUE_IMPORTANT!$Z$17:$AE$17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28-47E0-BAAD-693FD7AE1220}"/>
            </c:ext>
          </c:extLst>
        </c:ser>
        <c:ser>
          <c:idx val="3"/>
          <c:order val="3"/>
          <c:tx>
            <c:strRef>
              <c:f>TABELA_UNIQUE_IMPORTANT!$Y$18</c:f>
              <c:strCache>
                <c:ptCount val="1"/>
                <c:pt idx="0">
                  <c:v>Version control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TABELA_UNIQUE_IMPORTANT!$Z$2:$AE$2</c:f>
              <c:strCache>
                <c:ptCount val="6"/>
                <c:pt idx="0">
                  <c:v>Mendix</c:v>
                </c:pt>
                <c:pt idx="1">
                  <c:v>Outsystems</c:v>
                </c:pt>
                <c:pt idx="2">
                  <c:v>Zoho Creator</c:v>
                </c:pt>
                <c:pt idx="3">
                  <c:v>MS Power App</c:v>
                </c:pt>
                <c:pt idx="4">
                  <c:v>Google AppSheet</c:v>
                </c:pt>
                <c:pt idx="5">
                  <c:v>Aurea</c:v>
                </c:pt>
              </c:strCache>
            </c:strRef>
          </c:cat>
          <c:val>
            <c:numRef>
              <c:f>TABELA_UNIQUE_IMPORTANT!$Z$18:$AE$18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28-47E0-BAAD-693FD7AE1220}"/>
            </c:ext>
          </c:extLst>
        </c:ser>
        <c:ser>
          <c:idx val="4"/>
          <c:order val="4"/>
          <c:tx>
            <c:strRef>
              <c:f>TABELA_UNIQUE_IMPORTANT!$Y$19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TABELA_UNIQUE_IMPORTANT!$Z$2:$AE$2</c:f>
              <c:strCache>
                <c:ptCount val="6"/>
                <c:pt idx="0">
                  <c:v>Mendix</c:v>
                </c:pt>
                <c:pt idx="1">
                  <c:v>Outsystems</c:v>
                </c:pt>
                <c:pt idx="2">
                  <c:v>Zoho Creator</c:v>
                </c:pt>
                <c:pt idx="3">
                  <c:v>MS Power App</c:v>
                </c:pt>
                <c:pt idx="4">
                  <c:v>Google AppSheet</c:v>
                </c:pt>
                <c:pt idx="5">
                  <c:v>Aurea</c:v>
                </c:pt>
              </c:strCache>
            </c:strRef>
          </c:cat>
          <c:val>
            <c:numRef>
              <c:f>TABELA_UNIQUE_IMPORTANT!$Z$19:$AE$19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28-47E0-BAAD-693FD7AE1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105408"/>
        <c:axId val="149104928"/>
      </c:barChart>
      <c:catAx>
        <c:axId val="149105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04928"/>
        <c:crosses val="autoZero"/>
        <c:auto val="1"/>
        <c:lblAlgn val="ctr"/>
        <c:lblOffset val="100"/>
        <c:noMultiLvlLbl val="0"/>
      </c:catAx>
      <c:valAx>
        <c:axId val="14910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0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4762</xdr:colOff>
      <xdr:row>2</xdr:row>
      <xdr:rowOff>0</xdr:rowOff>
    </xdr:from>
    <xdr:to>
      <xdr:col>38</xdr:col>
      <xdr:colOff>461962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D8484E-EAF4-FC61-7BB5-FFA138BDB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4762</xdr:colOff>
      <xdr:row>17</xdr:row>
      <xdr:rowOff>9524</xdr:rowOff>
    </xdr:from>
    <xdr:to>
      <xdr:col>38</xdr:col>
      <xdr:colOff>461962</xdr:colOff>
      <xdr:row>34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13E263-D575-EE39-32A8-3E9DBA8B0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4762</xdr:colOff>
      <xdr:row>35</xdr:row>
      <xdr:rowOff>9525</xdr:rowOff>
    </xdr:from>
    <xdr:to>
      <xdr:col>38</xdr:col>
      <xdr:colOff>461962</xdr:colOff>
      <xdr:row>50</xdr:row>
      <xdr:rowOff>9526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21024F-6BC3-907F-BE28-C01ADBB10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1A3215-3323-4529-97CE-EEE3C8F74F3A}" name="CLASSIFICATION" displayName="CLASSIFICATION" ref="A1:K272" totalsRowShown="0">
  <autoFilter ref="A1:K272" xr:uid="{5D1A3215-3323-4529-97CE-EEE3C8F74F3A}"/>
  <tableColumns count="11">
    <tableColumn id="5" xr3:uid="{AC70E1C9-0C4D-4B85-A7BB-0CD02C376A90}" name="Project Stage"/>
    <tableColumn id="1" xr3:uid="{07E68EB5-5CDC-4805-B20E-72AF850FDB28}" name="Functional scope"/>
    <tableColumn id="3" xr3:uid="{43AA92DA-9931-411D-A2A1-3D92B501C90D}" name="Keyword"/>
    <tableColumn id="4" xr3:uid="{7C15FED2-1D58-4D22-8F1C-2303CBD0FBAC}" name="Classification (Generalized keyword)"/>
    <tableColumn id="9" xr3:uid="{FDDEAD5D-5BF9-4841-B27A-E229399F9085}" name="Importance" dataDxfId="6"/>
    <tableColumn id="6" xr3:uid="{E1EC31D0-E4C1-475C-8206-73C8FEE63604}" name="Project Stage Aggr" dataDxfId="5">
      <calculatedColumnFormula array="1">_xlfn.XLOOKUP(TRUE,A$2:A2&lt;&gt;"",A$2:A2,,,-1)</calculatedColumnFormula>
    </tableColumn>
    <tableColumn id="2" xr3:uid="{494B9517-E764-4CEF-AE18-AE3C54A36E8C}" name="Functional Scope Aggr" dataDxfId="4">
      <calculatedColumnFormula array="1">_xlfn.XLOOKUP(TRUE,B$2:B2&lt;&gt;"",B$2:B2,,,-1)</calculatedColumnFormula>
    </tableColumn>
    <tableColumn id="8" xr3:uid="{7A23637C-989E-4D22-8159-3B13583F0F07}" name="Keyword Aggr" dataDxfId="3">
      <calculatedColumnFormula>IF(CLASSIFICATION[[#This Row],[Classification (Generalized keyword)]]="",CLASSIFICATION[[#This Row],[Keyword]],CLASSIFICATION[[#This Row],[Classification (Generalized keyword)]])</calculatedColumnFormula>
    </tableColumn>
    <tableColumn id="7" xr3:uid="{C32EEC44-E754-4C01-8421-7F1FD7E6F738}" name="CONC keywords" dataDxfId="2">
      <calculatedColumnFormula>_xlfn.CONCAT(CLASSIFICATION[[#This Row],[Project Stage Aggr]],",",CLASSIFICATION[[#This Row],[Functional Scope Aggr]],",",CLASSIFICATION[[#This Row],[Keyword]])</calculatedColumnFormula>
    </tableColumn>
    <tableColumn id="10" xr3:uid="{79517FA0-A724-4A7D-9BCB-94177076B001}" name="CONC generalized keywords" dataDxfId="1">
      <calculatedColumnFormula>_xlfn.CONCAT(CLASSIFICATION[[#This Row],[Project Stage Aggr]],",",CLASSIFICATION[[#This Row],[Functional Scope Aggr]],",",CLASSIFICATION[[#This Row],[Keyword Aggr]])</calculatedColumnFormula>
    </tableColumn>
    <tableColumn id="11" xr3:uid="{48D05044-1B1F-4622-8B61-3947625AC9C1}" name="CONC generalized keywords and importance" dataDxfId="0">
      <calculatedColumnFormula>_xlfn.CONCAT(CLASSIFICATION[[#This Row],[Project Stage Aggr]],",",CLASSIFICATION[[#This Row],[Functional Scope Aggr]],",",CLASSIFICATION[[#This Row],[Keyword Aggr]],",",CLASSIFICATION[[#This Row],[Importance]])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63DC66-7A57-4A69-A7E1-039122EECDAC}" name="Table2" displayName="Table2" ref="A1:B11" totalsRowShown="0">
  <autoFilter ref="A1:B11" xr:uid="{D363DC66-7A57-4A69-A7E1-039122EECDAC}"/>
  <tableColumns count="2">
    <tableColumn id="1" xr3:uid="{6A44C014-ECE8-4292-BA0E-9877528AEEE7}" name="Element"/>
    <tableColumn id="2" xr3:uid="{29422A41-97D2-4C19-BB03-B7B4D951527A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uccess.outsystems.com/documentation/11/extensibility_and_integration/extend_logic_with_your_own_code/" TargetMode="External"/><Relationship Id="rId21" Type="http://schemas.openxmlformats.org/officeDocument/2006/relationships/hyperlink" Target="https://success.outsystems.com/documentation/11/developing_an_application/design_ui/" TargetMode="External"/><Relationship Id="rId42" Type="http://schemas.openxmlformats.org/officeDocument/2006/relationships/hyperlink" Target="https://help.zoho.com/portal/en/kb/creator/developer-guide/microservices" TargetMode="External"/><Relationship Id="rId47" Type="http://schemas.openxmlformats.org/officeDocument/2006/relationships/hyperlink" Target="https://help.zoho.com/portal/en/kb/creator/developer-guide/workflows/create-and-manage-on-user-input-actions/articles/configure-deluge-script-on-user-input-in-form-workflows" TargetMode="External"/><Relationship Id="rId63" Type="http://schemas.openxmlformats.org/officeDocument/2006/relationships/hyperlink" Target="https://learn.microsoft.com/en-us/power-apps/maker/canvas-apps/gateway-reference" TargetMode="External"/><Relationship Id="rId68" Type="http://schemas.openxmlformats.org/officeDocument/2006/relationships/hyperlink" Target="https://support.google.com/appsheet/answer/10104495" TargetMode="External"/><Relationship Id="rId84" Type="http://schemas.openxmlformats.org/officeDocument/2006/relationships/hyperlink" Target="https://aurea-bpm.com/documentation/validations" TargetMode="External"/><Relationship Id="rId89" Type="http://schemas.openxmlformats.org/officeDocument/2006/relationships/hyperlink" Target="https://aurea-bpm.com/documentation/app-installation" TargetMode="External"/><Relationship Id="rId16" Type="http://schemas.openxmlformats.org/officeDocument/2006/relationships/hyperlink" Target="https://docs.mendix.com/refguide/workflows/" TargetMode="External"/><Relationship Id="rId11" Type="http://schemas.openxmlformats.org/officeDocument/2006/relationships/hyperlink" Target="https://docs.mendix.com/developerportal/deploy/" TargetMode="External"/><Relationship Id="rId32" Type="http://schemas.openxmlformats.org/officeDocument/2006/relationships/hyperlink" Target="https://success.outsystems.com/documentation/11/managing_the_applications_lifecycle/deploy_applications/tag_a_version/" TargetMode="External"/><Relationship Id="rId37" Type="http://schemas.openxmlformats.org/officeDocument/2006/relationships/hyperlink" Target="https://www.zoho.com/deluge/help/" TargetMode="External"/><Relationship Id="rId53" Type="http://schemas.openxmlformats.org/officeDocument/2006/relationships/hyperlink" Target="https://learn.microsoft.com/en-us/power-apps/developer/data-platform/webapi/reference/about?view=dataverse-latest" TargetMode="External"/><Relationship Id="rId58" Type="http://schemas.openxmlformats.org/officeDocument/2006/relationships/hyperlink" Target="https://learn.microsoft.com/en-us/power-apps/maker/data-platform/data-platform-create-business-rule" TargetMode="External"/><Relationship Id="rId74" Type="http://schemas.openxmlformats.org/officeDocument/2006/relationships/hyperlink" Target="https://support.google.com/appsheet/topic/10104992" TargetMode="External"/><Relationship Id="rId79" Type="http://schemas.openxmlformats.org/officeDocument/2006/relationships/hyperlink" Target="https://aurea-bpm.com/documentation/ui-model" TargetMode="External"/><Relationship Id="rId5" Type="http://schemas.openxmlformats.org/officeDocument/2006/relationships/hyperlink" Target="https://docs.mendix.com/refguide/nanoflows/" TargetMode="External"/><Relationship Id="rId90" Type="http://schemas.openxmlformats.org/officeDocument/2006/relationships/hyperlink" Target="https://aurea-bpm.com/documentation/aurea-modeler" TargetMode="External"/><Relationship Id="rId22" Type="http://schemas.openxmlformats.org/officeDocument/2006/relationships/hyperlink" Target="https://success.outsystems.com/documentation/11/developing_an_application/design_ui/" TargetMode="External"/><Relationship Id="rId27" Type="http://schemas.openxmlformats.org/officeDocument/2006/relationships/hyperlink" Target="https://success.outsystems.com/documentation/11/developing_an_application/design_ui/forms/validate_the_fields_of_a_form/" TargetMode="External"/><Relationship Id="rId43" Type="http://schemas.openxmlformats.org/officeDocument/2006/relationships/hyperlink" Target="https://help.zoho.com/portal/en/kb/creator/developer-guide/microservices/understand-connections/articles/create-custom-connector" TargetMode="External"/><Relationship Id="rId48" Type="http://schemas.openxmlformats.org/officeDocument/2006/relationships/hyperlink" Target="https://www.zoho.com/creator/help/on-premise/installation.html" TargetMode="External"/><Relationship Id="rId64" Type="http://schemas.openxmlformats.org/officeDocument/2006/relationships/hyperlink" Target="https://learn.microsoft.com/en-us/power-apps/maker/canvas-apps/git-version-control" TargetMode="External"/><Relationship Id="rId69" Type="http://schemas.openxmlformats.org/officeDocument/2006/relationships/hyperlink" Target="https://support.google.com/appsheet/answer/10099523" TargetMode="External"/><Relationship Id="rId8" Type="http://schemas.openxmlformats.org/officeDocument/2006/relationships/hyperlink" Target="https://docs.mendix.com/refguide/runtime-server/" TargetMode="External"/><Relationship Id="rId51" Type="http://schemas.openxmlformats.org/officeDocument/2006/relationships/hyperlink" Target="https://learn.microsoft.com/en-us/power-automate/business-process-flows-overview" TargetMode="External"/><Relationship Id="rId72" Type="http://schemas.openxmlformats.org/officeDocument/2006/relationships/hyperlink" Target="https://support.google.com/appsheet/topic/10104993" TargetMode="External"/><Relationship Id="rId80" Type="http://schemas.openxmlformats.org/officeDocument/2006/relationships/hyperlink" Target="https://aurea-bpm.com/documentation/validations" TargetMode="External"/><Relationship Id="rId85" Type="http://schemas.openxmlformats.org/officeDocument/2006/relationships/hyperlink" Target="https://aurea-bpm.com/documentation/actions" TargetMode="External"/><Relationship Id="rId93" Type="http://schemas.openxmlformats.org/officeDocument/2006/relationships/printerSettings" Target="../printerSettings/printerSettings1.bin"/><Relationship Id="rId3" Type="http://schemas.openxmlformats.org/officeDocument/2006/relationships/hyperlink" Target="https://docs.mendix.com/refguide/application-logic/" TargetMode="External"/><Relationship Id="rId12" Type="http://schemas.openxmlformats.org/officeDocument/2006/relationships/hyperlink" Target="https://docs.mendix.com/howto/front-end/" TargetMode="External"/><Relationship Id="rId17" Type="http://schemas.openxmlformats.org/officeDocument/2006/relationships/hyperlink" Target="https://success.outsystems.com/documentation/" TargetMode="External"/><Relationship Id="rId25" Type="http://schemas.openxmlformats.org/officeDocument/2006/relationships/hyperlink" Target="https://success.outsystems.com/documentation/11/developing_an_application/use_processes_bpt/processes/" TargetMode="External"/><Relationship Id="rId33" Type="http://schemas.openxmlformats.org/officeDocument/2006/relationships/hyperlink" Target="https://success.outsystems.com/documentation/11/setup_and_maintain_your_outsystems_infrastructure/setting_up_outsystems/" TargetMode="External"/><Relationship Id="rId38" Type="http://schemas.openxmlformats.org/officeDocument/2006/relationships/hyperlink" Target="https://help.zoho.com/portal/en/kb/creator/developer-guide/pages/snippets/articles/understand-snippets" TargetMode="External"/><Relationship Id="rId46" Type="http://schemas.openxmlformats.org/officeDocument/2006/relationships/hyperlink" Target="https://help.zoho.com/portal/en/kb/creator/developer-guide/workflows/create-and-manage-on-validation-actions/articles/configure-deluge-script-on-validate-in-form-workflows" TargetMode="External"/><Relationship Id="rId59" Type="http://schemas.openxmlformats.org/officeDocument/2006/relationships/hyperlink" Target="https://learn.microsoft.com/en-us/power-apps/developer/model-driven-apps/client-scripting" TargetMode="External"/><Relationship Id="rId67" Type="http://schemas.openxmlformats.org/officeDocument/2006/relationships/hyperlink" Target="https://www.appsheet.com/templates" TargetMode="External"/><Relationship Id="rId20" Type="http://schemas.openxmlformats.org/officeDocument/2006/relationships/hyperlink" Target="https://success.outsystems.com/documentation/11/developing_an_application/use_data/query_data/fetch_data_using_human_language/" TargetMode="External"/><Relationship Id="rId41" Type="http://schemas.openxmlformats.org/officeDocument/2006/relationships/hyperlink" Target="https://help.zoho.com/portal/en/kb/creator/developer-guide/workflows" TargetMode="External"/><Relationship Id="rId54" Type="http://schemas.openxmlformats.org/officeDocument/2006/relationships/hyperlink" Target="https://learn.microsoft.com/en-us/power-apps/maker/canvas-apps/ai-conversations-create-app" TargetMode="External"/><Relationship Id="rId62" Type="http://schemas.openxmlformats.org/officeDocument/2006/relationships/hyperlink" Target="https://learn.microsoft.com/en-us/power-apps/powerapps-overview" TargetMode="External"/><Relationship Id="rId70" Type="http://schemas.openxmlformats.org/officeDocument/2006/relationships/hyperlink" Target="https://support.google.com/appsheet/topic/11998887" TargetMode="External"/><Relationship Id="rId75" Type="http://schemas.openxmlformats.org/officeDocument/2006/relationships/hyperlink" Target="https://support.google.com/appsheet/answer/10106435" TargetMode="External"/><Relationship Id="rId83" Type="http://schemas.openxmlformats.org/officeDocument/2006/relationships/hyperlink" Target="https://aurea-bpm.com/documentation/uix-design" TargetMode="External"/><Relationship Id="rId88" Type="http://schemas.openxmlformats.org/officeDocument/2006/relationships/hyperlink" Target="https://aurea-bpm.com/documentation/database-installation" TargetMode="External"/><Relationship Id="rId91" Type="http://schemas.openxmlformats.org/officeDocument/2006/relationships/hyperlink" Target="https://aurea-bpm.com/documentation/aurea-modeler" TargetMode="External"/><Relationship Id="rId1" Type="http://schemas.openxmlformats.org/officeDocument/2006/relationships/hyperlink" Target="https://docs.mendix.com/refguide/pages/" TargetMode="External"/><Relationship Id="rId6" Type="http://schemas.openxmlformats.org/officeDocument/2006/relationships/hyperlink" Target="https://docs.mendix.com/refguide/version-control/" TargetMode="External"/><Relationship Id="rId15" Type="http://schemas.openxmlformats.org/officeDocument/2006/relationships/hyperlink" Target="https://docs.mendix.com/refguide/setting-up-data-validation/" TargetMode="External"/><Relationship Id="rId23" Type="http://schemas.openxmlformats.org/officeDocument/2006/relationships/hyperlink" Target="https://success.outsystems.com/documentation/11/developing_an_application/implement_application_logic/code_mentor_logic_suggestions/" TargetMode="External"/><Relationship Id="rId28" Type="http://schemas.openxmlformats.org/officeDocument/2006/relationships/hyperlink" Target="https://success.outsystems.com/documentation/11/developing_an_application/use_processes_bpt/" TargetMode="External"/><Relationship Id="rId36" Type="http://schemas.openxmlformats.org/officeDocument/2006/relationships/hyperlink" Target="https://help.zoho.com/portal/en/kb/creator/developer-guide/" TargetMode="External"/><Relationship Id="rId49" Type="http://schemas.openxmlformats.org/officeDocument/2006/relationships/hyperlink" Target="https://learn.microsoft.com/en-us/power-apps/" TargetMode="External"/><Relationship Id="rId57" Type="http://schemas.openxmlformats.org/officeDocument/2006/relationships/hyperlink" Target="https://learn.microsoft.com/en-us/power-apps/maker/data-platform/" TargetMode="External"/><Relationship Id="rId10" Type="http://schemas.openxmlformats.org/officeDocument/2006/relationships/hyperlink" Target="https://docs.mendix.com/refguide/mendix-client/" TargetMode="External"/><Relationship Id="rId31" Type="http://schemas.openxmlformats.org/officeDocument/2006/relationships/hyperlink" Target="https://success.outsystems.com/documentation/11/setup_and_maintain_your_outsystems_infrastructure/setting_up_outsystems/default_platform_server_and_database_configurations/" TargetMode="External"/><Relationship Id="rId44" Type="http://schemas.openxmlformats.org/officeDocument/2006/relationships/hyperlink" Target="https://help.zoho.com/portal/en/kb/creator/developer-guide/application-settings/schema-builder/articles/understand-schema-builder" TargetMode="External"/><Relationship Id="rId52" Type="http://schemas.openxmlformats.org/officeDocument/2006/relationships/hyperlink" Target="https://learn.microsoft.com/en-us/dotnet/api/microsoft.crm.sdk?view=dataverse-sdk-latest" TargetMode="External"/><Relationship Id="rId60" Type="http://schemas.openxmlformats.org/officeDocument/2006/relationships/hyperlink" Target="https://learn.microsoft.com/en-us/power-apps/maker/data-platform/overview-realtime-workflows" TargetMode="External"/><Relationship Id="rId65" Type="http://schemas.openxmlformats.org/officeDocument/2006/relationships/hyperlink" Target="https://learn.microsoft.com/en-us/power-apps/limits-and-config" TargetMode="External"/><Relationship Id="rId73" Type="http://schemas.openxmlformats.org/officeDocument/2006/relationships/hyperlink" Target="https://support.google.com/appsheet/answer/10104707" TargetMode="External"/><Relationship Id="rId78" Type="http://schemas.openxmlformats.org/officeDocument/2006/relationships/hyperlink" Target="https://aurea-bpm.com/documentation/data-model" TargetMode="External"/><Relationship Id="rId81" Type="http://schemas.openxmlformats.org/officeDocument/2006/relationships/hyperlink" Target="https://aurea-bpm.com/documentation/data-design" TargetMode="External"/><Relationship Id="rId86" Type="http://schemas.openxmlformats.org/officeDocument/2006/relationships/hyperlink" Target="https://aurea-bpm.com/documentation/scripting" TargetMode="External"/><Relationship Id="rId4" Type="http://schemas.openxmlformats.org/officeDocument/2006/relationships/hyperlink" Target="https://docs.mendix.com/refguide/nanoflows/" TargetMode="External"/><Relationship Id="rId9" Type="http://schemas.openxmlformats.org/officeDocument/2006/relationships/hyperlink" Target="https://docs.mendix.com/refguide/data-storage/" TargetMode="External"/><Relationship Id="rId13" Type="http://schemas.openxmlformats.org/officeDocument/2006/relationships/hyperlink" Target="https://docs.mendix.com/howto/data-models/" TargetMode="External"/><Relationship Id="rId18" Type="http://schemas.openxmlformats.org/officeDocument/2006/relationships/hyperlink" Target="https://docs.mendix.com/" TargetMode="External"/><Relationship Id="rId39" Type="http://schemas.openxmlformats.org/officeDocument/2006/relationships/hyperlink" Target="https://help.zoho.com/portal/en/kb/creator/developer-guide/application-settings/schema-builder/articles/understand-schema-builder" TargetMode="External"/><Relationship Id="rId34" Type="http://schemas.openxmlformats.org/officeDocument/2006/relationships/hyperlink" Target="https://success.outsystems.com/documentation/11/developing_an_application/use_data/data_modeling/" TargetMode="External"/><Relationship Id="rId50" Type="http://schemas.openxmlformats.org/officeDocument/2006/relationships/hyperlink" Target="https://learn.microsoft.com/en-us/power-apps/developer/data-platform/reference/about-entity-reference" TargetMode="External"/><Relationship Id="rId55" Type="http://schemas.openxmlformats.org/officeDocument/2006/relationships/hyperlink" Target="https://learn.microsoft.com/en-us/power-apps/maker/model-driven-apps/model-driven-app-overview" TargetMode="External"/><Relationship Id="rId76" Type="http://schemas.openxmlformats.org/officeDocument/2006/relationships/hyperlink" Target="https://aurea-bpm.com/documentation/" TargetMode="External"/><Relationship Id="rId7" Type="http://schemas.openxmlformats.org/officeDocument/2006/relationships/hyperlink" Target="https://docs.mendix.com/refguide/mobile/introduction-to-mobile-technologies/" TargetMode="External"/><Relationship Id="rId71" Type="http://schemas.openxmlformats.org/officeDocument/2006/relationships/hyperlink" Target="https://learn.microsoft.com/en-us/power-apps/maker/canvas-apps/gateway-reference" TargetMode="External"/><Relationship Id="rId92" Type="http://schemas.openxmlformats.org/officeDocument/2006/relationships/hyperlink" Target="https://www.mendix.com/evaluation-guide/app-capabilities/data-querying-management/" TargetMode="External"/><Relationship Id="rId2" Type="http://schemas.openxmlformats.org/officeDocument/2006/relationships/hyperlink" Target="https://docs.mendix.com/refguide/domain-model/" TargetMode="External"/><Relationship Id="rId29" Type="http://schemas.openxmlformats.org/officeDocument/2006/relationships/hyperlink" Target="https://success.outsystems.com/documentation/11/managing_the_applications_lifecycle/deploy_applications/" TargetMode="External"/><Relationship Id="rId24" Type="http://schemas.openxmlformats.org/officeDocument/2006/relationships/hyperlink" Target="https://success.outsystems.com/documentation/11/developing_an_application/implement_application_logic/actions_in_reactive_web_and_mobile_apps/" TargetMode="External"/><Relationship Id="rId40" Type="http://schemas.openxmlformats.org/officeDocument/2006/relationships/hyperlink" Target="https://help.zoho.com/portal/en/kb/creator/developer-guide/workflows/understand-workflows/articles/understand-workflows" TargetMode="External"/><Relationship Id="rId45" Type="http://schemas.openxmlformats.org/officeDocument/2006/relationships/hyperlink" Target="https://help.zoho.com/portal/en/kb/creator/developer-guide/workflows/create-and-manage-on-validation-actions/articles/configure-deluge-script-on-validate-in-form-workflows" TargetMode="External"/><Relationship Id="rId66" Type="http://schemas.openxmlformats.org/officeDocument/2006/relationships/hyperlink" Target="https://support.google.com/appsheet/topic/10099793" TargetMode="External"/><Relationship Id="rId87" Type="http://schemas.openxmlformats.org/officeDocument/2006/relationships/hyperlink" Target="https://aurea-bpm.com/documentation/configuration" TargetMode="External"/><Relationship Id="rId61" Type="http://schemas.openxmlformats.org/officeDocument/2006/relationships/hyperlink" Target="https://learn.microsoft.com/en-us/power-apps/maker/canvas-apps/gateway-reference" TargetMode="External"/><Relationship Id="rId82" Type="http://schemas.openxmlformats.org/officeDocument/2006/relationships/hyperlink" Target="https://aurea-bpm.com/documentation/data-design" TargetMode="External"/><Relationship Id="rId19" Type="http://schemas.openxmlformats.org/officeDocument/2006/relationships/hyperlink" Target="https://success.outsystems.com/documentation/11/developing_an_application/use_data/data_modeling/entity_relationships/???" TargetMode="External"/><Relationship Id="rId14" Type="http://schemas.openxmlformats.org/officeDocument/2006/relationships/hyperlink" Target="https://docs.mendix.com/howto/extensibility/build-javascript-actions/" TargetMode="External"/><Relationship Id="rId30" Type="http://schemas.openxmlformats.org/officeDocument/2006/relationships/hyperlink" Target="https://success.outsystems.com/documentation/11/setup_and_maintain_your_outsystems_infrastructure/setting_up_outsystems/" TargetMode="External"/><Relationship Id="rId35" Type="http://schemas.openxmlformats.org/officeDocument/2006/relationships/hyperlink" Target="https://success.outsystems.com/documentation/11/developing_an_application/design_ui/forms/validate_the_fields_of_a_form/" TargetMode="External"/><Relationship Id="rId56" Type="http://schemas.openxmlformats.org/officeDocument/2006/relationships/hyperlink" Target="https://learn.microsoft.com/en-us/power-platform/admin/environments-overview" TargetMode="External"/><Relationship Id="rId77" Type="http://schemas.openxmlformats.org/officeDocument/2006/relationships/hyperlink" Target="https://aurea-bpm.com/documentation/aurea-model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6A5C-B3F4-4CB1-8CF2-9A9034C59D64}">
  <dimension ref="A1:E127"/>
  <sheetViews>
    <sheetView tabSelected="1" workbookViewId="0">
      <selection activeCell="C2" sqref="C2"/>
    </sheetView>
  </sheetViews>
  <sheetFormatPr defaultColWidth="8.875" defaultRowHeight="15.75" x14ac:dyDescent="0.25"/>
  <cols>
    <col min="1" max="1" width="15" customWidth="1"/>
    <col min="2" max="2" width="21" customWidth="1"/>
    <col min="3" max="3" width="26.375" customWidth="1"/>
    <col min="4" max="4" width="38.625" customWidth="1"/>
    <col min="5" max="5" width="123.5" customWidth="1"/>
  </cols>
  <sheetData>
    <row r="1" spans="1:5" x14ac:dyDescent="0.25">
      <c r="A1" s="4" t="s">
        <v>5</v>
      </c>
      <c r="B1" s="4" t="s">
        <v>7</v>
      </c>
      <c r="C1" s="4" t="s">
        <v>468</v>
      </c>
      <c r="D1" s="4" t="s">
        <v>3</v>
      </c>
      <c r="E1" s="4" t="s">
        <v>8</v>
      </c>
    </row>
    <row r="2" spans="1:5" x14ac:dyDescent="0.25">
      <c r="A2" t="s">
        <v>1</v>
      </c>
      <c r="B2" t="s">
        <v>444</v>
      </c>
      <c r="C2" s="6"/>
      <c r="D2" s="7" t="s">
        <v>43</v>
      </c>
      <c r="E2" s="20"/>
    </row>
    <row r="3" spans="1:5" x14ac:dyDescent="0.25">
      <c r="A3" s="19" t="str">
        <f>A$2</f>
        <v>Mendix</v>
      </c>
      <c r="B3" s="19" t="str">
        <f>B$2</f>
        <v>Design</v>
      </c>
      <c r="C3" t="s">
        <v>38</v>
      </c>
      <c r="D3" s="7" t="s">
        <v>10</v>
      </c>
      <c r="E3" s="6" t="s">
        <v>121</v>
      </c>
    </row>
    <row r="4" spans="1:5" x14ac:dyDescent="0.25">
      <c r="A4" s="19" t="str">
        <f t="shared" ref="A4:B21" si="0">A$2</f>
        <v>Mendix</v>
      </c>
      <c r="B4" s="19" t="str">
        <f t="shared" si="0"/>
        <v>Design</v>
      </c>
      <c r="C4" t="s">
        <v>39</v>
      </c>
      <c r="D4" s="7" t="s">
        <v>4</v>
      </c>
      <c r="E4" t="s">
        <v>123</v>
      </c>
    </row>
    <row r="5" spans="1:5" x14ac:dyDescent="0.25">
      <c r="A5" s="19" t="str">
        <f t="shared" si="0"/>
        <v>Mendix</v>
      </c>
      <c r="B5" s="19" t="str">
        <f t="shared" si="0"/>
        <v>Design</v>
      </c>
      <c r="C5" t="s">
        <v>40</v>
      </c>
      <c r="D5" s="7" t="s">
        <v>9</v>
      </c>
      <c r="E5" t="s">
        <v>124</v>
      </c>
    </row>
    <row r="6" spans="1:5" x14ac:dyDescent="0.25">
      <c r="A6" s="19" t="str">
        <f t="shared" si="0"/>
        <v>Mendix</v>
      </c>
      <c r="B6" s="19" t="str">
        <f t="shared" si="0"/>
        <v>Design</v>
      </c>
      <c r="C6" t="s">
        <v>37</v>
      </c>
      <c r="D6" s="7" t="s">
        <v>12</v>
      </c>
      <c r="E6" t="s">
        <v>157</v>
      </c>
    </row>
    <row r="7" spans="1:5" x14ac:dyDescent="0.25">
      <c r="A7" s="19" t="str">
        <f t="shared" si="0"/>
        <v>Mendix</v>
      </c>
      <c r="B7" s="19" t="str">
        <f t="shared" si="0"/>
        <v>Design</v>
      </c>
      <c r="C7" t="s">
        <v>36</v>
      </c>
      <c r="D7" s="7" t="s">
        <v>13</v>
      </c>
      <c r="E7" t="s">
        <v>411</v>
      </c>
    </row>
    <row r="8" spans="1:5" x14ac:dyDescent="0.25">
      <c r="A8" s="19" t="str">
        <f t="shared" si="0"/>
        <v>Mendix</v>
      </c>
      <c r="B8" t="s">
        <v>445</v>
      </c>
      <c r="C8" s="9"/>
      <c r="D8" s="9"/>
      <c r="E8" s="9"/>
    </row>
    <row r="9" spans="1:5" x14ac:dyDescent="0.25">
      <c r="A9" s="19" t="str">
        <f t="shared" si="0"/>
        <v>Mendix</v>
      </c>
      <c r="B9" s="19" t="str">
        <f>B$8</f>
        <v>Development</v>
      </c>
      <c r="C9" t="s">
        <v>400</v>
      </c>
      <c r="D9" s="7" t="s">
        <v>31</v>
      </c>
      <c r="E9" s="6" t="s">
        <v>414</v>
      </c>
    </row>
    <row r="10" spans="1:5" x14ac:dyDescent="0.25">
      <c r="A10" s="19" t="str">
        <f t="shared" si="0"/>
        <v>Mendix</v>
      </c>
      <c r="B10" s="19" t="str">
        <f t="shared" ref="B10:B15" si="1">B$8</f>
        <v>Development</v>
      </c>
      <c r="C10" t="s">
        <v>32</v>
      </c>
      <c r="D10" s="7" t="s">
        <v>27</v>
      </c>
      <c r="E10" t="s">
        <v>127</v>
      </c>
    </row>
    <row r="11" spans="1:5" x14ac:dyDescent="0.25">
      <c r="A11" s="19" t="str">
        <f t="shared" si="0"/>
        <v>Mendix</v>
      </c>
      <c r="B11" s="19" t="str">
        <f t="shared" si="1"/>
        <v>Development</v>
      </c>
      <c r="C11" t="s">
        <v>45</v>
      </c>
      <c r="D11" s="7" t="s">
        <v>461</v>
      </c>
      <c r="E11" t="s">
        <v>460</v>
      </c>
    </row>
    <row r="12" spans="1:5" x14ac:dyDescent="0.25">
      <c r="A12" s="19" t="str">
        <f t="shared" si="0"/>
        <v>Mendix</v>
      </c>
      <c r="B12" s="19" t="str">
        <f t="shared" si="1"/>
        <v>Development</v>
      </c>
      <c r="C12" t="s">
        <v>33</v>
      </c>
      <c r="D12" s="7" t="s">
        <v>26</v>
      </c>
      <c r="E12" t="s">
        <v>149</v>
      </c>
    </row>
    <row r="13" spans="1:5" x14ac:dyDescent="0.25">
      <c r="A13" s="19" t="str">
        <f t="shared" si="0"/>
        <v>Mendix</v>
      </c>
      <c r="B13" s="19" t="str">
        <f t="shared" si="1"/>
        <v>Development</v>
      </c>
      <c r="C13" t="s">
        <v>34</v>
      </c>
      <c r="D13" s="7" t="s">
        <v>30</v>
      </c>
      <c r="E13" t="s">
        <v>128</v>
      </c>
    </row>
    <row r="14" spans="1:5" x14ac:dyDescent="0.25">
      <c r="A14" s="19" t="str">
        <f t="shared" si="0"/>
        <v>Mendix</v>
      </c>
      <c r="B14" s="19" t="str">
        <f t="shared" si="1"/>
        <v>Development</v>
      </c>
      <c r="C14" t="s">
        <v>35</v>
      </c>
      <c r="D14" s="7" t="s">
        <v>28</v>
      </c>
      <c r="E14" t="s">
        <v>29</v>
      </c>
    </row>
    <row r="15" spans="1:5" x14ac:dyDescent="0.25">
      <c r="A15" s="19" t="str">
        <f t="shared" si="0"/>
        <v>Mendix</v>
      </c>
      <c r="B15" s="19" t="str">
        <f t="shared" si="1"/>
        <v>Development</v>
      </c>
      <c r="C15" t="s">
        <v>16</v>
      </c>
      <c r="D15" s="7" t="s">
        <v>17</v>
      </c>
      <c r="E15" t="s">
        <v>129</v>
      </c>
    </row>
    <row r="16" spans="1:5" x14ac:dyDescent="0.25">
      <c r="A16" s="19" t="str">
        <f t="shared" si="0"/>
        <v>Mendix</v>
      </c>
      <c r="B16" t="s">
        <v>11</v>
      </c>
      <c r="C16" s="9"/>
      <c r="D16" s="9"/>
      <c r="E16" s="9"/>
    </row>
    <row r="17" spans="1:5" x14ac:dyDescent="0.25">
      <c r="A17" s="19" t="str">
        <f t="shared" si="0"/>
        <v>Mendix</v>
      </c>
      <c r="B17" s="19" t="str">
        <f>B$16</f>
        <v>Implementation</v>
      </c>
      <c r="C17" t="s">
        <v>23</v>
      </c>
      <c r="D17" s="7" t="s">
        <v>18</v>
      </c>
      <c r="E17" t="s">
        <v>160</v>
      </c>
    </row>
    <row r="18" spans="1:5" x14ac:dyDescent="0.25">
      <c r="A18" s="19" t="str">
        <f t="shared" si="0"/>
        <v>Mendix</v>
      </c>
      <c r="B18" s="19" t="str">
        <f>B$16</f>
        <v>Implementation</v>
      </c>
      <c r="C18" t="s">
        <v>22</v>
      </c>
      <c r="D18" s="7" t="s">
        <v>19</v>
      </c>
      <c r="E18" t="s">
        <v>130</v>
      </c>
    </row>
    <row r="19" spans="1:5" x14ac:dyDescent="0.25">
      <c r="A19" s="19" t="str">
        <f t="shared" si="0"/>
        <v>Mendix</v>
      </c>
      <c r="B19" s="19" t="str">
        <f>B$16</f>
        <v>Implementation</v>
      </c>
      <c r="C19" t="s">
        <v>21</v>
      </c>
      <c r="D19" s="7" t="s">
        <v>20</v>
      </c>
      <c r="E19" t="s">
        <v>131</v>
      </c>
    </row>
    <row r="20" spans="1:5" x14ac:dyDescent="0.25">
      <c r="A20" s="19" t="str">
        <f t="shared" si="0"/>
        <v>Mendix</v>
      </c>
      <c r="B20" s="19" t="str">
        <f>B$16</f>
        <v>Implementation</v>
      </c>
      <c r="C20" t="s">
        <v>24</v>
      </c>
      <c r="D20" s="7" t="s">
        <v>25</v>
      </c>
      <c r="E20" t="s">
        <v>372</v>
      </c>
    </row>
    <row r="21" spans="1:5" x14ac:dyDescent="0.25">
      <c r="A21" s="19" t="str">
        <f t="shared" si="0"/>
        <v>Mendix</v>
      </c>
      <c r="B21" s="19" t="str">
        <f>B$16</f>
        <v>Implementation</v>
      </c>
      <c r="C21" t="s">
        <v>14</v>
      </c>
      <c r="D21" s="7" t="s">
        <v>15</v>
      </c>
      <c r="E21" t="s">
        <v>132</v>
      </c>
    </row>
    <row r="22" spans="1:5" x14ac:dyDescent="0.25">
      <c r="A22" s="5"/>
      <c r="B22" s="5"/>
      <c r="C22" s="34" t="s">
        <v>401</v>
      </c>
      <c r="D22" s="10"/>
      <c r="E22" s="10"/>
    </row>
    <row r="23" spans="1:5" x14ac:dyDescent="0.25">
      <c r="A23" t="s">
        <v>41</v>
      </c>
      <c r="B23" s="19" t="str">
        <f t="shared" ref="B23:B28" si="2">B$2</f>
        <v>Design</v>
      </c>
      <c r="D23" s="7" t="s">
        <v>42</v>
      </c>
      <c r="E23" s="9"/>
    </row>
    <row r="24" spans="1:5" x14ac:dyDescent="0.25">
      <c r="A24" s="19" t="str">
        <f>$A$23</f>
        <v>Outsystems</v>
      </c>
      <c r="B24" s="19" t="str">
        <f t="shared" si="2"/>
        <v>Design</v>
      </c>
      <c r="C24" t="s">
        <v>38</v>
      </c>
      <c r="D24" s="7" t="s">
        <v>51</v>
      </c>
      <c r="E24" t="s">
        <v>50</v>
      </c>
    </row>
    <row r="25" spans="1:5" x14ac:dyDescent="0.25">
      <c r="A25" s="19" t="str">
        <f t="shared" ref="A25:A42" si="3">$A$23</f>
        <v>Outsystems</v>
      </c>
      <c r="B25" s="19" t="str">
        <f t="shared" si="2"/>
        <v>Design</v>
      </c>
      <c r="C25" t="s">
        <v>39</v>
      </c>
      <c r="D25" s="7" t="s">
        <v>44</v>
      </c>
      <c r="E25" t="s">
        <v>403</v>
      </c>
    </row>
    <row r="26" spans="1:5" x14ac:dyDescent="0.25">
      <c r="A26" s="19" t="str">
        <f t="shared" si="3"/>
        <v>Outsystems</v>
      </c>
      <c r="B26" s="19" t="str">
        <f t="shared" si="2"/>
        <v>Design</v>
      </c>
      <c r="C26" t="s">
        <v>40</v>
      </c>
      <c r="D26" s="7" t="s">
        <v>47</v>
      </c>
      <c r="E26" s="6" t="s">
        <v>417</v>
      </c>
    </row>
    <row r="27" spans="1:5" x14ac:dyDescent="0.25">
      <c r="A27" s="19" t="str">
        <f t="shared" si="3"/>
        <v>Outsystems</v>
      </c>
      <c r="B27" s="19" t="str">
        <f t="shared" si="2"/>
        <v>Design</v>
      </c>
      <c r="C27" t="s">
        <v>37</v>
      </c>
      <c r="D27" s="7" t="s">
        <v>53</v>
      </c>
      <c r="E27" t="s">
        <v>158</v>
      </c>
    </row>
    <row r="28" spans="1:5" x14ac:dyDescent="0.25">
      <c r="A28" s="19" t="str">
        <f t="shared" si="3"/>
        <v>Outsystems</v>
      </c>
      <c r="B28" s="19" t="str">
        <f t="shared" si="2"/>
        <v>Design</v>
      </c>
      <c r="C28" t="s">
        <v>36</v>
      </c>
      <c r="D28" s="7" t="s">
        <v>49</v>
      </c>
      <c r="E28" s="6" t="s">
        <v>412</v>
      </c>
    </row>
    <row r="29" spans="1:5" x14ac:dyDescent="0.25">
      <c r="A29" s="19" t="str">
        <f t="shared" si="3"/>
        <v>Outsystems</v>
      </c>
      <c r="B29" s="19" t="str">
        <f>B$8</f>
        <v>Development</v>
      </c>
      <c r="C29" s="9"/>
      <c r="D29" s="9"/>
      <c r="E29" s="9"/>
    </row>
    <row r="30" spans="1:5" x14ac:dyDescent="0.25">
      <c r="A30" s="19" t="str">
        <f t="shared" si="3"/>
        <v>Outsystems</v>
      </c>
      <c r="B30" s="19" t="str">
        <f>B$8</f>
        <v>Development</v>
      </c>
      <c r="C30" t="s">
        <v>400</v>
      </c>
      <c r="D30" s="7" t="s">
        <v>54</v>
      </c>
      <c r="E30" t="s">
        <v>50</v>
      </c>
    </row>
    <row r="31" spans="1:5" x14ac:dyDescent="0.25">
      <c r="A31" s="19" t="str">
        <f t="shared" si="3"/>
        <v>Outsystems</v>
      </c>
      <c r="B31" s="19" t="str">
        <f t="shared" ref="B31:B36" si="4">B$8</f>
        <v>Development</v>
      </c>
      <c r="C31" t="s">
        <v>32</v>
      </c>
      <c r="D31" s="7" t="s">
        <v>61</v>
      </c>
      <c r="E31" t="s">
        <v>133</v>
      </c>
    </row>
    <row r="32" spans="1:5" x14ac:dyDescent="0.25">
      <c r="A32" s="19" t="str">
        <f t="shared" si="3"/>
        <v>Outsystems</v>
      </c>
      <c r="B32" s="19" t="str">
        <f t="shared" si="4"/>
        <v>Development</v>
      </c>
      <c r="C32" t="s">
        <v>45</v>
      </c>
      <c r="D32" s="7" t="s">
        <v>46</v>
      </c>
      <c r="E32" s="6" t="s">
        <v>134</v>
      </c>
    </row>
    <row r="33" spans="1:5" x14ac:dyDescent="0.25">
      <c r="A33" s="19" t="str">
        <f t="shared" si="3"/>
        <v>Outsystems</v>
      </c>
      <c r="B33" s="19" t="str">
        <f t="shared" si="4"/>
        <v>Development</v>
      </c>
      <c r="C33" t="s">
        <v>33</v>
      </c>
      <c r="D33" s="7" t="s">
        <v>47</v>
      </c>
      <c r="E33" t="s">
        <v>161</v>
      </c>
    </row>
    <row r="34" spans="1:5" x14ac:dyDescent="0.25">
      <c r="A34" s="19" t="str">
        <f t="shared" si="3"/>
        <v>Outsystems</v>
      </c>
      <c r="B34" s="19" t="str">
        <f t="shared" si="4"/>
        <v>Development</v>
      </c>
      <c r="C34" t="s">
        <v>34</v>
      </c>
      <c r="D34" s="7" t="s">
        <v>53</v>
      </c>
      <c r="E34" t="s">
        <v>135</v>
      </c>
    </row>
    <row r="35" spans="1:5" x14ac:dyDescent="0.25">
      <c r="A35" s="19" t="str">
        <f t="shared" si="3"/>
        <v>Outsystems</v>
      </c>
      <c r="B35" s="19" t="str">
        <f t="shared" si="4"/>
        <v>Development</v>
      </c>
      <c r="C35" t="s">
        <v>35</v>
      </c>
      <c r="D35" s="7" t="s">
        <v>48</v>
      </c>
      <c r="E35" s="6" t="s">
        <v>159</v>
      </c>
    </row>
    <row r="36" spans="1:5" x14ac:dyDescent="0.25">
      <c r="A36" s="19" t="str">
        <f t="shared" si="3"/>
        <v>Outsystems</v>
      </c>
      <c r="B36" s="19" t="str">
        <f t="shared" si="4"/>
        <v>Development</v>
      </c>
      <c r="C36" t="s">
        <v>16</v>
      </c>
      <c r="D36" s="7" t="s">
        <v>52</v>
      </c>
      <c r="E36" t="s">
        <v>150</v>
      </c>
    </row>
    <row r="37" spans="1:5" x14ac:dyDescent="0.25">
      <c r="A37" s="19" t="str">
        <f t="shared" si="3"/>
        <v>Outsystems</v>
      </c>
      <c r="B37" s="19" t="str">
        <f t="shared" ref="B37:B42" si="5">B$16</f>
        <v>Implementation</v>
      </c>
      <c r="C37" s="9"/>
      <c r="D37" s="9"/>
      <c r="E37" s="9"/>
    </row>
    <row r="38" spans="1:5" x14ac:dyDescent="0.25">
      <c r="A38" s="19" t="str">
        <f t="shared" si="3"/>
        <v>Outsystems</v>
      </c>
      <c r="B38" s="19" t="str">
        <f t="shared" si="5"/>
        <v>Implementation</v>
      </c>
      <c r="C38" t="s">
        <v>23</v>
      </c>
      <c r="D38" s="7" t="s">
        <v>56</v>
      </c>
      <c r="E38" t="s">
        <v>426</v>
      </c>
    </row>
    <row r="39" spans="1:5" x14ac:dyDescent="0.25">
      <c r="A39" s="19" t="str">
        <f t="shared" si="3"/>
        <v>Outsystems</v>
      </c>
      <c r="B39" s="19" t="str">
        <f t="shared" si="5"/>
        <v>Implementation</v>
      </c>
      <c r="C39" t="s">
        <v>22</v>
      </c>
      <c r="D39" s="7" t="s">
        <v>57</v>
      </c>
      <c r="E39" t="s">
        <v>136</v>
      </c>
    </row>
    <row r="40" spans="1:5" x14ac:dyDescent="0.25">
      <c r="A40" s="19" t="str">
        <f t="shared" si="3"/>
        <v>Outsystems</v>
      </c>
      <c r="B40" s="19" t="str">
        <f t="shared" si="5"/>
        <v>Implementation</v>
      </c>
      <c r="C40" t="s">
        <v>21</v>
      </c>
      <c r="D40" s="7" t="s">
        <v>56</v>
      </c>
      <c r="E40" t="s">
        <v>60</v>
      </c>
    </row>
    <row r="41" spans="1:5" x14ac:dyDescent="0.25">
      <c r="A41" s="19" t="str">
        <f t="shared" si="3"/>
        <v>Outsystems</v>
      </c>
      <c r="B41" s="19" t="str">
        <f t="shared" si="5"/>
        <v>Implementation</v>
      </c>
      <c r="C41" t="s">
        <v>24</v>
      </c>
      <c r="D41" s="7" t="s">
        <v>55</v>
      </c>
      <c r="E41" t="s">
        <v>432</v>
      </c>
    </row>
    <row r="42" spans="1:5" x14ac:dyDescent="0.25">
      <c r="A42" s="19" t="str">
        <f t="shared" si="3"/>
        <v>Outsystems</v>
      </c>
      <c r="B42" s="19" t="str">
        <f t="shared" si="5"/>
        <v>Implementation</v>
      </c>
      <c r="C42" t="s">
        <v>14</v>
      </c>
      <c r="D42" s="7" t="s">
        <v>59</v>
      </c>
      <c r="E42" t="s">
        <v>58</v>
      </c>
    </row>
    <row r="43" spans="1:5" x14ac:dyDescent="0.25">
      <c r="A43" s="5"/>
      <c r="B43" s="5"/>
      <c r="C43" s="34" t="s">
        <v>401</v>
      </c>
      <c r="D43" s="10"/>
      <c r="E43" s="10"/>
    </row>
    <row r="44" spans="1:5" x14ac:dyDescent="0.25">
      <c r="A44" t="s">
        <v>62</v>
      </c>
      <c r="B44" s="19" t="str">
        <f t="shared" ref="B44:B49" si="6">B$2</f>
        <v>Design</v>
      </c>
      <c r="D44" s="7" t="s">
        <v>63</v>
      </c>
      <c r="E44" s="9"/>
    </row>
    <row r="45" spans="1:5" x14ac:dyDescent="0.25">
      <c r="A45" s="19" t="str">
        <f>$A$44</f>
        <v>Zoho Creator</v>
      </c>
      <c r="B45" s="19" t="str">
        <f t="shared" si="6"/>
        <v>Design</v>
      </c>
      <c r="C45" t="s">
        <v>38</v>
      </c>
      <c r="D45" s="7" t="s">
        <v>67</v>
      </c>
      <c r="E45" s="12" t="s">
        <v>50</v>
      </c>
    </row>
    <row r="46" spans="1:5" x14ac:dyDescent="0.25">
      <c r="A46" s="19" t="str">
        <f t="shared" ref="A46:A63" si="7">$A$44</f>
        <v>Zoho Creator</v>
      </c>
      <c r="B46" s="19" t="str">
        <f t="shared" si="6"/>
        <v>Design</v>
      </c>
      <c r="C46" t="s">
        <v>39</v>
      </c>
      <c r="D46" s="7" t="s">
        <v>72</v>
      </c>
      <c r="E46" s="13" t="s">
        <v>402</v>
      </c>
    </row>
    <row r="47" spans="1:5" x14ac:dyDescent="0.25">
      <c r="A47" s="19" t="str">
        <f t="shared" si="7"/>
        <v>Zoho Creator</v>
      </c>
      <c r="B47" s="19" t="str">
        <f t="shared" si="6"/>
        <v>Design</v>
      </c>
      <c r="C47" t="s">
        <v>40</v>
      </c>
      <c r="D47" s="7" t="s">
        <v>70</v>
      </c>
      <c r="E47" s="14" t="s">
        <v>415</v>
      </c>
    </row>
    <row r="48" spans="1:5" x14ac:dyDescent="0.25">
      <c r="A48" s="19" t="str">
        <f t="shared" si="7"/>
        <v>Zoho Creator</v>
      </c>
      <c r="B48" s="19" t="str">
        <f t="shared" si="6"/>
        <v>Design</v>
      </c>
      <c r="C48" t="s">
        <v>37</v>
      </c>
      <c r="D48" s="7" t="s">
        <v>73</v>
      </c>
      <c r="E48" s="12" t="s">
        <v>151</v>
      </c>
    </row>
    <row r="49" spans="1:5" x14ac:dyDescent="0.25">
      <c r="A49" s="19" t="str">
        <f t="shared" si="7"/>
        <v>Zoho Creator</v>
      </c>
      <c r="B49" s="19" t="str">
        <f t="shared" si="6"/>
        <v>Design</v>
      </c>
      <c r="C49" t="s">
        <v>36</v>
      </c>
      <c r="D49" s="7" t="s">
        <v>69</v>
      </c>
      <c r="E49" s="14" t="s">
        <v>413</v>
      </c>
    </row>
    <row r="50" spans="1:5" x14ac:dyDescent="0.25">
      <c r="A50" s="19" t="str">
        <f t="shared" si="7"/>
        <v>Zoho Creator</v>
      </c>
      <c r="B50" s="19" t="str">
        <f>B$8</f>
        <v>Development</v>
      </c>
      <c r="C50" s="9"/>
      <c r="D50" s="9"/>
      <c r="E50" s="9"/>
    </row>
    <row r="51" spans="1:5" x14ac:dyDescent="0.25">
      <c r="A51" s="19" t="str">
        <f t="shared" si="7"/>
        <v>Zoho Creator</v>
      </c>
      <c r="B51" s="19" t="str">
        <f>B$8</f>
        <v>Development</v>
      </c>
      <c r="C51" t="s">
        <v>400</v>
      </c>
      <c r="D51" s="7" t="s">
        <v>68</v>
      </c>
      <c r="E51" s="12" t="s">
        <v>50</v>
      </c>
    </row>
    <row r="52" spans="1:5" x14ac:dyDescent="0.25">
      <c r="A52" s="19" t="str">
        <f t="shared" si="7"/>
        <v>Zoho Creator</v>
      </c>
      <c r="B52" s="19" t="str">
        <f t="shared" ref="B52:B57" si="8">B$8</f>
        <v>Development</v>
      </c>
      <c r="C52" t="s">
        <v>32</v>
      </c>
      <c r="D52" s="7" t="s">
        <v>66</v>
      </c>
      <c r="E52" s="15" t="s">
        <v>137</v>
      </c>
    </row>
    <row r="53" spans="1:5" x14ac:dyDescent="0.25">
      <c r="A53" s="19" t="str">
        <f t="shared" si="7"/>
        <v>Zoho Creator</v>
      </c>
      <c r="B53" s="19" t="str">
        <f t="shared" si="8"/>
        <v>Development</v>
      </c>
      <c r="C53" t="s">
        <v>45</v>
      </c>
      <c r="D53" s="7" t="s">
        <v>71</v>
      </c>
      <c r="E53" s="15" t="s">
        <v>138</v>
      </c>
    </row>
    <row r="54" spans="1:5" x14ac:dyDescent="0.25">
      <c r="A54" s="19" t="str">
        <f t="shared" si="7"/>
        <v>Zoho Creator</v>
      </c>
      <c r="B54" s="19" t="str">
        <f t="shared" si="8"/>
        <v>Development</v>
      </c>
      <c r="C54" t="s">
        <v>33</v>
      </c>
      <c r="D54" s="7" t="s">
        <v>64</v>
      </c>
      <c r="E54" s="6" t="s">
        <v>139</v>
      </c>
    </row>
    <row r="55" spans="1:5" x14ac:dyDescent="0.25">
      <c r="A55" s="19" t="str">
        <f t="shared" si="7"/>
        <v>Zoho Creator</v>
      </c>
      <c r="B55" s="19" t="str">
        <f t="shared" si="8"/>
        <v>Development</v>
      </c>
      <c r="C55" t="s">
        <v>34</v>
      </c>
      <c r="D55" s="7" t="s">
        <v>73</v>
      </c>
      <c r="E55" s="12" t="s">
        <v>151</v>
      </c>
    </row>
    <row r="56" spans="1:5" x14ac:dyDescent="0.25">
      <c r="A56" s="19" t="str">
        <f t="shared" si="7"/>
        <v>Zoho Creator</v>
      </c>
      <c r="B56" s="19" t="str">
        <f t="shared" si="8"/>
        <v>Development</v>
      </c>
      <c r="C56" t="s">
        <v>35</v>
      </c>
      <c r="D56" s="7" t="s">
        <v>74</v>
      </c>
      <c r="E56" s="15" t="s">
        <v>280</v>
      </c>
    </row>
    <row r="57" spans="1:5" x14ac:dyDescent="0.25">
      <c r="A57" s="19" t="str">
        <f t="shared" si="7"/>
        <v>Zoho Creator</v>
      </c>
      <c r="B57" s="19" t="str">
        <f t="shared" si="8"/>
        <v>Development</v>
      </c>
      <c r="C57" t="s">
        <v>16</v>
      </c>
      <c r="D57" s="7" t="s">
        <v>65</v>
      </c>
      <c r="E57" s="12" t="s">
        <v>367</v>
      </c>
    </row>
    <row r="58" spans="1:5" x14ac:dyDescent="0.25">
      <c r="A58" s="19" t="str">
        <f t="shared" si="7"/>
        <v>Zoho Creator</v>
      </c>
      <c r="B58" s="19" t="str">
        <f t="shared" ref="B58:B63" si="9">B$16</f>
        <v>Implementation</v>
      </c>
      <c r="C58" s="9"/>
      <c r="D58" s="9"/>
      <c r="E58" s="9"/>
    </row>
    <row r="59" spans="1:5" x14ac:dyDescent="0.25">
      <c r="A59" s="19" t="str">
        <f t="shared" si="7"/>
        <v>Zoho Creator</v>
      </c>
      <c r="B59" s="19" t="str">
        <f t="shared" si="9"/>
        <v>Implementation</v>
      </c>
      <c r="C59" t="s">
        <v>23</v>
      </c>
      <c r="D59" s="7" t="s">
        <v>75</v>
      </c>
      <c r="E59" s="11" t="s">
        <v>140</v>
      </c>
    </row>
    <row r="60" spans="1:5" x14ac:dyDescent="0.25">
      <c r="A60" s="19" t="str">
        <f t="shared" si="7"/>
        <v>Zoho Creator</v>
      </c>
      <c r="B60" s="19" t="str">
        <f t="shared" si="9"/>
        <v>Implementation</v>
      </c>
      <c r="C60" t="s">
        <v>22</v>
      </c>
      <c r="D60" s="7" t="s">
        <v>75</v>
      </c>
      <c r="E60" s="15" t="s">
        <v>141</v>
      </c>
    </row>
    <row r="61" spans="1:5" x14ac:dyDescent="0.25">
      <c r="A61" s="19" t="str">
        <f t="shared" si="7"/>
        <v>Zoho Creator</v>
      </c>
      <c r="B61" s="19" t="str">
        <f t="shared" si="9"/>
        <v>Implementation</v>
      </c>
      <c r="C61" t="s">
        <v>21</v>
      </c>
      <c r="D61" s="7" t="s">
        <v>75</v>
      </c>
      <c r="E61" s="12" t="s">
        <v>142</v>
      </c>
    </row>
    <row r="62" spans="1:5" x14ac:dyDescent="0.25">
      <c r="A62" s="19" t="str">
        <f t="shared" si="7"/>
        <v>Zoho Creator</v>
      </c>
      <c r="B62" s="19" t="str">
        <f t="shared" si="9"/>
        <v>Implementation</v>
      </c>
      <c r="C62" t="s">
        <v>24</v>
      </c>
      <c r="D62" s="7" t="s">
        <v>76</v>
      </c>
      <c r="E62" s="11" t="s">
        <v>78</v>
      </c>
    </row>
    <row r="63" spans="1:5" x14ac:dyDescent="0.25">
      <c r="A63" s="19" t="str">
        <f t="shared" si="7"/>
        <v>Zoho Creator</v>
      </c>
      <c r="B63" s="19" t="str">
        <f t="shared" si="9"/>
        <v>Implementation</v>
      </c>
      <c r="C63" t="s">
        <v>14</v>
      </c>
      <c r="D63" s="7" t="s">
        <v>77</v>
      </c>
      <c r="E63" s="12" t="s">
        <v>58</v>
      </c>
    </row>
    <row r="64" spans="1:5" x14ac:dyDescent="0.25">
      <c r="A64" s="5"/>
      <c r="B64" s="5"/>
      <c r="C64" s="34" t="s">
        <v>401</v>
      </c>
      <c r="D64" s="10"/>
      <c r="E64" s="10"/>
    </row>
    <row r="65" spans="1:5" x14ac:dyDescent="0.25">
      <c r="A65" t="s">
        <v>79</v>
      </c>
      <c r="B65" s="19" t="str">
        <f t="shared" ref="B65:B70" si="10">B$2</f>
        <v>Design</v>
      </c>
      <c r="D65" s="7" t="s">
        <v>80</v>
      </c>
      <c r="E65" s="9"/>
    </row>
    <row r="66" spans="1:5" x14ac:dyDescent="0.25">
      <c r="A66" s="19" t="str">
        <f>$A$65</f>
        <v>MS Power App</v>
      </c>
      <c r="B66" s="19" t="str">
        <f t="shared" si="10"/>
        <v>Design</v>
      </c>
      <c r="C66" t="s">
        <v>38</v>
      </c>
      <c r="D66" s="7" t="s">
        <v>95</v>
      </c>
      <c r="E66" s="12" t="s">
        <v>50</v>
      </c>
    </row>
    <row r="67" spans="1:5" x14ac:dyDescent="0.25">
      <c r="A67" s="19" t="str">
        <f t="shared" ref="A67:A84" si="11">$A$65</f>
        <v>MS Power App</v>
      </c>
      <c r="B67" s="19" t="str">
        <f t="shared" si="10"/>
        <v>Design</v>
      </c>
      <c r="C67" t="s">
        <v>39</v>
      </c>
      <c r="D67" s="7" t="s">
        <v>81</v>
      </c>
      <c r="E67" s="13" t="s">
        <v>143</v>
      </c>
    </row>
    <row r="68" spans="1:5" x14ac:dyDescent="0.25">
      <c r="A68" s="19" t="str">
        <f t="shared" si="11"/>
        <v>MS Power App</v>
      </c>
      <c r="B68" s="19" t="str">
        <f t="shared" si="10"/>
        <v>Design</v>
      </c>
      <c r="C68" t="s">
        <v>40</v>
      </c>
      <c r="D68" s="7" t="s">
        <v>91</v>
      </c>
      <c r="E68" s="17" t="s">
        <v>144</v>
      </c>
    </row>
    <row r="69" spans="1:5" x14ac:dyDescent="0.25">
      <c r="A69" s="19" t="str">
        <f t="shared" si="11"/>
        <v>MS Power App</v>
      </c>
      <c r="B69" s="19" t="str">
        <f t="shared" si="10"/>
        <v>Design</v>
      </c>
      <c r="C69" t="s">
        <v>37</v>
      </c>
      <c r="D69" s="7" t="s">
        <v>87</v>
      </c>
      <c r="E69" s="11" t="s">
        <v>152</v>
      </c>
    </row>
    <row r="70" spans="1:5" x14ac:dyDescent="0.25">
      <c r="A70" s="19" t="str">
        <f t="shared" si="11"/>
        <v>MS Power App</v>
      </c>
      <c r="B70" s="19" t="str">
        <f t="shared" si="10"/>
        <v>Design</v>
      </c>
      <c r="C70" t="s">
        <v>36</v>
      </c>
      <c r="D70" s="7" t="s">
        <v>94</v>
      </c>
      <c r="E70" s="15" t="s">
        <v>145</v>
      </c>
    </row>
    <row r="71" spans="1:5" x14ac:dyDescent="0.25">
      <c r="A71" s="19" t="str">
        <f t="shared" si="11"/>
        <v>MS Power App</v>
      </c>
      <c r="B71" s="19" t="str">
        <f>B$8</f>
        <v>Development</v>
      </c>
      <c r="C71" s="9"/>
      <c r="D71" s="9"/>
      <c r="E71" s="16"/>
    </row>
    <row r="72" spans="1:5" x14ac:dyDescent="0.25">
      <c r="A72" s="19" t="str">
        <f t="shared" si="11"/>
        <v>MS Power App</v>
      </c>
      <c r="B72" s="19" t="str">
        <f>B$8</f>
        <v>Development</v>
      </c>
      <c r="C72" t="s">
        <v>400</v>
      </c>
      <c r="D72" s="7" t="s">
        <v>82</v>
      </c>
      <c r="E72" s="12" t="s">
        <v>83</v>
      </c>
    </row>
    <row r="73" spans="1:5" x14ac:dyDescent="0.25">
      <c r="A73" s="19" t="str">
        <f t="shared" si="11"/>
        <v>MS Power App</v>
      </c>
      <c r="B73" s="19" t="str">
        <f t="shared" ref="B73:B78" si="12">B$8</f>
        <v>Development</v>
      </c>
      <c r="C73" t="s">
        <v>32</v>
      </c>
      <c r="D73" s="7" t="s">
        <v>86</v>
      </c>
      <c r="E73" s="17" t="s">
        <v>126</v>
      </c>
    </row>
    <row r="74" spans="1:5" x14ac:dyDescent="0.25">
      <c r="A74" s="19" t="str">
        <f t="shared" si="11"/>
        <v>MS Power App</v>
      </c>
      <c r="B74" s="19" t="str">
        <f t="shared" si="12"/>
        <v>Development</v>
      </c>
      <c r="C74" t="s">
        <v>45</v>
      </c>
      <c r="D74" s="7" t="s">
        <v>93</v>
      </c>
      <c r="E74" s="14" t="s">
        <v>361</v>
      </c>
    </row>
    <row r="75" spans="1:5" x14ac:dyDescent="0.25">
      <c r="A75" s="19" t="str">
        <f t="shared" si="11"/>
        <v>MS Power App</v>
      </c>
      <c r="B75" s="19" t="str">
        <f t="shared" si="12"/>
        <v>Development</v>
      </c>
      <c r="C75" t="s">
        <v>33</v>
      </c>
      <c r="D75" s="7" t="s">
        <v>90</v>
      </c>
      <c r="E75" s="15" t="s">
        <v>363</v>
      </c>
    </row>
    <row r="76" spans="1:5" x14ac:dyDescent="0.25">
      <c r="A76" s="19" t="str">
        <f t="shared" si="11"/>
        <v>MS Power App</v>
      </c>
      <c r="B76" s="19" t="str">
        <f t="shared" si="12"/>
        <v>Development</v>
      </c>
      <c r="C76" t="s">
        <v>34</v>
      </c>
      <c r="D76" s="7" t="s">
        <v>84</v>
      </c>
      <c r="E76" s="11" t="s">
        <v>152</v>
      </c>
    </row>
    <row r="77" spans="1:5" x14ac:dyDescent="0.25">
      <c r="A77" s="19" t="str">
        <f t="shared" si="11"/>
        <v>MS Power App</v>
      </c>
      <c r="B77" s="19" t="str">
        <f t="shared" si="12"/>
        <v>Development</v>
      </c>
      <c r="C77" t="s">
        <v>35</v>
      </c>
      <c r="D77" s="7" t="s">
        <v>89</v>
      </c>
      <c r="E77" s="14" t="s">
        <v>281</v>
      </c>
    </row>
    <row r="78" spans="1:5" x14ac:dyDescent="0.25">
      <c r="A78" s="19" t="str">
        <f t="shared" si="11"/>
        <v>MS Power App</v>
      </c>
      <c r="B78" s="19" t="str">
        <f t="shared" si="12"/>
        <v>Development</v>
      </c>
      <c r="C78" t="s">
        <v>16</v>
      </c>
      <c r="D78" s="7" t="s">
        <v>88</v>
      </c>
      <c r="E78" s="12" t="s">
        <v>442</v>
      </c>
    </row>
    <row r="79" spans="1:5" x14ac:dyDescent="0.25">
      <c r="A79" s="19" t="str">
        <f t="shared" si="11"/>
        <v>MS Power App</v>
      </c>
      <c r="B79" s="19" t="str">
        <f t="shared" ref="B79:B84" si="13">B$16</f>
        <v>Implementation</v>
      </c>
      <c r="C79" s="9"/>
      <c r="D79" s="18" t="s">
        <v>97</v>
      </c>
      <c r="E79" s="16"/>
    </row>
    <row r="80" spans="1:5" x14ac:dyDescent="0.25">
      <c r="A80" s="19" t="str">
        <f t="shared" si="11"/>
        <v>MS Power App</v>
      </c>
      <c r="B80" s="19" t="str">
        <f t="shared" si="13"/>
        <v>Implementation</v>
      </c>
      <c r="C80" t="s">
        <v>23</v>
      </c>
      <c r="D80" s="7" t="s">
        <v>85</v>
      </c>
      <c r="E80" s="14" t="s">
        <v>370</v>
      </c>
    </row>
    <row r="81" spans="1:5" x14ac:dyDescent="0.25">
      <c r="A81" s="19" t="str">
        <f t="shared" si="11"/>
        <v>MS Power App</v>
      </c>
      <c r="B81" s="19" t="str">
        <f t="shared" si="13"/>
        <v>Implementation</v>
      </c>
      <c r="C81" t="s">
        <v>22</v>
      </c>
      <c r="D81" s="7" t="s">
        <v>96</v>
      </c>
      <c r="E81" s="15" t="s">
        <v>146</v>
      </c>
    </row>
    <row r="82" spans="1:5" x14ac:dyDescent="0.25">
      <c r="A82" s="19" t="str">
        <f t="shared" si="11"/>
        <v>MS Power App</v>
      </c>
      <c r="B82" s="19" t="str">
        <f t="shared" si="13"/>
        <v>Implementation</v>
      </c>
      <c r="C82" t="s">
        <v>21</v>
      </c>
      <c r="D82" s="7" t="s">
        <v>98</v>
      </c>
      <c r="E82" s="17" t="s">
        <v>99</v>
      </c>
    </row>
    <row r="83" spans="1:5" x14ac:dyDescent="0.25">
      <c r="A83" s="19" t="str">
        <f t="shared" si="11"/>
        <v>MS Power App</v>
      </c>
      <c r="B83" s="19" t="str">
        <f t="shared" si="13"/>
        <v>Implementation</v>
      </c>
      <c r="C83" t="s">
        <v>24</v>
      </c>
      <c r="D83" s="7" t="s">
        <v>96</v>
      </c>
      <c r="E83" s="17" t="s">
        <v>100</v>
      </c>
    </row>
    <row r="84" spans="1:5" x14ac:dyDescent="0.25">
      <c r="A84" s="19" t="str">
        <f t="shared" si="11"/>
        <v>MS Power App</v>
      </c>
      <c r="B84" s="19" t="str">
        <f t="shared" si="13"/>
        <v>Implementation</v>
      </c>
      <c r="C84" t="s">
        <v>14</v>
      </c>
      <c r="D84" s="7" t="s">
        <v>92</v>
      </c>
      <c r="E84" t="s">
        <v>132</v>
      </c>
    </row>
    <row r="85" spans="1:5" x14ac:dyDescent="0.25">
      <c r="A85" s="5"/>
      <c r="B85" s="5"/>
      <c r="C85" s="34" t="s">
        <v>401</v>
      </c>
      <c r="D85" s="10"/>
      <c r="E85" s="10"/>
    </row>
    <row r="86" spans="1:5" x14ac:dyDescent="0.25">
      <c r="A86" t="s">
        <v>101</v>
      </c>
      <c r="B86" s="19" t="str">
        <f t="shared" ref="B86:B91" si="14">B$2</f>
        <v>Design</v>
      </c>
      <c r="D86" s="7" t="s">
        <v>467</v>
      </c>
      <c r="E86" s="9"/>
    </row>
    <row r="87" spans="1:5" x14ac:dyDescent="0.25">
      <c r="A87" s="19" t="str">
        <f>$A$86</f>
        <v>Google AppSheet</v>
      </c>
      <c r="B87" s="19" t="str">
        <f t="shared" si="14"/>
        <v>Design</v>
      </c>
      <c r="C87" t="s">
        <v>38</v>
      </c>
      <c r="D87" s="7" t="s">
        <v>102</v>
      </c>
      <c r="E87" s="11" t="s">
        <v>50</v>
      </c>
    </row>
    <row r="88" spans="1:5" x14ac:dyDescent="0.25">
      <c r="A88" s="19" t="str">
        <f t="shared" ref="A88:A105" si="15">$A$86</f>
        <v>Google AppSheet</v>
      </c>
      <c r="B88" s="19" t="str">
        <f t="shared" si="14"/>
        <v>Design</v>
      </c>
      <c r="C88" t="s">
        <v>39</v>
      </c>
      <c r="D88" s="7" t="s">
        <v>108</v>
      </c>
      <c r="E88" s="11" t="s">
        <v>463</v>
      </c>
    </row>
    <row r="89" spans="1:5" x14ac:dyDescent="0.25">
      <c r="A89" s="19" t="str">
        <f t="shared" si="15"/>
        <v>Google AppSheet</v>
      </c>
      <c r="B89" s="19" t="str">
        <f t="shared" si="14"/>
        <v>Design</v>
      </c>
      <c r="C89" t="s">
        <v>40</v>
      </c>
      <c r="D89" s="7" t="s">
        <v>111</v>
      </c>
      <c r="E89" s="14" t="s">
        <v>153</v>
      </c>
    </row>
    <row r="90" spans="1:5" x14ac:dyDescent="0.25">
      <c r="A90" s="19" t="str">
        <f t="shared" si="15"/>
        <v>Google AppSheet</v>
      </c>
      <c r="B90" s="19" t="str">
        <f t="shared" si="14"/>
        <v>Design</v>
      </c>
      <c r="C90" t="s">
        <v>37</v>
      </c>
      <c r="D90" s="7" t="s">
        <v>117</v>
      </c>
      <c r="E90" s="11" t="s">
        <v>154</v>
      </c>
    </row>
    <row r="91" spans="1:5" x14ac:dyDescent="0.25">
      <c r="A91" s="19" t="str">
        <f t="shared" si="15"/>
        <v>Google AppSheet</v>
      </c>
      <c r="B91" s="19" t="str">
        <f t="shared" si="14"/>
        <v>Design</v>
      </c>
      <c r="C91" t="s">
        <v>36</v>
      </c>
      <c r="D91" s="7" t="s">
        <v>114</v>
      </c>
      <c r="E91" s="15" t="s">
        <v>147</v>
      </c>
    </row>
    <row r="92" spans="1:5" x14ac:dyDescent="0.25">
      <c r="A92" s="19" t="str">
        <f t="shared" si="15"/>
        <v>Google AppSheet</v>
      </c>
      <c r="B92" s="19" t="str">
        <f>B$8</f>
        <v>Development</v>
      </c>
      <c r="C92" s="9"/>
      <c r="D92" s="9"/>
      <c r="E92" s="16"/>
    </row>
    <row r="93" spans="1:5" x14ac:dyDescent="0.25">
      <c r="A93" s="19" t="str">
        <f t="shared" si="15"/>
        <v>Google AppSheet</v>
      </c>
      <c r="B93" s="19" t="str">
        <f>B$8</f>
        <v>Development</v>
      </c>
      <c r="C93" t="s">
        <v>400</v>
      </c>
      <c r="D93" s="7" t="s">
        <v>102</v>
      </c>
      <c r="E93" s="11" t="s">
        <v>356</v>
      </c>
    </row>
    <row r="94" spans="1:5" x14ac:dyDescent="0.25">
      <c r="A94" s="19" t="str">
        <f t="shared" si="15"/>
        <v>Google AppSheet</v>
      </c>
      <c r="B94" s="19" t="str">
        <f t="shared" ref="B94:B99" si="16">B$8</f>
        <v>Development</v>
      </c>
      <c r="C94" t="s">
        <v>32</v>
      </c>
      <c r="D94" s="7" t="s">
        <v>109</v>
      </c>
      <c r="E94" s="17" t="s">
        <v>358</v>
      </c>
    </row>
    <row r="95" spans="1:5" x14ac:dyDescent="0.25">
      <c r="A95" s="19" t="str">
        <f t="shared" si="15"/>
        <v>Google AppSheet</v>
      </c>
      <c r="B95" s="19" t="str">
        <f t="shared" si="16"/>
        <v>Development</v>
      </c>
      <c r="C95" t="s">
        <v>45</v>
      </c>
      <c r="D95" s="7" t="s">
        <v>110</v>
      </c>
      <c r="E95" s="14" t="s">
        <v>148</v>
      </c>
    </row>
    <row r="96" spans="1:5" x14ac:dyDescent="0.25">
      <c r="A96" s="19" t="str">
        <f t="shared" si="15"/>
        <v>Google AppSheet</v>
      </c>
      <c r="B96" s="19" t="str">
        <f t="shared" si="16"/>
        <v>Development</v>
      </c>
      <c r="C96" t="s">
        <v>33</v>
      </c>
      <c r="D96" s="7" t="s">
        <v>118</v>
      </c>
      <c r="E96" s="17" t="s">
        <v>125</v>
      </c>
    </row>
    <row r="97" spans="1:5" x14ac:dyDescent="0.25">
      <c r="A97" s="19" t="str">
        <f t="shared" si="15"/>
        <v>Google AppSheet</v>
      </c>
      <c r="B97" s="19" t="str">
        <f t="shared" si="16"/>
        <v>Development</v>
      </c>
      <c r="C97" t="s">
        <v>34</v>
      </c>
      <c r="D97" s="7" t="s">
        <v>116</v>
      </c>
      <c r="E97" s="11" t="s">
        <v>155</v>
      </c>
    </row>
    <row r="98" spans="1:5" x14ac:dyDescent="0.25">
      <c r="A98" s="19" t="str">
        <f t="shared" si="15"/>
        <v>Google AppSheet</v>
      </c>
      <c r="B98" s="19" t="str">
        <f t="shared" si="16"/>
        <v>Development</v>
      </c>
      <c r="C98" t="s">
        <v>35</v>
      </c>
      <c r="D98" s="7" t="s">
        <v>102</v>
      </c>
      <c r="E98" s="14" t="s">
        <v>156</v>
      </c>
    </row>
    <row r="99" spans="1:5" x14ac:dyDescent="0.25">
      <c r="A99" s="19" t="str">
        <f t="shared" si="15"/>
        <v>Google AppSheet</v>
      </c>
      <c r="B99" s="19" t="str">
        <f t="shared" si="16"/>
        <v>Development</v>
      </c>
      <c r="C99" t="s">
        <v>16</v>
      </c>
      <c r="D99" s="7" t="s">
        <v>115</v>
      </c>
      <c r="E99" s="11" t="s">
        <v>366</v>
      </c>
    </row>
    <row r="100" spans="1:5" x14ac:dyDescent="0.25">
      <c r="A100" s="19" t="str">
        <f t="shared" si="15"/>
        <v>Google AppSheet</v>
      </c>
      <c r="B100" s="19" t="str">
        <f t="shared" ref="B100:B105" si="17">B$16</f>
        <v>Implementation</v>
      </c>
      <c r="C100" s="9"/>
      <c r="D100" s="18"/>
      <c r="E100" s="16"/>
    </row>
    <row r="101" spans="1:5" x14ac:dyDescent="0.25">
      <c r="A101" s="19" t="str">
        <f t="shared" si="15"/>
        <v>Google AppSheet</v>
      </c>
      <c r="B101" s="19" t="str">
        <f t="shared" si="17"/>
        <v>Implementation</v>
      </c>
      <c r="C101" t="s">
        <v>23</v>
      </c>
      <c r="D101" s="7" t="s">
        <v>119</v>
      </c>
      <c r="E101" s="14" t="s">
        <v>120</v>
      </c>
    </row>
    <row r="102" spans="1:5" x14ac:dyDescent="0.25">
      <c r="A102" s="19" t="str">
        <f t="shared" si="15"/>
        <v>Google AppSheet</v>
      </c>
      <c r="B102" s="19" t="str">
        <f t="shared" si="17"/>
        <v>Implementation</v>
      </c>
      <c r="C102" t="s">
        <v>22</v>
      </c>
      <c r="D102" s="7" t="s">
        <v>107</v>
      </c>
      <c r="E102" s="14" t="s">
        <v>106</v>
      </c>
    </row>
    <row r="103" spans="1:5" x14ac:dyDescent="0.25">
      <c r="A103" s="19" t="str">
        <f t="shared" si="15"/>
        <v>Google AppSheet</v>
      </c>
      <c r="B103" s="19" t="str">
        <f t="shared" si="17"/>
        <v>Implementation</v>
      </c>
      <c r="C103" t="s">
        <v>21</v>
      </c>
      <c r="D103" s="7" t="s">
        <v>103</v>
      </c>
      <c r="E103" s="14" t="s">
        <v>105</v>
      </c>
    </row>
    <row r="104" spans="1:5" x14ac:dyDescent="0.25">
      <c r="A104" s="19" t="str">
        <f t="shared" si="15"/>
        <v>Google AppSheet</v>
      </c>
      <c r="B104" s="19" t="str">
        <f t="shared" si="17"/>
        <v>Implementation</v>
      </c>
      <c r="C104" t="s">
        <v>24</v>
      </c>
      <c r="D104" s="7" t="s">
        <v>113</v>
      </c>
      <c r="E104" s="15" t="s">
        <v>112</v>
      </c>
    </row>
    <row r="105" spans="1:5" x14ac:dyDescent="0.25">
      <c r="A105" s="19" t="str">
        <f t="shared" si="15"/>
        <v>Google AppSheet</v>
      </c>
      <c r="B105" s="19" t="str">
        <f t="shared" si="17"/>
        <v>Implementation</v>
      </c>
      <c r="C105" t="s">
        <v>14</v>
      </c>
      <c r="D105" s="7" t="s">
        <v>104</v>
      </c>
      <c r="E105" s="12" t="s">
        <v>58</v>
      </c>
    </row>
    <row r="106" spans="1:5" x14ac:dyDescent="0.25">
      <c r="A106" s="5"/>
      <c r="B106" s="5"/>
      <c r="C106" s="34" t="s">
        <v>401</v>
      </c>
      <c r="D106" s="10"/>
      <c r="E106" s="10"/>
    </row>
    <row r="107" spans="1:5" x14ac:dyDescent="0.25">
      <c r="A107" t="s">
        <v>2</v>
      </c>
      <c r="B107" s="19" t="str">
        <f t="shared" ref="B107:B112" si="18">B$2</f>
        <v>Design</v>
      </c>
      <c r="D107" s="7" t="s">
        <v>447</v>
      </c>
      <c r="E107" s="9"/>
    </row>
    <row r="108" spans="1:5" x14ac:dyDescent="0.25">
      <c r="A108" s="19" t="str">
        <f>$A$107</f>
        <v>Aurea</v>
      </c>
      <c r="B108" s="19" t="str">
        <f t="shared" si="18"/>
        <v>Design</v>
      </c>
      <c r="C108" t="s">
        <v>38</v>
      </c>
      <c r="D108" s="7" t="s">
        <v>448</v>
      </c>
      <c r="E108" s="14" t="s">
        <v>121</v>
      </c>
    </row>
    <row r="109" spans="1:5" x14ac:dyDescent="0.25">
      <c r="A109" s="19" t="str">
        <f t="shared" ref="A109:A126" si="19">$A$107</f>
        <v>Aurea</v>
      </c>
      <c r="B109" s="19" t="str">
        <f t="shared" si="18"/>
        <v>Design</v>
      </c>
      <c r="C109" t="s">
        <v>39</v>
      </c>
      <c r="D109" s="7" t="s">
        <v>449</v>
      </c>
      <c r="E109" s="14" t="s">
        <v>462</v>
      </c>
    </row>
    <row r="110" spans="1:5" x14ac:dyDescent="0.25">
      <c r="A110" s="19" t="str">
        <f t="shared" si="19"/>
        <v>Aurea</v>
      </c>
      <c r="B110" s="19" t="str">
        <f t="shared" si="18"/>
        <v>Design</v>
      </c>
      <c r="C110" t="s">
        <v>40</v>
      </c>
      <c r="D110" s="7" t="s">
        <v>450</v>
      </c>
      <c r="E110" s="14" t="s">
        <v>416</v>
      </c>
    </row>
    <row r="111" spans="1:5" x14ac:dyDescent="0.25">
      <c r="A111" s="19" t="str">
        <f t="shared" si="19"/>
        <v>Aurea</v>
      </c>
      <c r="B111" s="19" t="str">
        <f t="shared" si="18"/>
        <v>Design</v>
      </c>
      <c r="C111" t="s">
        <v>37</v>
      </c>
      <c r="D111" s="7" t="s">
        <v>451</v>
      </c>
      <c r="E111" s="14" t="s">
        <v>409</v>
      </c>
    </row>
    <row r="112" spans="1:5" x14ac:dyDescent="0.25">
      <c r="A112" s="19" t="str">
        <f t="shared" si="19"/>
        <v>Aurea</v>
      </c>
      <c r="B112" s="19" t="str">
        <f t="shared" si="18"/>
        <v>Design</v>
      </c>
      <c r="C112" t="s">
        <v>36</v>
      </c>
      <c r="D112" s="7" t="s">
        <v>452</v>
      </c>
      <c r="E112" s="15" t="s">
        <v>410</v>
      </c>
    </row>
    <row r="113" spans="1:5" x14ac:dyDescent="0.25">
      <c r="A113" s="19" t="str">
        <f t="shared" si="19"/>
        <v>Aurea</v>
      </c>
      <c r="B113" s="19" t="str">
        <f>B$8</f>
        <v>Development</v>
      </c>
      <c r="C113" s="37"/>
      <c r="D113" s="9"/>
      <c r="E113" s="16"/>
    </row>
    <row r="114" spans="1:5" x14ac:dyDescent="0.25">
      <c r="A114" s="19" t="str">
        <f t="shared" si="19"/>
        <v>Aurea</v>
      </c>
      <c r="B114" s="19" t="str">
        <f>B$8</f>
        <v>Development</v>
      </c>
      <c r="C114" t="s">
        <v>400</v>
      </c>
      <c r="D114" s="7"/>
      <c r="E114" s="14" t="s">
        <v>121</v>
      </c>
    </row>
    <row r="115" spans="1:5" x14ac:dyDescent="0.25">
      <c r="A115" s="19" t="str">
        <f t="shared" si="19"/>
        <v>Aurea</v>
      </c>
      <c r="B115" s="19" t="str">
        <f t="shared" ref="B115:B120" si="20">B$8</f>
        <v>Development</v>
      </c>
      <c r="C115" t="s">
        <v>32</v>
      </c>
      <c r="D115" s="7" t="s">
        <v>453</v>
      </c>
      <c r="E115" s="15" t="s">
        <v>418</v>
      </c>
    </row>
    <row r="116" spans="1:5" x14ac:dyDescent="0.25">
      <c r="A116" s="19" t="str">
        <f t="shared" si="19"/>
        <v>Aurea</v>
      </c>
      <c r="B116" s="19" t="str">
        <f t="shared" si="20"/>
        <v>Development</v>
      </c>
      <c r="C116" t="s">
        <v>45</v>
      </c>
      <c r="D116" s="7" t="s">
        <v>453</v>
      </c>
      <c r="E116" s="15" t="s">
        <v>419</v>
      </c>
    </row>
    <row r="117" spans="1:5" x14ac:dyDescent="0.25">
      <c r="A117" s="19" t="str">
        <f t="shared" si="19"/>
        <v>Aurea</v>
      </c>
      <c r="B117" s="19" t="str">
        <f t="shared" si="20"/>
        <v>Development</v>
      </c>
      <c r="C117" t="s">
        <v>33</v>
      </c>
      <c r="D117" s="7" t="s">
        <v>454</v>
      </c>
      <c r="E117" s="15" t="s">
        <v>443</v>
      </c>
    </row>
    <row r="118" spans="1:5" x14ac:dyDescent="0.25">
      <c r="A118" s="19" t="str">
        <f t="shared" si="19"/>
        <v>Aurea</v>
      </c>
      <c r="B118" s="19" t="str">
        <f t="shared" si="20"/>
        <v>Development</v>
      </c>
      <c r="C118" t="s">
        <v>34</v>
      </c>
      <c r="D118" s="7" t="s">
        <v>451</v>
      </c>
      <c r="E118" s="15" t="s">
        <v>422</v>
      </c>
    </row>
    <row r="119" spans="1:5" x14ac:dyDescent="0.25">
      <c r="A119" s="19" t="str">
        <f t="shared" si="19"/>
        <v>Aurea</v>
      </c>
      <c r="B119" s="19" t="str">
        <f t="shared" si="20"/>
        <v>Development</v>
      </c>
      <c r="C119" t="s">
        <v>35</v>
      </c>
      <c r="D119" s="7" t="s">
        <v>455</v>
      </c>
      <c r="E119" s="15" t="s">
        <v>423</v>
      </c>
    </row>
    <row r="120" spans="1:5" x14ac:dyDescent="0.25">
      <c r="A120" s="19" t="str">
        <f t="shared" si="19"/>
        <v>Aurea</v>
      </c>
      <c r="B120" s="19" t="str">
        <f t="shared" si="20"/>
        <v>Development</v>
      </c>
      <c r="C120" t="s">
        <v>16</v>
      </c>
      <c r="D120" s="7" t="s">
        <v>456</v>
      </c>
      <c r="E120" s="12" t="s">
        <v>424</v>
      </c>
    </row>
    <row r="121" spans="1:5" x14ac:dyDescent="0.25">
      <c r="A121" s="19" t="str">
        <f t="shared" si="19"/>
        <v>Aurea</v>
      </c>
      <c r="B121" s="19" t="str">
        <f t="shared" ref="B121:B126" si="21">B$16</f>
        <v>Implementation</v>
      </c>
      <c r="C121" s="37"/>
      <c r="D121" s="18"/>
      <c r="E121" s="16"/>
    </row>
    <row r="122" spans="1:5" x14ac:dyDescent="0.25">
      <c r="A122" s="19" t="str">
        <f t="shared" si="19"/>
        <v>Aurea</v>
      </c>
      <c r="B122" s="19" t="str">
        <f t="shared" si="21"/>
        <v>Implementation</v>
      </c>
      <c r="C122" t="s">
        <v>23</v>
      </c>
      <c r="D122" s="7" t="s">
        <v>457</v>
      </c>
      <c r="E122" s="15" t="s">
        <v>427</v>
      </c>
    </row>
    <row r="123" spans="1:5" x14ac:dyDescent="0.25">
      <c r="A123" s="19" t="str">
        <f t="shared" si="19"/>
        <v>Aurea</v>
      </c>
      <c r="B123" s="19" t="str">
        <f t="shared" si="21"/>
        <v>Implementation</v>
      </c>
      <c r="C123" t="s">
        <v>22</v>
      </c>
      <c r="D123" s="7" t="s">
        <v>458</v>
      </c>
      <c r="E123" s="15" t="s">
        <v>429</v>
      </c>
    </row>
    <row r="124" spans="1:5" x14ac:dyDescent="0.25">
      <c r="A124" s="19" t="str">
        <f t="shared" si="19"/>
        <v>Aurea</v>
      </c>
      <c r="B124" s="19" t="str">
        <f t="shared" si="21"/>
        <v>Implementation</v>
      </c>
      <c r="C124" t="s">
        <v>21</v>
      </c>
      <c r="D124" s="7" t="s">
        <v>459</v>
      </c>
      <c r="E124" s="15" t="s">
        <v>430</v>
      </c>
    </row>
    <row r="125" spans="1:5" x14ac:dyDescent="0.25">
      <c r="A125" s="19" t="str">
        <f t="shared" si="19"/>
        <v>Aurea</v>
      </c>
      <c r="B125" s="19" t="str">
        <f t="shared" si="21"/>
        <v>Implementation</v>
      </c>
      <c r="C125" t="s">
        <v>24</v>
      </c>
      <c r="D125" s="7" t="s">
        <v>448</v>
      </c>
      <c r="E125" s="15" t="s">
        <v>431</v>
      </c>
    </row>
    <row r="126" spans="1:5" x14ac:dyDescent="0.25">
      <c r="A126" s="19" t="str">
        <f t="shared" si="19"/>
        <v>Aurea</v>
      </c>
      <c r="B126" s="19" t="str">
        <f t="shared" si="21"/>
        <v>Implementation</v>
      </c>
      <c r="C126" t="s">
        <v>14</v>
      </c>
      <c r="D126" s="7" t="s">
        <v>448</v>
      </c>
      <c r="E126" s="12" t="s">
        <v>58</v>
      </c>
    </row>
    <row r="127" spans="1:5" x14ac:dyDescent="0.25">
      <c r="A127" s="5"/>
      <c r="B127" s="5"/>
      <c r="C127" s="34" t="s">
        <v>401</v>
      </c>
      <c r="D127" s="10"/>
      <c r="E127" s="10"/>
    </row>
  </sheetData>
  <autoFilter ref="A1:E127" xr:uid="{6BC16A5C-B3F4-4CB1-8CF2-9A9034C59D64}"/>
  <hyperlinks>
    <hyperlink ref="D5" r:id="rId1" xr:uid="{9905931F-8738-41D2-A94E-CA3841860089}"/>
    <hyperlink ref="D4" r:id="rId2" xr:uid="{055C32B4-8FA8-46A4-AF82-BB61BDC56D89}"/>
    <hyperlink ref="D7" r:id="rId3" display="https://docs.mendix.com/refguide/application-logic/" xr:uid="{D2922B69-A61E-42C8-92C9-B254E0DA17F1}"/>
    <hyperlink ref="D3" r:id="rId4" xr:uid="{BFBEE6A8-FA18-43BD-B47D-A68BB8C56353}"/>
    <hyperlink ref="D6" r:id="rId5" display="https://docs.mendix.com/refguide/nanoflows/" xr:uid="{ED3403FF-19DB-4F6C-89A4-E533BF302EE6}"/>
    <hyperlink ref="D21" r:id="rId6" xr:uid="{BA21D497-B0A3-4777-BC9F-E26F8E9B597A}"/>
    <hyperlink ref="D15" r:id="rId7" display="https://docs.mendix.com/refguide/mobile/introduction-to-mobile-technologies/" xr:uid="{B5F84257-C694-4BD6-A8AA-42C405DF16C3}"/>
    <hyperlink ref="D17" r:id="rId8" xr:uid="{251019F2-EA55-4046-BB02-2E56C27E794E}"/>
    <hyperlink ref="D18" r:id="rId9" xr:uid="{52979312-FEB1-4ECC-BC1A-C0B56EE5313A}"/>
    <hyperlink ref="D19" r:id="rId10" xr:uid="{515D1A6B-BB47-461D-9610-703CB78B536C}"/>
    <hyperlink ref="D20" r:id="rId11" xr:uid="{A35EB079-D98F-4D55-A6AF-DF8352863E78}"/>
    <hyperlink ref="D12" r:id="rId12" xr:uid="{9452E2D3-8718-42AD-9D51-095FBA7E3B05}"/>
    <hyperlink ref="D10" r:id="rId13" xr:uid="{BB746A75-AE81-4CBB-820A-E0F925DFF8E1}"/>
    <hyperlink ref="D14" r:id="rId14" xr:uid="{94D2E692-1F3B-4294-AE3D-3D5745954D95}"/>
    <hyperlink ref="D13" r:id="rId15" xr:uid="{0096CF59-AC83-4591-AFFB-6F64501D0B88}"/>
    <hyperlink ref="D9" r:id="rId16" display="https://docs.mendix.com/refguide/workflows/" xr:uid="{BFE137AA-6724-4177-B542-D8E7776EEDB7}"/>
    <hyperlink ref="D23" r:id="rId17" xr:uid="{08CCEFB7-4817-402E-A823-9A5CFBF71EE6}"/>
    <hyperlink ref="D2" r:id="rId18" xr:uid="{9E0A067F-CC9B-4979-836A-8FD3C2EF058E}"/>
    <hyperlink ref="D25" r:id="rId19" xr:uid="{5CA5319F-4AF5-46B5-9514-774726D6E8CC}"/>
    <hyperlink ref="D32" r:id="rId20" display="https://success.outsystems.com/documentation/11/developing_an_application/use_data/query_data/fetch_data_using_human_language/" xr:uid="{1FEF54B1-B16F-4B25-889F-6FAA11AF8FA5}"/>
    <hyperlink ref="D26" r:id="rId21" xr:uid="{790496F5-06C2-4EBD-BEAF-7EA4EFF514C4}"/>
    <hyperlink ref="D33" r:id="rId22" xr:uid="{8C83A058-6A83-4052-BBBC-ABC572C05B0B}"/>
    <hyperlink ref="D35" r:id="rId23" display="https://success.outsystems.com/documentation/11/developing_an_application/implement_application_logic/code_mentor_logic_suggestions/" xr:uid="{6965CD36-C5B1-4B6E-BB51-DA194791D96F}"/>
    <hyperlink ref="D28" r:id="rId24" display="https://success.outsystems.com/documentation/11/developing_an_application/implement_application_logic/actions_in_reactive_web_and_mobile_apps/" xr:uid="{4C124811-C211-4F21-A92D-038037ACE454}"/>
    <hyperlink ref="D24" r:id="rId25" xr:uid="{77EAA992-F2E2-482E-AA2D-2F03A7634059}"/>
    <hyperlink ref="D36" r:id="rId26" xr:uid="{07AEAA1F-9E4C-4D04-B9FC-3BE5EC4791DF}"/>
    <hyperlink ref="D27" r:id="rId27" xr:uid="{1775A60A-FD0D-4408-B6DA-F3095EE954D1}"/>
    <hyperlink ref="D30" r:id="rId28" xr:uid="{223D8758-CFBB-4AD6-92A8-CA1342FD2187}"/>
    <hyperlink ref="D41" r:id="rId29" xr:uid="{95659F19-300B-470F-8AB5-DD700527F61E}"/>
    <hyperlink ref="D38" r:id="rId30" xr:uid="{5202F259-E21A-46EB-8215-81F94FEE5FFB}"/>
    <hyperlink ref="D39" r:id="rId31" xr:uid="{C1BC5DD5-2DB4-4EA2-BB81-A14D35F9043C}"/>
    <hyperlink ref="D42" r:id="rId32" xr:uid="{A5FA67DA-7238-4475-939E-FD07E3A454A1}"/>
    <hyperlink ref="D40" r:id="rId33" xr:uid="{620BB603-C3FA-446D-8391-FBF80CB4D710}"/>
    <hyperlink ref="D31" r:id="rId34" xr:uid="{6DB37C4E-EAB6-4C9C-8027-F36563658DF7}"/>
    <hyperlink ref="D34" r:id="rId35" xr:uid="{B65B0F7C-DE92-4B22-A2E6-6300770BA613}"/>
    <hyperlink ref="D44" r:id="rId36" xr:uid="{D863221C-8414-4F68-95F2-DD2968E737EB}"/>
    <hyperlink ref="D57" r:id="rId37" display="https://www.zoho.com/deluge/help/" xr:uid="{1273E318-9136-461D-A728-2C4876B1A1F9}"/>
    <hyperlink ref="D54" r:id="rId38" display="https://help.zoho.com/portal/en/kb/creator/developer-guide/pages/snippets/articles/understand-snippets" xr:uid="{F4BA8C81-75C8-4CE7-85EC-9CBBCBCCEF1E}"/>
    <hyperlink ref="D46" r:id="rId39" display="https://help.zoho.com/portal/en/kb/creator/developer-guide/application-settings/schema-builder/articles/understand-schema-builder" xr:uid="{C4EA8365-0652-4BA4-AE48-BFACDD3A3E1C}"/>
    <hyperlink ref="D45" r:id="rId40" xr:uid="{2E0C5F7D-6BC5-4240-9E2E-5ABF47BC0EAD}"/>
    <hyperlink ref="D51" r:id="rId41" xr:uid="{4317EF6D-4801-4C34-9E7C-9AF89A6AA537}"/>
    <hyperlink ref="D49" r:id="rId42" xr:uid="{CD91FABD-8D95-4645-9D39-735E720B6FEB}"/>
    <hyperlink ref="D53" r:id="rId43" display="https://help.zoho.com/portal/en/kb/creator/developer-guide/microservices/understand-connections/articles/create-custom-connector" xr:uid="{8D006F03-925D-4E34-A755-CF178086FE87}"/>
    <hyperlink ref="D52" r:id="rId44" xr:uid="{D1EE2EC8-CA6F-44BE-9963-B7A8EFB850E4}"/>
    <hyperlink ref="D48" r:id="rId45" xr:uid="{C435F7B7-32FF-48B1-890D-5D82A57F37DB}"/>
    <hyperlink ref="D55" r:id="rId46" xr:uid="{43C4D045-0FCB-429B-A6A9-2BD7CBD8434F}"/>
    <hyperlink ref="D56" r:id="rId47" display="https://help.zoho.com/portal/en/kb/creator/developer-guide/workflows/create-and-manage-on-user-input-actions/articles/configure-deluge-script-on-user-input-in-form-workflows" xr:uid="{A79B0CA5-632C-4AA7-8818-0B52A72D98ED}"/>
    <hyperlink ref="D60" r:id="rId48" xr:uid="{0E772E61-20EC-4F97-B383-9263B5266318}"/>
    <hyperlink ref="D65" r:id="rId49" xr:uid="{0A07B15A-6CC9-4C3E-AE5F-DBE647F55943}"/>
    <hyperlink ref="D67" r:id="rId50" xr:uid="{912021B0-4AC2-4226-8387-28BD1967CF5A}"/>
    <hyperlink ref="D72" r:id="rId51" xr:uid="{B8137AD5-ACAE-4167-A32C-153B60E2E39D}"/>
    <hyperlink ref="D78" r:id="rId52" display="https://learn.microsoft.com/en-us/dotnet/api/microsoft.crm.sdk?view=dataverse-sdk-latest" xr:uid="{DE079418-6644-40E2-9386-1FF45FAB52BC}"/>
    <hyperlink ref="D74" r:id="rId53" display="https://learn.microsoft.com/en-us/power-apps/developer/data-platform/webapi/reference/about?view=dataverse-latest" xr:uid="{9F7ACED1-F313-4060-99DE-9DC21BBCF1DA}"/>
    <hyperlink ref="D75" r:id="rId54" display="https://learn.microsoft.com/en-us/power-apps/maker/canvas-apps/ai-conversations-create-app" xr:uid="{B4A287A8-D70E-40E6-AB06-F4850E15588E}"/>
    <hyperlink ref="D68" r:id="rId55" display="https://learn.microsoft.com/en-us/power-apps/maker/model-driven-apps/model-driven-app-overview" xr:uid="{60ACB0A3-8B94-441F-A13A-794F59ED2D32}"/>
    <hyperlink ref="D80" r:id="rId56" xr:uid="{72B0161D-8AFF-4047-897B-8898812A2699}"/>
    <hyperlink ref="D73" r:id="rId57" xr:uid="{84180C38-B1AC-4181-9676-34E89DBB23BD}"/>
    <hyperlink ref="D69" r:id="rId58" xr:uid="{4561C1C6-FD68-4B01-9C01-61A8F24BC3B5}"/>
    <hyperlink ref="D77" r:id="rId59" xr:uid="{D7B095E1-1A1C-4D7E-9F87-57F23818CB56}"/>
    <hyperlink ref="D66" r:id="rId60" xr:uid="{17C96ADA-D4DB-4545-B50D-912FDEBF0396}"/>
    <hyperlink ref="D81" r:id="rId61" xr:uid="{52F5CC0D-8898-44D1-BEC5-A22CCBA6933F}"/>
    <hyperlink ref="D79" r:id="rId62" xr:uid="{AF220E8D-D9CD-402B-A3F1-6660F39C9629}"/>
    <hyperlink ref="D83" r:id="rId63" xr:uid="{4AA2FDBD-E56D-47D3-95F5-AC2AA1B7F991}"/>
    <hyperlink ref="D84" r:id="rId64" xr:uid="{846F0273-A57F-4C75-8774-D1B0D8F98839}"/>
    <hyperlink ref="D82" r:id="rId65" xr:uid="{1A18504E-0FFB-430A-8692-DD9209267330}"/>
    <hyperlink ref="D88" r:id="rId66" display="https://support.google.com/appsheet/topic/10099793" xr:uid="{C001C48A-5063-4B0E-B2B1-594CD7B301A0}"/>
    <hyperlink ref="D89" r:id="rId67" display="https://www.appsheet.com/templates" xr:uid="{A0AC3D0E-F76F-40FC-9F43-3288AA1D7609}"/>
    <hyperlink ref="D101" r:id="rId68" xr:uid="{B0FC576A-6D18-4692-B816-B5D27442EECB}"/>
    <hyperlink ref="D94" r:id="rId69" display="https://support.google.com/appsheet/answer/10099523" xr:uid="{C375B2FB-6874-41B6-B7E4-4DCDE370EF8A}"/>
    <hyperlink ref="D87" r:id="rId70" xr:uid="{807913FF-F2F2-4C09-8856-A745FD76AD20}"/>
    <hyperlink ref="D102" r:id="rId71" display="https://learn.microsoft.com/en-us/power-apps/maker/canvas-apps/gateway-reference" xr:uid="{4E58584C-18E5-4BA7-908A-724968E4F934}"/>
    <hyperlink ref="D104" r:id="rId72" display="https://support.google.com/appsheet/topic/10104993" xr:uid="{944DE180-633D-4B59-A71F-9BAD3AE5E6E7}"/>
    <hyperlink ref="D103" r:id="rId73" xr:uid="{0F704726-2C8E-4916-81DB-FD03FC668F02}"/>
    <hyperlink ref="D105" r:id="rId74" xr:uid="{F59AA009-C1BE-4A79-A80C-1563DEBED6E4}"/>
    <hyperlink ref="D96" r:id="rId75" display="https://support.google.com/appsheet/answer/10106435" xr:uid="{CCC5642B-6190-4722-86D4-9CF5B29E158E}"/>
    <hyperlink ref="D107" r:id="rId76" display="https://aurea-bpm.com/documentation/_x000a_" xr:uid="{B63E040B-F7F7-49F5-B5F2-DEC81F11573F}"/>
    <hyperlink ref="D108" r:id="rId77" xr:uid="{3D55F5DB-EBFC-4A33-8F57-9BBC4B34356C}"/>
    <hyperlink ref="D109" r:id="rId78" xr:uid="{1E94F301-CF70-4AF5-B76C-EA04044C597C}"/>
    <hyperlink ref="D110" r:id="rId79" xr:uid="{01C0A441-5621-4DB1-9871-F75D083A505D}"/>
    <hyperlink ref="D111" r:id="rId80" xr:uid="{E8E25BEA-C183-4987-B055-CC464B0D10DA}"/>
    <hyperlink ref="D115" r:id="rId81" xr:uid="{85F62FE5-A8FB-46C2-9F7C-9C0FFE1D15D9}"/>
    <hyperlink ref="D116" r:id="rId82" xr:uid="{30892637-A901-416F-8A9A-E1436A09944B}"/>
    <hyperlink ref="D117" r:id="rId83" xr:uid="{B253D68F-0A70-4C03-978C-46BE7C827AF2}"/>
    <hyperlink ref="D118" r:id="rId84" xr:uid="{357DCD0D-A6F5-4C14-B139-2B77122F7AF2}"/>
    <hyperlink ref="D119" r:id="rId85" xr:uid="{9E8569D7-8918-40D4-9FE7-27D7C1D47623}"/>
    <hyperlink ref="D120" r:id="rId86" xr:uid="{4FC0EC76-1345-42BF-A9CB-C61E788C6E26}"/>
    <hyperlink ref="D122" r:id="rId87" xr:uid="{780C7432-9551-4145-A4DD-DDEBE82BF23A}"/>
    <hyperlink ref="D123" r:id="rId88" xr:uid="{68F4CD9D-4BF9-4960-8348-A77632CBA910}"/>
    <hyperlink ref="D124" r:id="rId89" xr:uid="{22FB6B97-5107-4DA9-8D67-0D190D09D963}"/>
    <hyperlink ref="D125" r:id="rId90" xr:uid="{634B60C1-9ED9-4AAD-BD28-AACD06C8FD69}"/>
    <hyperlink ref="D126" r:id="rId91" xr:uid="{48A647E5-F706-45C0-B902-95EDEADA320E}"/>
    <hyperlink ref="D11" r:id="rId92" xr:uid="{C45C5FC0-F113-4CCE-917D-724DC19D441D}"/>
  </hyperlinks>
  <pageMargins left="0.7" right="0.7" top="0.75" bottom="0.75" header="0.3" footer="0.3"/>
  <pageSetup paperSize="9" orientation="portrait" r:id="rId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C8B0-40BB-4D14-AA00-4634002ACFD5}">
  <dimension ref="A1:K272"/>
  <sheetViews>
    <sheetView topLeftCell="D1" workbookViewId="0">
      <selection activeCell="K1" sqref="K1"/>
    </sheetView>
  </sheetViews>
  <sheetFormatPr defaultColWidth="8.875" defaultRowHeight="15.75" x14ac:dyDescent="0.25"/>
  <cols>
    <col min="1" max="1" width="14.125" bestFit="1" customWidth="1"/>
    <col min="2" max="2" width="29.625" bestFit="1" customWidth="1"/>
    <col min="3" max="3" width="23.625" customWidth="1"/>
    <col min="4" max="4" width="34.125" bestFit="1" customWidth="1"/>
    <col min="5" max="5" width="12.625" style="2" bestFit="1" customWidth="1"/>
    <col min="6" max="6" width="18.875" bestFit="1" customWidth="1"/>
    <col min="7" max="7" width="30.375" bestFit="1" customWidth="1"/>
    <col min="8" max="8" width="22" customWidth="1"/>
    <col min="9" max="9" width="24.875" customWidth="1"/>
    <col min="10" max="10" width="34.375" customWidth="1"/>
    <col min="11" max="11" width="42.375" customWidth="1"/>
  </cols>
  <sheetData>
    <row r="1" spans="1:11" x14ac:dyDescent="0.25">
      <c r="A1" t="s">
        <v>373</v>
      </c>
      <c r="B1" t="s">
        <v>6</v>
      </c>
      <c r="C1" t="s">
        <v>162</v>
      </c>
      <c r="D1" t="s">
        <v>163</v>
      </c>
      <c r="E1" s="3" t="s">
        <v>441</v>
      </c>
      <c r="F1" t="s">
        <v>374</v>
      </c>
      <c r="G1" t="s">
        <v>405</v>
      </c>
      <c r="H1" t="s">
        <v>375</v>
      </c>
      <c r="I1" t="s">
        <v>466</v>
      </c>
      <c r="J1" t="s">
        <v>465</v>
      </c>
      <c r="K1" t="s">
        <v>464</v>
      </c>
    </row>
    <row r="2" spans="1:11" x14ac:dyDescent="0.25">
      <c r="A2" t="s">
        <v>444</v>
      </c>
      <c r="B2" t="s">
        <v>38</v>
      </c>
      <c r="C2" t="s">
        <v>164</v>
      </c>
      <c r="E2" s="38">
        <v>5</v>
      </c>
      <c r="F2" s="19" t="str" cm="1">
        <f t="array" ref="F2">_xlfn.XLOOKUP(TRUE,A$2:A2&lt;&gt;"",A$2:A2,,,-1)</f>
        <v>Design</v>
      </c>
      <c r="G2" s="19" t="str" cm="1">
        <f t="array" ref="G2">_xlfn.XLOOKUP(TRUE,B$2:B2&lt;&gt;"",B$2:B2,,,-1)</f>
        <v>Workflow model</v>
      </c>
      <c r="H2" s="19" t="str">
        <f>IF(CLASSIFICATION[[#This Row],[Classification (Generalized keyword)]]="",CLASSIFICATION[[#This Row],[Keyword]],CLASSIFICATION[[#This Row],[Classification (Generalized keyword)]])</f>
        <v>+BPMN Process Model</v>
      </c>
      <c r="I2" s="19" t="str">
        <f>_xlfn.CONCAT(CLASSIFICATION[[#This Row],[Project Stage Aggr]],",",CLASSIFICATION[[#This Row],[Functional Scope Aggr]],",",CLASSIFICATION[[#This Row],[Keyword]])</f>
        <v>Design,Workflow model,+BPMN Process Model</v>
      </c>
      <c r="J2" s="19" t="str">
        <f>_xlfn.CONCAT(CLASSIFICATION[[#This Row],[Project Stage Aggr]],",",CLASSIFICATION[[#This Row],[Functional Scope Aggr]],",",CLASSIFICATION[[#This Row],[Keyword Aggr]])</f>
        <v>Design,Workflow model,+BPMN Process Model</v>
      </c>
      <c r="K2" s="19" t="str">
        <f>_xlfn.CONCAT(CLASSIFICATION[[#This Row],[Project Stage Aggr]],",",CLASSIFICATION[[#This Row],[Functional Scope Aggr]],",",CLASSIFICATION[[#This Row],[Keyword Aggr]],",",CLASSIFICATION[[#This Row],[Importance]])</f>
        <v>Design,Workflow model,+BPMN Process Model,5</v>
      </c>
    </row>
    <row r="3" spans="1:11" x14ac:dyDescent="0.25">
      <c r="C3" t="s">
        <v>165</v>
      </c>
      <c r="E3" s="38">
        <v>-5</v>
      </c>
      <c r="F3" s="19" t="str" cm="1">
        <f t="array" ref="F3">_xlfn.XLOOKUP(TRUE,A$2:A3&lt;&gt;"",A$2:A3,,,-1)</f>
        <v>Design</v>
      </c>
      <c r="G3" s="19" t="str" cm="1">
        <f t="array" ref="G3">_xlfn.XLOOKUP(TRUE,B$2:B3&lt;&gt;"",B$2:B3,,,-1)</f>
        <v>Workflow model</v>
      </c>
      <c r="H3" s="19" t="str">
        <f>IF(CLASSIFICATION[[#This Row],[Classification (Generalized keyword)]]="",CLASSIFICATION[[#This Row],[Keyword]],CLASSIFICATION[[#This Row],[Classification (Generalized keyword)]])</f>
        <v>Custom Process Model</v>
      </c>
      <c r="I3" s="19" t="str">
        <f>_xlfn.CONCAT(CLASSIFICATION[[#This Row],[Project Stage Aggr]],",",CLASSIFICATION[[#This Row],[Functional Scope Aggr]],",",CLASSIFICATION[[#This Row],[Keyword]])</f>
        <v>Design,Workflow model,Custom Process Model</v>
      </c>
      <c r="J3" s="19" t="str">
        <f>_xlfn.CONCAT(CLASSIFICATION[[#This Row],[Project Stage Aggr]],",",CLASSIFICATION[[#This Row],[Functional Scope Aggr]],",",CLASSIFICATION[[#This Row],[Keyword Aggr]])</f>
        <v>Design,Workflow model,Custom Process Model</v>
      </c>
      <c r="K3" s="19" t="str">
        <f>_xlfn.CONCAT(CLASSIFICATION[[#This Row],[Project Stage Aggr]],",",CLASSIFICATION[[#This Row],[Functional Scope Aggr]],",",CLASSIFICATION[[#This Row],[Keyword Aggr]],",",CLASSIFICATION[[#This Row],[Importance]])</f>
        <v>Design,Workflow model,Custom Process Model,-5</v>
      </c>
    </row>
    <row r="4" spans="1:11" x14ac:dyDescent="0.25">
      <c r="B4" t="s">
        <v>39</v>
      </c>
      <c r="C4" t="s">
        <v>166</v>
      </c>
      <c r="E4" s="38">
        <v>5</v>
      </c>
      <c r="F4" s="19" t="str" cm="1">
        <f t="array" ref="F4">_xlfn.XLOOKUP(TRUE,A$2:A4&lt;&gt;"",A$2:A4,,,-1)</f>
        <v>Design</v>
      </c>
      <c r="G4" s="19" t="str" cm="1">
        <f t="array" ref="G4">_xlfn.XLOOKUP(TRUE,B$2:B4&lt;&gt;"",B$2:B4,,,-1)</f>
        <v>Database model</v>
      </c>
      <c r="H4" s="19" t="str">
        <f>IF(CLASSIFICATION[[#This Row],[Classification (Generalized keyword)]]="",CLASSIFICATION[[#This Row],[Keyword]],CLASSIFICATION[[#This Row],[Classification (Generalized keyword)]])</f>
        <v>+Business Data Types</v>
      </c>
      <c r="I4" s="19" t="str">
        <f>_xlfn.CONCAT(CLASSIFICATION[[#This Row],[Project Stage Aggr]],",",CLASSIFICATION[[#This Row],[Functional Scope Aggr]],",",CLASSIFICATION[[#This Row],[Keyword]])</f>
        <v>Design,Database model,+Business Data Types</v>
      </c>
      <c r="J4" s="19" t="str">
        <f>_xlfn.CONCAT(CLASSIFICATION[[#This Row],[Project Stage Aggr]],",",CLASSIFICATION[[#This Row],[Functional Scope Aggr]],",",CLASSIFICATION[[#This Row],[Keyword Aggr]])</f>
        <v>Design,Database model,+Business Data Types</v>
      </c>
      <c r="K4" s="19" t="str">
        <f>_xlfn.CONCAT(CLASSIFICATION[[#This Row],[Project Stage Aggr]],",",CLASSIFICATION[[#This Row],[Functional Scope Aggr]],",",CLASSIFICATION[[#This Row],[Keyword Aggr]],",",CLASSIFICATION[[#This Row],[Importance]])</f>
        <v>Design,Database model,+Business Data Types,5</v>
      </c>
    </row>
    <row r="5" spans="1:11" x14ac:dyDescent="0.25">
      <c r="C5" t="s">
        <v>167</v>
      </c>
      <c r="E5" s="38">
        <v>4</v>
      </c>
      <c r="F5" s="19" t="str" cm="1">
        <f t="array" ref="F5">_xlfn.XLOOKUP(TRUE,A$2:A5&lt;&gt;"",A$2:A5,,,-1)</f>
        <v>Design</v>
      </c>
      <c r="G5" s="19" t="str" cm="1">
        <f t="array" ref="G5">_xlfn.XLOOKUP(TRUE,B$2:B5&lt;&gt;"",B$2:B5,,,-1)</f>
        <v>Database model</v>
      </c>
      <c r="H5" s="19" t="str">
        <f>IF(CLASSIFICATION[[#This Row],[Classification (Generalized keyword)]]="",CLASSIFICATION[[#This Row],[Keyword]],CLASSIFICATION[[#This Row],[Classification (Generalized keyword)]])</f>
        <v>+Form-based Data</v>
      </c>
      <c r="I5" s="19" t="str">
        <f>_xlfn.CONCAT(CLASSIFICATION[[#This Row],[Project Stage Aggr]],",",CLASSIFICATION[[#This Row],[Functional Scope Aggr]],",",CLASSIFICATION[[#This Row],[Keyword]])</f>
        <v>Design,Database model,+Form-based Data</v>
      </c>
      <c r="J5" s="19" t="str">
        <f>_xlfn.CONCAT(CLASSIFICATION[[#This Row],[Project Stage Aggr]],",",CLASSIFICATION[[#This Row],[Functional Scope Aggr]],",",CLASSIFICATION[[#This Row],[Keyword Aggr]])</f>
        <v>Design,Database model,+Form-based Data</v>
      </c>
      <c r="K5" s="19" t="str">
        <f>_xlfn.CONCAT(CLASSIFICATION[[#This Row],[Project Stage Aggr]],",",CLASSIFICATION[[#This Row],[Functional Scope Aggr]],",",CLASSIFICATION[[#This Row],[Keyword Aggr]],",",CLASSIFICATION[[#This Row],[Importance]])</f>
        <v>Design,Database model,+Form-based Data,4</v>
      </c>
    </row>
    <row r="6" spans="1:11" x14ac:dyDescent="0.25">
      <c r="C6" t="s">
        <v>168</v>
      </c>
      <c r="E6" s="38">
        <v>3</v>
      </c>
      <c r="F6" s="19" t="str" cm="1">
        <f t="array" ref="F6">_xlfn.XLOOKUP(TRUE,A$2:A6&lt;&gt;"",A$2:A6,,,-1)</f>
        <v>Design</v>
      </c>
      <c r="G6" s="19" t="str" cm="1">
        <f t="array" ref="G6">_xlfn.XLOOKUP(TRUE,B$2:B6&lt;&gt;"",B$2:B6,,,-1)</f>
        <v>Database model</v>
      </c>
      <c r="H6" s="19" t="str">
        <f>IF(CLASSIFICATION[[#This Row],[Classification (Generalized keyword)]]="",CLASSIFICATION[[#This Row],[Keyword]],CLASSIFICATION[[#This Row],[Classification (Generalized keyword)]])</f>
        <v>+Item-Detail</v>
      </c>
      <c r="I6" s="19" t="str">
        <f>_xlfn.CONCAT(CLASSIFICATION[[#This Row],[Project Stage Aggr]],",",CLASSIFICATION[[#This Row],[Functional Scope Aggr]],",",CLASSIFICATION[[#This Row],[Keyword]])</f>
        <v>Design,Database model,+Item-Detail</v>
      </c>
      <c r="J6" s="19" t="str">
        <f>_xlfn.CONCAT(CLASSIFICATION[[#This Row],[Project Stage Aggr]],",",CLASSIFICATION[[#This Row],[Functional Scope Aggr]],",",CLASSIFICATION[[#This Row],[Keyword Aggr]])</f>
        <v>Design,Database model,+Item-Detail</v>
      </c>
      <c r="K6" s="19" t="str">
        <f>_xlfn.CONCAT(CLASSIFICATION[[#This Row],[Project Stage Aggr]],",",CLASSIFICATION[[#This Row],[Functional Scope Aggr]],",",CLASSIFICATION[[#This Row],[Keyword Aggr]],",",CLASSIFICATION[[#This Row],[Importance]])</f>
        <v>Design,Database model,+Item-Detail,3</v>
      </c>
    </row>
    <row r="7" spans="1:11" x14ac:dyDescent="0.25">
      <c r="C7" t="s">
        <v>169</v>
      </c>
      <c r="E7" s="38">
        <v>3</v>
      </c>
      <c r="F7" s="19" t="str" cm="1">
        <f t="array" ref="F7">_xlfn.XLOOKUP(TRUE,A$2:A7&lt;&gt;"",A$2:A7,,,-1)</f>
        <v>Design</v>
      </c>
      <c r="G7" s="19" t="str" cm="1">
        <f t="array" ref="G7">_xlfn.XLOOKUP(TRUE,B$2:B7&lt;&gt;"",B$2:B7,,,-1)</f>
        <v>Database model</v>
      </c>
      <c r="H7" s="19" t="str">
        <f>IF(CLASSIFICATION[[#This Row],[Classification (Generalized keyword)]]="",CLASSIFICATION[[#This Row],[Keyword]],CLASSIFICATION[[#This Row],[Classification (Generalized keyword)]])</f>
        <v>+Lookup/Drop-down</v>
      </c>
      <c r="I7" s="19" t="str">
        <f>_xlfn.CONCAT(CLASSIFICATION[[#This Row],[Project Stage Aggr]],",",CLASSIFICATION[[#This Row],[Functional Scope Aggr]],",",CLASSIFICATION[[#This Row],[Keyword]])</f>
        <v>Design,Database model,+Lookup/Drop-down</v>
      </c>
      <c r="J7" s="19" t="str">
        <f>_xlfn.CONCAT(CLASSIFICATION[[#This Row],[Project Stage Aggr]],",",CLASSIFICATION[[#This Row],[Functional Scope Aggr]],",",CLASSIFICATION[[#This Row],[Keyword Aggr]])</f>
        <v>Design,Database model,+Lookup/Drop-down</v>
      </c>
      <c r="K7" s="19" t="str">
        <f>_xlfn.CONCAT(CLASSIFICATION[[#This Row],[Project Stage Aggr]],",",CLASSIFICATION[[#This Row],[Functional Scope Aggr]],",",CLASSIFICATION[[#This Row],[Keyword Aggr]],",",CLASSIFICATION[[#This Row],[Importance]])</f>
        <v>Design,Database model,+Lookup/Drop-down,3</v>
      </c>
    </row>
    <row r="8" spans="1:11" x14ac:dyDescent="0.25">
      <c r="C8" t="s">
        <v>170</v>
      </c>
      <c r="E8" s="38">
        <v>4</v>
      </c>
      <c r="F8" s="19" t="str" cm="1">
        <f t="array" ref="F8">_xlfn.XLOOKUP(TRUE,A$2:A8&lt;&gt;"",A$2:A8,,,-1)</f>
        <v>Design</v>
      </c>
      <c r="G8" s="19" t="str" cm="1">
        <f t="array" ref="G8">_xlfn.XLOOKUP(TRUE,B$2:B8&lt;&gt;"",B$2:B8,,,-1)</f>
        <v>Database model</v>
      </c>
      <c r="H8" s="19" t="str">
        <f>IF(CLASSIFICATION[[#This Row],[Classification (Generalized keyword)]]="",CLASSIFICATION[[#This Row],[Keyword]],CLASSIFICATION[[#This Row],[Classification (Generalized keyword)]])</f>
        <v>+Predefined Entities</v>
      </c>
      <c r="I8" s="19" t="str">
        <f>_xlfn.CONCAT(CLASSIFICATION[[#This Row],[Project Stage Aggr]],",",CLASSIFICATION[[#This Row],[Functional Scope Aggr]],",",CLASSIFICATION[[#This Row],[Keyword]])</f>
        <v>Design,Database model,+Predefined Entities</v>
      </c>
      <c r="J8" s="19" t="str">
        <f>_xlfn.CONCAT(CLASSIFICATION[[#This Row],[Project Stage Aggr]],",",CLASSIFICATION[[#This Row],[Functional Scope Aggr]],",",CLASSIFICATION[[#This Row],[Keyword Aggr]])</f>
        <v>Design,Database model,+Predefined Entities</v>
      </c>
      <c r="K8" s="19" t="str">
        <f>_xlfn.CONCAT(CLASSIFICATION[[#This Row],[Project Stage Aggr]],",",CLASSIFICATION[[#This Row],[Functional Scope Aggr]],",",CLASSIFICATION[[#This Row],[Keyword Aggr]],",",CLASSIFICATION[[#This Row],[Importance]])</f>
        <v>Design,Database model,+Predefined Entities,4</v>
      </c>
    </row>
    <row r="9" spans="1:11" x14ac:dyDescent="0.25">
      <c r="C9" t="s">
        <v>171</v>
      </c>
      <c r="D9" s="6" t="s">
        <v>177</v>
      </c>
      <c r="E9" s="39">
        <v>-3</v>
      </c>
      <c r="F9" s="19" t="str" cm="1">
        <f t="array" ref="F9">_xlfn.XLOOKUP(TRUE,A$2:A9&lt;&gt;"",A$2:A9,,,-1)</f>
        <v>Design</v>
      </c>
      <c r="G9" s="19" t="str" cm="1">
        <f t="array" ref="G9">_xlfn.XLOOKUP(TRUE,B$2:B9&lt;&gt;"",B$2:B9,,,-1)</f>
        <v>Database model</v>
      </c>
      <c r="H9" s="19" t="str">
        <f>IF(CLASSIFICATION[[#This Row],[Classification (Generalized keyword)]]="",CLASSIFICATION[[#This Row],[Keyword]],CLASSIFICATION[[#This Row],[Classification (Generalized keyword)]])</f>
        <v>Domain Model</v>
      </c>
      <c r="I9" s="19" t="str">
        <f>_xlfn.CONCAT(CLASSIFICATION[[#This Row],[Project Stage Aggr]],",",CLASSIFICATION[[#This Row],[Functional Scope Aggr]],",",CLASSIFICATION[[#This Row],[Keyword]])</f>
        <v>Design,Database model,Association</v>
      </c>
      <c r="J9" s="19" t="str">
        <f>_xlfn.CONCAT(CLASSIFICATION[[#This Row],[Project Stage Aggr]],",",CLASSIFICATION[[#This Row],[Functional Scope Aggr]],",",CLASSIFICATION[[#This Row],[Keyword Aggr]])</f>
        <v>Design,Database model,Domain Model</v>
      </c>
      <c r="K9" s="19" t="str">
        <f>_xlfn.CONCAT(CLASSIFICATION[[#This Row],[Project Stage Aggr]],",",CLASSIFICATION[[#This Row],[Functional Scope Aggr]],",",CLASSIFICATION[[#This Row],[Keyword Aggr]],",",CLASSIFICATION[[#This Row],[Importance]])</f>
        <v>Design,Database model,Domain Model,-3</v>
      </c>
    </row>
    <row r="10" spans="1:11" x14ac:dyDescent="0.25">
      <c r="C10" t="s">
        <v>172</v>
      </c>
      <c r="E10" s="38">
        <v>-2</v>
      </c>
      <c r="F10" s="19" t="str" cm="1">
        <f t="array" ref="F10">_xlfn.XLOOKUP(TRUE,A$2:A10&lt;&gt;"",A$2:A10,,,-1)</f>
        <v>Design</v>
      </c>
      <c r="G10" s="19" t="str" cm="1">
        <f t="array" ref="G10">_xlfn.XLOOKUP(TRUE,B$2:B10&lt;&gt;"",B$2:B10,,,-1)</f>
        <v>Database model</v>
      </c>
      <c r="H10" s="19" t="str">
        <f>IF(CLASSIFICATION[[#This Row],[Classification (Generalized keyword)]]="",CLASSIFICATION[[#This Row],[Keyword]],CLASSIFICATION[[#This Row],[Classification (Generalized keyword)]])</f>
        <v>Conditional Expressions</v>
      </c>
      <c r="I10" s="19" t="str">
        <f>_xlfn.CONCAT(CLASSIFICATION[[#This Row],[Project Stage Aggr]],",",CLASSIFICATION[[#This Row],[Functional Scope Aggr]],",",CLASSIFICATION[[#This Row],[Keyword]])</f>
        <v>Design,Database model,Conditional Expressions</v>
      </c>
      <c r="J10" s="19" t="str">
        <f>_xlfn.CONCAT(CLASSIFICATION[[#This Row],[Project Stage Aggr]],",",CLASSIFICATION[[#This Row],[Functional Scope Aggr]],",",CLASSIFICATION[[#This Row],[Keyword Aggr]])</f>
        <v>Design,Database model,Conditional Expressions</v>
      </c>
      <c r="K10" s="19" t="str">
        <f>_xlfn.CONCAT(CLASSIFICATION[[#This Row],[Project Stage Aggr]],",",CLASSIFICATION[[#This Row],[Functional Scope Aggr]],",",CLASSIFICATION[[#This Row],[Keyword Aggr]],",",CLASSIFICATION[[#This Row],[Importance]])</f>
        <v>Design,Database model,Conditional Expressions,-2</v>
      </c>
    </row>
    <row r="11" spans="1:11" x14ac:dyDescent="0.25">
      <c r="C11" t="s">
        <v>173</v>
      </c>
      <c r="E11" s="38">
        <v>-2</v>
      </c>
      <c r="F11" s="19" t="str" cm="1">
        <f t="array" ref="F11">_xlfn.XLOOKUP(TRUE,A$2:A11&lt;&gt;"",A$2:A11,,,-1)</f>
        <v>Design</v>
      </c>
      <c r="G11" s="19" t="str" cm="1">
        <f t="array" ref="G11">_xlfn.XLOOKUP(TRUE,B$2:B11&lt;&gt;"",B$2:B11,,,-1)</f>
        <v>Database model</v>
      </c>
      <c r="H11" s="19" t="str">
        <f>IF(CLASSIFICATION[[#This Row],[Classification (Generalized keyword)]]="",CLASSIFICATION[[#This Row],[Keyword]],CLASSIFICATION[[#This Row],[Classification (Generalized keyword)]])</f>
        <v>Constraints</v>
      </c>
      <c r="I11" s="19" t="str">
        <f>_xlfn.CONCAT(CLASSIFICATION[[#This Row],[Project Stage Aggr]],",",CLASSIFICATION[[#This Row],[Functional Scope Aggr]],",",CLASSIFICATION[[#This Row],[Keyword]])</f>
        <v>Design,Database model,Constraints</v>
      </c>
      <c r="J11" s="19" t="str">
        <f>_xlfn.CONCAT(CLASSIFICATION[[#This Row],[Project Stage Aggr]],",",CLASSIFICATION[[#This Row],[Functional Scope Aggr]],",",CLASSIFICATION[[#This Row],[Keyword Aggr]])</f>
        <v>Design,Database model,Constraints</v>
      </c>
      <c r="K11" s="19" t="str">
        <f>_xlfn.CONCAT(CLASSIFICATION[[#This Row],[Project Stage Aggr]],",",CLASSIFICATION[[#This Row],[Functional Scope Aggr]],",",CLASSIFICATION[[#This Row],[Keyword Aggr]],",",CLASSIFICATION[[#This Row],[Importance]])</f>
        <v>Design,Database model,Constraints,-2</v>
      </c>
    </row>
    <row r="12" spans="1:11" x14ac:dyDescent="0.25">
      <c r="C12" t="s">
        <v>174</v>
      </c>
      <c r="E12" s="38">
        <v>-3</v>
      </c>
      <c r="F12" s="19" t="str" cm="1">
        <f t="array" ref="F12">_xlfn.XLOOKUP(TRUE,A$2:A12&lt;&gt;"",A$2:A12,,,-1)</f>
        <v>Design</v>
      </c>
      <c r="G12" s="19" t="str" cm="1">
        <f t="array" ref="G12">_xlfn.XLOOKUP(TRUE,B$2:B12&lt;&gt;"",B$2:B12,,,-1)</f>
        <v>Database model</v>
      </c>
      <c r="H12" s="19" t="str">
        <f>IF(CLASSIFICATION[[#This Row],[Classification (Generalized keyword)]]="",CLASSIFICATION[[#This Row],[Keyword]],CLASSIFICATION[[#This Row],[Classification (Generalized keyword)]])</f>
        <v>Data Structure</v>
      </c>
      <c r="I12" s="19" t="str">
        <f>_xlfn.CONCAT(CLASSIFICATION[[#This Row],[Project Stage Aggr]],",",CLASSIFICATION[[#This Row],[Functional Scope Aggr]],",",CLASSIFICATION[[#This Row],[Keyword]])</f>
        <v>Design,Database model,Data Structure</v>
      </c>
      <c r="J12" s="19" t="str">
        <f>_xlfn.CONCAT(CLASSIFICATION[[#This Row],[Project Stage Aggr]],",",CLASSIFICATION[[#This Row],[Functional Scope Aggr]],",",CLASSIFICATION[[#This Row],[Keyword Aggr]])</f>
        <v>Design,Database model,Data Structure</v>
      </c>
      <c r="K12" s="19" t="str">
        <f>_xlfn.CONCAT(CLASSIFICATION[[#This Row],[Project Stage Aggr]],",",CLASSIFICATION[[#This Row],[Functional Scope Aggr]],",",CLASSIFICATION[[#This Row],[Keyword Aggr]],",",CLASSIFICATION[[#This Row],[Importance]])</f>
        <v>Design,Database model,Data Structure,-3</v>
      </c>
    </row>
    <row r="13" spans="1:11" x14ac:dyDescent="0.25">
      <c r="C13" t="s">
        <v>175</v>
      </c>
      <c r="D13" t="s">
        <v>269</v>
      </c>
      <c r="E13" s="38">
        <v>-4</v>
      </c>
      <c r="F13" s="19" t="str" cm="1">
        <f t="array" ref="F13">_xlfn.XLOOKUP(TRUE,A$2:A13&lt;&gt;"",A$2:A13,,,-1)</f>
        <v>Design</v>
      </c>
      <c r="G13" s="19" t="str" cm="1">
        <f t="array" ref="G13">_xlfn.XLOOKUP(TRUE,B$2:B13&lt;&gt;"",B$2:B13,,,-1)</f>
        <v>Database model</v>
      </c>
      <c r="H13" s="19" t="str">
        <f>IF(CLASSIFICATION[[#This Row],[Classification (Generalized keyword)]]="",CLASSIFICATION[[#This Row],[Keyword]],CLASSIFICATION[[#This Row],[Classification (Generalized keyword)]])</f>
        <v>IT Data Types</v>
      </c>
      <c r="I13" s="19" t="str">
        <f>_xlfn.CONCAT(CLASSIFICATION[[#This Row],[Project Stage Aggr]],",",CLASSIFICATION[[#This Row],[Functional Scope Aggr]],",",CLASSIFICATION[[#This Row],[Keyword]])</f>
        <v>Design,Database model,Data Types</v>
      </c>
      <c r="J13" s="19" t="str">
        <f>_xlfn.CONCAT(CLASSIFICATION[[#This Row],[Project Stage Aggr]],",",CLASSIFICATION[[#This Row],[Functional Scope Aggr]],",",CLASSIFICATION[[#This Row],[Keyword Aggr]])</f>
        <v>Design,Database model,IT Data Types</v>
      </c>
      <c r="K13" s="19" t="str">
        <f>_xlfn.CONCAT(CLASSIFICATION[[#This Row],[Project Stage Aggr]],",",CLASSIFICATION[[#This Row],[Functional Scope Aggr]],",",CLASSIFICATION[[#This Row],[Keyword Aggr]],",",CLASSIFICATION[[#This Row],[Importance]])</f>
        <v>Design,Database model,IT Data Types,-4</v>
      </c>
    </row>
    <row r="14" spans="1:11" x14ac:dyDescent="0.25">
      <c r="C14" t="s">
        <v>176</v>
      </c>
      <c r="E14" s="38">
        <v>-3</v>
      </c>
      <c r="F14" s="19" t="str" cm="1">
        <f t="array" ref="F14">_xlfn.XLOOKUP(TRUE,A$2:A14&lt;&gt;"",A$2:A14,,,-1)</f>
        <v>Design</v>
      </c>
      <c r="G14" s="19" t="str" cm="1">
        <f t="array" ref="G14">_xlfn.XLOOKUP(TRUE,B$2:B14&lt;&gt;"",B$2:B14,,,-1)</f>
        <v>Database model</v>
      </c>
      <c r="H14" s="19" t="str">
        <f>IF(CLASSIFICATION[[#This Row],[Classification (Generalized keyword)]]="",CLASSIFICATION[[#This Row],[Keyword]],CLASSIFICATION[[#This Row],[Classification (Generalized keyword)]])</f>
        <v>Denormalization</v>
      </c>
      <c r="I14" s="19" t="str">
        <f>_xlfn.CONCAT(CLASSIFICATION[[#This Row],[Project Stage Aggr]],",",CLASSIFICATION[[#This Row],[Functional Scope Aggr]],",",CLASSIFICATION[[#This Row],[Keyword]])</f>
        <v>Design,Database model,Denormalization</v>
      </c>
      <c r="J14" s="19" t="str">
        <f>_xlfn.CONCAT(CLASSIFICATION[[#This Row],[Project Stage Aggr]],",",CLASSIFICATION[[#This Row],[Functional Scope Aggr]],",",CLASSIFICATION[[#This Row],[Keyword Aggr]])</f>
        <v>Design,Database model,Denormalization</v>
      </c>
      <c r="K14" s="19" t="str">
        <f>_xlfn.CONCAT(CLASSIFICATION[[#This Row],[Project Stage Aggr]],",",CLASSIFICATION[[#This Row],[Functional Scope Aggr]],",",CLASSIFICATION[[#This Row],[Keyword Aggr]],",",CLASSIFICATION[[#This Row],[Importance]])</f>
        <v>Design,Database model,Denormalization,-3</v>
      </c>
    </row>
    <row r="15" spans="1:11" x14ac:dyDescent="0.25">
      <c r="C15" t="s">
        <v>177</v>
      </c>
      <c r="E15" s="38">
        <v>-3</v>
      </c>
      <c r="F15" s="19" t="str" cm="1">
        <f t="array" ref="F15">_xlfn.XLOOKUP(TRUE,A$2:A15&lt;&gt;"",A$2:A15,,,-1)</f>
        <v>Design</v>
      </c>
      <c r="G15" s="19" t="str" cm="1">
        <f t="array" ref="G15">_xlfn.XLOOKUP(TRUE,B$2:B15&lt;&gt;"",B$2:B15,,,-1)</f>
        <v>Database model</v>
      </c>
      <c r="H15" s="19" t="str">
        <f>IF(CLASSIFICATION[[#This Row],[Classification (Generalized keyword)]]="",CLASSIFICATION[[#This Row],[Keyword]],CLASSIFICATION[[#This Row],[Classification (Generalized keyword)]])</f>
        <v>Domain Model</v>
      </c>
      <c r="I15" s="19" t="str">
        <f>_xlfn.CONCAT(CLASSIFICATION[[#This Row],[Project Stage Aggr]],",",CLASSIFICATION[[#This Row],[Functional Scope Aggr]],",",CLASSIFICATION[[#This Row],[Keyword]])</f>
        <v>Design,Database model,Domain Model</v>
      </c>
      <c r="J15" s="19" t="str">
        <f>_xlfn.CONCAT(CLASSIFICATION[[#This Row],[Project Stage Aggr]],",",CLASSIFICATION[[#This Row],[Functional Scope Aggr]],",",CLASSIFICATION[[#This Row],[Keyword Aggr]])</f>
        <v>Design,Database model,Domain Model</v>
      </c>
      <c r="K15" s="19" t="str">
        <f>_xlfn.CONCAT(CLASSIFICATION[[#This Row],[Project Stage Aggr]],",",CLASSIFICATION[[#This Row],[Functional Scope Aggr]],",",CLASSIFICATION[[#This Row],[Keyword Aggr]],",",CLASSIFICATION[[#This Row],[Importance]])</f>
        <v>Design,Database model,Domain Model,-3</v>
      </c>
    </row>
    <row r="16" spans="1:11" x14ac:dyDescent="0.25">
      <c r="C16" t="s">
        <v>178</v>
      </c>
      <c r="E16" s="38">
        <v>-4</v>
      </c>
      <c r="F16" s="19" t="str" cm="1">
        <f t="array" ref="F16">_xlfn.XLOOKUP(TRUE,A$2:A16&lt;&gt;"",A$2:A16,,,-1)</f>
        <v>Design</v>
      </c>
      <c r="G16" s="19" t="str" cm="1">
        <f t="array" ref="G16">_xlfn.XLOOKUP(TRUE,B$2:B16&lt;&gt;"",B$2:B16,,,-1)</f>
        <v>Database model</v>
      </c>
      <c r="H16" s="19" t="str">
        <f>IF(CLASSIFICATION[[#This Row],[Classification (Generalized keyword)]]="",CLASSIFICATION[[#This Row],[Keyword]],CLASSIFICATION[[#This Row],[Classification (Generalized keyword)]])</f>
        <v>Entity Diagrams</v>
      </c>
      <c r="I16" s="19" t="str">
        <f>_xlfn.CONCAT(CLASSIFICATION[[#This Row],[Project Stage Aggr]],",",CLASSIFICATION[[#This Row],[Functional Scope Aggr]],",",CLASSIFICATION[[#This Row],[Keyword]])</f>
        <v>Design,Database model,Entity Diagrams</v>
      </c>
      <c r="J16" s="19" t="str">
        <f>_xlfn.CONCAT(CLASSIFICATION[[#This Row],[Project Stage Aggr]],",",CLASSIFICATION[[#This Row],[Functional Scope Aggr]],",",CLASSIFICATION[[#This Row],[Keyword Aggr]])</f>
        <v>Design,Database model,Entity Diagrams</v>
      </c>
      <c r="K16" s="19" t="str">
        <f>_xlfn.CONCAT(CLASSIFICATION[[#This Row],[Project Stage Aggr]],",",CLASSIFICATION[[#This Row],[Functional Scope Aggr]],",",CLASSIFICATION[[#This Row],[Keyword Aggr]],",",CLASSIFICATION[[#This Row],[Importance]])</f>
        <v>Design,Database model,Entity Diagrams,-4</v>
      </c>
    </row>
    <row r="17" spans="2:11" x14ac:dyDescent="0.25">
      <c r="C17" t="s">
        <v>179</v>
      </c>
      <c r="D17" t="s">
        <v>178</v>
      </c>
      <c r="E17" s="38">
        <v>-4</v>
      </c>
      <c r="F17" s="19" t="str" cm="1">
        <f t="array" ref="F17">_xlfn.XLOOKUP(TRUE,A$2:A17&lt;&gt;"",A$2:A17,,,-1)</f>
        <v>Design</v>
      </c>
      <c r="G17" s="19" t="str" cm="1">
        <f t="array" ref="G17">_xlfn.XLOOKUP(TRUE,B$2:B17&lt;&gt;"",B$2:B17,,,-1)</f>
        <v>Database model</v>
      </c>
      <c r="H17" s="19" t="str">
        <f>IF(CLASSIFICATION[[#This Row],[Classification (Generalized keyword)]]="",CLASSIFICATION[[#This Row],[Keyword]],CLASSIFICATION[[#This Row],[Classification (Generalized keyword)]])</f>
        <v>Entity Diagrams</v>
      </c>
      <c r="I17" s="19" t="str">
        <f>_xlfn.CONCAT(CLASSIFICATION[[#This Row],[Project Stage Aggr]],",",CLASSIFICATION[[#This Row],[Functional Scope Aggr]],",",CLASSIFICATION[[#This Row],[Keyword]])</f>
        <v>Design,Database model,Entity relationships</v>
      </c>
      <c r="J17" s="19" t="str">
        <f>_xlfn.CONCAT(CLASSIFICATION[[#This Row],[Project Stage Aggr]],",",CLASSIFICATION[[#This Row],[Functional Scope Aggr]],",",CLASSIFICATION[[#This Row],[Keyword Aggr]])</f>
        <v>Design,Database model,Entity Diagrams</v>
      </c>
      <c r="K17" s="19" t="str">
        <f>_xlfn.CONCAT(CLASSIFICATION[[#This Row],[Project Stage Aggr]],",",CLASSIFICATION[[#This Row],[Functional Scope Aggr]],",",CLASSIFICATION[[#This Row],[Keyword Aggr]],",",CLASSIFICATION[[#This Row],[Importance]])</f>
        <v>Design,Database model,Entity Diagrams,-4</v>
      </c>
    </row>
    <row r="18" spans="2:11" x14ac:dyDescent="0.25">
      <c r="C18" t="s">
        <v>180</v>
      </c>
      <c r="E18" s="38">
        <v>-1</v>
      </c>
      <c r="F18" s="19" t="str" cm="1">
        <f t="array" ref="F18">_xlfn.XLOOKUP(TRUE,A$2:A18&lt;&gt;"",A$2:A18,,,-1)</f>
        <v>Design</v>
      </c>
      <c r="G18" s="19" t="str" cm="1">
        <f t="array" ref="G18">_xlfn.XLOOKUP(TRUE,B$2:B18&lt;&gt;"",B$2:B18,,,-1)</f>
        <v>Database model</v>
      </c>
      <c r="H18" s="19" t="str">
        <f>IF(CLASSIFICATION[[#This Row],[Classification (Generalized keyword)]]="",CLASSIFICATION[[#This Row],[Keyword]],CLASSIFICATION[[#This Row],[Classification (Generalized keyword)]])</f>
        <v>Enumeration</v>
      </c>
      <c r="I18" s="19" t="str">
        <f>_xlfn.CONCAT(CLASSIFICATION[[#This Row],[Project Stage Aggr]],",",CLASSIFICATION[[#This Row],[Functional Scope Aggr]],",",CLASSIFICATION[[#This Row],[Keyword]])</f>
        <v>Design,Database model,Enumeration</v>
      </c>
      <c r="J18" s="19" t="str">
        <f>_xlfn.CONCAT(CLASSIFICATION[[#This Row],[Project Stage Aggr]],",",CLASSIFICATION[[#This Row],[Functional Scope Aggr]],",",CLASSIFICATION[[#This Row],[Keyword Aggr]])</f>
        <v>Design,Database model,Enumeration</v>
      </c>
      <c r="K18" s="19" t="str">
        <f>_xlfn.CONCAT(CLASSIFICATION[[#This Row],[Project Stage Aggr]],",",CLASSIFICATION[[#This Row],[Functional Scope Aggr]],",",CLASSIFICATION[[#This Row],[Keyword Aggr]],",",CLASSIFICATION[[#This Row],[Importance]])</f>
        <v>Design,Database model,Enumeration,-1</v>
      </c>
    </row>
    <row r="19" spans="2:11" x14ac:dyDescent="0.25">
      <c r="C19" t="s">
        <v>181</v>
      </c>
      <c r="E19" s="38">
        <v>-1</v>
      </c>
      <c r="F19" s="19" t="str" cm="1">
        <f t="array" ref="F19">_xlfn.XLOOKUP(TRUE,A$2:A19&lt;&gt;"",A$2:A19,,,-1)</f>
        <v>Design</v>
      </c>
      <c r="G19" s="19" t="str" cm="1">
        <f t="array" ref="G19">_xlfn.XLOOKUP(TRUE,B$2:B19&lt;&gt;"",B$2:B19,,,-1)</f>
        <v>Database model</v>
      </c>
      <c r="H19" s="19" t="str">
        <f>IF(CLASSIFICATION[[#This Row],[Classification (Generalized keyword)]]="",CLASSIFICATION[[#This Row],[Keyword]],CLASSIFICATION[[#This Row],[Classification (Generalized keyword)]])</f>
        <v>Expressions</v>
      </c>
      <c r="I19" s="19" t="str">
        <f>_xlfn.CONCAT(CLASSIFICATION[[#This Row],[Project Stage Aggr]],",",CLASSIFICATION[[#This Row],[Functional Scope Aggr]],",",CLASSIFICATION[[#This Row],[Keyword]])</f>
        <v>Design,Database model,Expressions</v>
      </c>
      <c r="J19" s="19" t="str">
        <f>_xlfn.CONCAT(CLASSIFICATION[[#This Row],[Project Stage Aggr]],",",CLASSIFICATION[[#This Row],[Functional Scope Aggr]],",",CLASSIFICATION[[#This Row],[Keyword Aggr]])</f>
        <v>Design,Database model,Expressions</v>
      </c>
      <c r="K19" s="19" t="str">
        <f>_xlfn.CONCAT(CLASSIFICATION[[#This Row],[Project Stage Aggr]],",",CLASSIFICATION[[#This Row],[Functional Scope Aggr]],",",CLASSIFICATION[[#This Row],[Keyword Aggr]],",",CLASSIFICATION[[#This Row],[Importance]])</f>
        <v>Design,Database model,Expressions,-1</v>
      </c>
    </row>
    <row r="20" spans="2:11" x14ac:dyDescent="0.25">
      <c r="C20" t="s">
        <v>182</v>
      </c>
      <c r="D20" t="s">
        <v>239</v>
      </c>
      <c r="E20" s="38">
        <v>-5</v>
      </c>
      <c r="F20" s="19" t="str" cm="1">
        <f t="array" ref="F20">_xlfn.XLOOKUP(TRUE,A$2:A20&lt;&gt;"",A$2:A20,,,-1)</f>
        <v>Design</v>
      </c>
      <c r="G20" s="19" t="str" cm="1">
        <f t="array" ref="G20">_xlfn.XLOOKUP(TRUE,B$2:B20&lt;&gt;"",B$2:B20,,,-1)</f>
        <v>Database model</v>
      </c>
      <c r="H20" s="19" t="str">
        <f>IF(CLASSIFICATION[[#This Row],[Classification (Generalized keyword)]]="",CLASSIFICATION[[#This Row],[Keyword]],CLASSIFICATION[[#This Row],[Classification (Generalized keyword)]])</f>
        <v>Relational Database</v>
      </c>
      <c r="I20" s="19" t="str">
        <f>_xlfn.CONCAT(CLASSIFICATION[[#This Row],[Project Stage Aggr]],",",CLASSIFICATION[[#This Row],[Functional Scope Aggr]],",",CLASSIFICATION[[#This Row],[Keyword]])</f>
        <v>Design,Database model,Foreign Key</v>
      </c>
      <c r="J20" s="19" t="str">
        <f>_xlfn.CONCAT(CLASSIFICATION[[#This Row],[Project Stage Aggr]],",",CLASSIFICATION[[#This Row],[Functional Scope Aggr]],",",CLASSIFICATION[[#This Row],[Keyword Aggr]])</f>
        <v>Design,Database model,Relational Database</v>
      </c>
      <c r="K20" s="19" t="str">
        <f>_xlfn.CONCAT(CLASSIFICATION[[#This Row],[Project Stage Aggr]],",",CLASSIFICATION[[#This Row],[Functional Scope Aggr]],",",CLASSIFICATION[[#This Row],[Keyword Aggr]],",",CLASSIFICATION[[#This Row],[Importance]])</f>
        <v>Design,Database model,Relational Database,-5</v>
      </c>
    </row>
    <row r="21" spans="2:11" x14ac:dyDescent="0.25">
      <c r="C21" t="s">
        <v>183</v>
      </c>
      <c r="D21" t="s">
        <v>239</v>
      </c>
      <c r="E21" s="38">
        <v>-5</v>
      </c>
      <c r="F21" s="19" t="str" cm="1">
        <f t="array" ref="F21">_xlfn.XLOOKUP(TRUE,A$2:A21&lt;&gt;"",A$2:A21,,,-1)</f>
        <v>Design</v>
      </c>
      <c r="G21" s="19" t="str" cm="1">
        <f t="array" ref="G21">_xlfn.XLOOKUP(TRUE,B$2:B21&lt;&gt;"",B$2:B21,,,-1)</f>
        <v>Database model</v>
      </c>
      <c r="H21" s="19" t="str">
        <f>IF(CLASSIFICATION[[#This Row],[Classification (Generalized keyword)]]="",CLASSIFICATION[[#This Row],[Keyword]],CLASSIFICATION[[#This Row],[Classification (Generalized keyword)]])</f>
        <v>Relational Database</v>
      </c>
      <c r="I21" s="19" t="str">
        <f>_xlfn.CONCAT(CLASSIFICATION[[#This Row],[Project Stage Aggr]],",",CLASSIFICATION[[#This Row],[Functional Scope Aggr]],",",CLASSIFICATION[[#This Row],[Keyword]])</f>
        <v>Design,Database model,Indexes</v>
      </c>
      <c r="J21" s="19" t="str">
        <f>_xlfn.CONCAT(CLASSIFICATION[[#This Row],[Project Stage Aggr]],",",CLASSIFICATION[[#This Row],[Functional Scope Aggr]],",",CLASSIFICATION[[#This Row],[Keyword Aggr]])</f>
        <v>Design,Database model,Relational Database</v>
      </c>
      <c r="K21" s="19" t="str">
        <f>_xlfn.CONCAT(CLASSIFICATION[[#This Row],[Project Stage Aggr]],",",CLASSIFICATION[[#This Row],[Functional Scope Aggr]],",",CLASSIFICATION[[#This Row],[Keyword Aggr]],",",CLASSIFICATION[[#This Row],[Importance]])</f>
        <v>Design,Database model,Relational Database,-5</v>
      </c>
    </row>
    <row r="22" spans="2:11" x14ac:dyDescent="0.25">
      <c r="C22" t="s">
        <v>184</v>
      </c>
      <c r="D22" t="s">
        <v>239</v>
      </c>
      <c r="E22" s="38">
        <v>-5</v>
      </c>
      <c r="F22" s="19" t="str" cm="1">
        <f t="array" ref="F22">_xlfn.XLOOKUP(TRUE,A$2:A22&lt;&gt;"",A$2:A22,,,-1)</f>
        <v>Design</v>
      </c>
      <c r="G22" s="19" t="str" cm="1">
        <f t="array" ref="G22">_xlfn.XLOOKUP(TRUE,B$2:B22&lt;&gt;"",B$2:B22,,,-1)</f>
        <v>Database model</v>
      </c>
      <c r="H22" s="19" t="str">
        <f>IF(CLASSIFICATION[[#This Row],[Classification (Generalized keyword)]]="",CLASSIFICATION[[#This Row],[Keyword]],CLASSIFICATION[[#This Row],[Classification (Generalized keyword)]])</f>
        <v>Relational Database</v>
      </c>
      <c r="I22" s="19" t="str">
        <f>_xlfn.CONCAT(CLASSIFICATION[[#This Row],[Project Stage Aggr]],",",CLASSIFICATION[[#This Row],[Functional Scope Aggr]],",",CLASSIFICATION[[#This Row],[Keyword]])</f>
        <v>Design,Database model,Many-to-Many</v>
      </c>
      <c r="J22" s="19" t="str">
        <f>_xlfn.CONCAT(CLASSIFICATION[[#This Row],[Project Stage Aggr]],",",CLASSIFICATION[[#This Row],[Functional Scope Aggr]],",",CLASSIFICATION[[#This Row],[Keyword Aggr]])</f>
        <v>Design,Database model,Relational Database</v>
      </c>
      <c r="K22" s="19" t="str">
        <f>_xlfn.CONCAT(CLASSIFICATION[[#This Row],[Project Stage Aggr]],",",CLASSIFICATION[[#This Row],[Functional Scope Aggr]],",",CLASSIFICATION[[#This Row],[Keyword Aggr]],",",CLASSIFICATION[[#This Row],[Importance]])</f>
        <v>Design,Database model,Relational Database,-5</v>
      </c>
    </row>
    <row r="23" spans="2:11" x14ac:dyDescent="0.25">
      <c r="C23" t="s">
        <v>185</v>
      </c>
      <c r="D23" t="s">
        <v>239</v>
      </c>
      <c r="E23" s="38">
        <v>-5</v>
      </c>
      <c r="F23" s="19" t="str" cm="1">
        <f t="array" ref="F23">_xlfn.XLOOKUP(TRUE,A$2:A23&lt;&gt;"",A$2:A23,,,-1)</f>
        <v>Design</v>
      </c>
      <c r="G23" s="19" t="str" cm="1">
        <f t="array" ref="G23">_xlfn.XLOOKUP(TRUE,B$2:B23&lt;&gt;"",B$2:B23,,,-1)</f>
        <v>Database model</v>
      </c>
      <c r="H23" s="19" t="str">
        <f>IF(CLASSIFICATION[[#This Row],[Classification (Generalized keyword)]]="",CLASSIFICATION[[#This Row],[Keyword]],CLASSIFICATION[[#This Row],[Classification (Generalized keyword)]])</f>
        <v>Relational Database</v>
      </c>
      <c r="I23" s="19" t="str">
        <f>_xlfn.CONCAT(CLASSIFICATION[[#This Row],[Project Stage Aggr]],",",CLASSIFICATION[[#This Row],[Functional Scope Aggr]],",",CLASSIFICATION[[#This Row],[Keyword]])</f>
        <v>Design,Database model,One-to-Many</v>
      </c>
      <c r="J23" s="19" t="str">
        <f>_xlfn.CONCAT(CLASSIFICATION[[#This Row],[Project Stage Aggr]],",",CLASSIFICATION[[#This Row],[Functional Scope Aggr]],",",CLASSIFICATION[[#This Row],[Keyword Aggr]])</f>
        <v>Design,Database model,Relational Database</v>
      </c>
      <c r="K23" s="19" t="str">
        <f>_xlfn.CONCAT(CLASSIFICATION[[#This Row],[Project Stage Aggr]],",",CLASSIFICATION[[#This Row],[Functional Scope Aggr]],",",CLASSIFICATION[[#This Row],[Keyword Aggr]],",",CLASSIFICATION[[#This Row],[Importance]])</f>
        <v>Design,Database model,Relational Database,-5</v>
      </c>
    </row>
    <row r="24" spans="2:11" x14ac:dyDescent="0.25">
      <c r="C24" t="s">
        <v>186</v>
      </c>
      <c r="D24" t="s">
        <v>239</v>
      </c>
      <c r="E24" s="38">
        <v>-5</v>
      </c>
      <c r="F24" s="19" t="str" cm="1">
        <f t="array" ref="F24">_xlfn.XLOOKUP(TRUE,A$2:A24&lt;&gt;"",A$2:A24,,,-1)</f>
        <v>Design</v>
      </c>
      <c r="G24" s="19" t="str" cm="1">
        <f t="array" ref="G24">_xlfn.XLOOKUP(TRUE,B$2:B24&lt;&gt;"",B$2:B24,,,-1)</f>
        <v>Database model</v>
      </c>
      <c r="H24" s="19" t="str">
        <f>IF(CLASSIFICATION[[#This Row],[Classification (Generalized keyword)]]="",CLASSIFICATION[[#This Row],[Keyword]],CLASSIFICATION[[#This Row],[Classification (Generalized keyword)]])</f>
        <v>Relational Database</v>
      </c>
      <c r="I24" s="19" t="str">
        <f>_xlfn.CONCAT(CLASSIFICATION[[#This Row],[Project Stage Aggr]],",",CLASSIFICATION[[#This Row],[Functional Scope Aggr]],",",CLASSIFICATION[[#This Row],[Keyword]])</f>
        <v>Design,Database model,One-to-One</v>
      </c>
      <c r="J24" s="19" t="str">
        <f>_xlfn.CONCAT(CLASSIFICATION[[#This Row],[Project Stage Aggr]],",",CLASSIFICATION[[#This Row],[Functional Scope Aggr]],",",CLASSIFICATION[[#This Row],[Keyword Aggr]])</f>
        <v>Design,Database model,Relational Database</v>
      </c>
      <c r="K24" s="19" t="str">
        <f>_xlfn.CONCAT(CLASSIFICATION[[#This Row],[Project Stage Aggr]],",",CLASSIFICATION[[#This Row],[Functional Scope Aggr]],",",CLASSIFICATION[[#This Row],[Keyword Aggr]],",",CLASSIFICATION[[#This Row],[Importance]])</f>
        <v>Design,Database model,Relational Database,-5</v>
      </c>
    </row>
    <row r="25" spans="2:11" x14ac:dyDescent="0.25">
      <c r="C25" t="s">
        <v>352</v>
      </c>
      <c r="D25" t="s">
        <v>239</v>
      </c>
      <c r="E25" s="38">
        <v>-5</v>
      </c>
      <c r="F25" s="19" t="str" cm="1">
        <f t="array" ref="F25">_xlfn.XLOOKUP(TRUE,A$2:A25&lt;&gt;"",A$2:A25,,,-1)</f>
        <v>Design</v>
      </c>
      <c r="G25" s="19" t="str" cm="1">
        <f t="array" ref="G25">_xlfn.XLOOKUP(TRUE,B$2:B25&lt;&gt;"",B$2:B25,,,-1)</f>
        <v>Database model</v>
      </c>
      <c r="H25" s="19" t="str">
        <f>IF(CLASSIFICATION[[#This Row],[Classification (Generalized keyword)]]="",CLASSIFICATION[[#This Row],[Keyword]],CLASSIFICATION[[#This Row],[Classification (Generalized keyword)]])</f>
        <v>Relational Database</v>
      </c>
      <c r="I25" s="19" t="str">
        <f>_xlfn.CONCAT(CLASSIFICATION[[#This Row],[Project Stage Aggr]],",",CLASSIFICATION[[#This Row],[Functional Scope Aggr]],",",CLASSIFICATION[[#This Row],[Keyword]])</f>
        <v>Design,Database model,Primary Key</v>
      </c>
      <c r="J25" s="19" t="str">
        <f>_xlfn.CONCAT(CLASSIFICATION[[#This Row],[Project Stage Aggr]],",",CLASSIFICATION[[#This Row],[Functional Scope Aggr]],",",CLASSIFICATION[[#This Row],[Keyword Aggr]])</f>
        <v>Design,Database model,Relational Database</v>
      </c>
      <c r="K25" s="19" t="str">
        <f>_xlfn.CONCAT(CLASSIFICATION[[#This Row],[Project Stage Aggr]],",",CLASSIFICATION[[#This Row],[Functional Scope Aggr]],",",CLASSIFICATION[[#This Row],[Keyword Aggr]],",",CLASSIFICATION[[#This Row],[Importance]])</f>
        <v>Design,Database model,Relational Database,-5</v>
      </c>
    </row>
    <row r="26" spans="2:11" x14ac:dyDescent="0.25">
      <c r="C26" t="s">
        <v>187</v>
      </c>
      <c r="D26" t="s">
        <v>353</v>
      </c>
      <c r="E26" s="38">
        <v>-4</v>
      </c>
      <c r="F26" s="19" t="str" cm="1">
        <f t="array" ref="F26">_xlfn.XLOOKUP(TRUE,A$2:A26&lt;&gt;"",A$2:A26,,,-1)</f>
        <v>Design</v>
      </c>
      <c r="G26" s="19" t="str" cm="1">
        <f t="array" ref="G26">_xlfn.XLOOKUP(TRUE,B$2:B26&lt;&gt;"",B$2:B26,,,-1)</f>
        <v>Database model</v>
      </c>
      <c r="H26" s="19" t="str">
        <f>IF(CLASSIFICATION[[#This Row],[Classification (Generalized keyword)]]="",CLASSIFICATION[[#This Row],[Keyword]],CLASSIFICATION[[#This Row],[Classification (Generalized keyword)]])</f>
        <v>XML/XPath</v>
      </c>
      <c r="I26" s="19" t="str">
        <f>_xlfn.CONCAT(CLASSIFICATION[[#This Row],[Project Stage Aggr]],",",CLASSIFICATION[[#This Row],[Functional Scope Aggr]],",",CLASSIFICATION[[#This Row],[Keyword]])</f>
        <v>Design,Database model,XML</v>
      </c>
      <c r="J26" s="19" t="str">
        <f>_xlfn.CONCAT(CLASSIFICATION[[#This Row],[Project Stage Aggr]],",",CLASSIFICATION[[#This Row],[Functional Scope Aggr]],",",CLASSIFICATION[[#This Row],[Keyword Aggr]])</f>
        <v>Design,Database model,XML/XPath</v>
      </c>
      <c r="K26" s="19" t="str">
        <f>_xlfn.CONCAT(CLASSIFICATION[[#This Row],[Project Stage Aggr]],",",CLASSIFICATION[[#This Row],[Functional Scope Aggr]],",",CLASSIFICATION[[#This Row],[Keyword Aggr]],",",CLASSIFICATION[[#This Row],[Importance]])</f>
        <v>Design,Database model,XML/XPath,-4</v>
      </c>
    </row>
    <row r="27" spans="2:11" x14ac:dyDescent="0.25">
      <c r="C27" t="s">
        <v>188</v>
      </c>
      <c r="D27" t="s">
        <v>353</v>
      </c>
      <c r="E27" s="38">
        <v>-4</v>
      </c>
      <c r="F27" s="19" t="str" cm="1">
        <f t="array" ref="F27">_xlfn.XLOOKUP(TRUE,A$2:A27&lt;&gt;"",A$2:A27,,,-1)</f>
        <v>Design</v>
      </c>
      <c r="G27" s="19" t="str" cm="1">
        <f t="array" ref="G27">_xlfn.XLOOKUP(TRUE,B$2:B27&lt;&gt;"",B$2:B27,,,-1)</f>
        <v>Database model</v>
      </c>
      <c r="H27" s="19" t="str">
        <f>IF(CLASSIFICATION[[#This Row],[Classification (Generalized keyword)]]="",CLASSIFICATION[[#This Row],[Keyword]],CLASSIFICATION[[#This Row],[Classification (Generalized keyword)]])</f>
        <v>XML/XPath</v>
      </c>
      <c r="I27" s="19" t="str">
        <f>_xlfn.CONCAT(CLASSIFICATION[[#This Row],[Project Stage Aggr]],",",CLASSIFICATION[[#This Row],[Functional Scope Aggr]],",",CLASSIFICATION[[#This Row],[Keyword]])</f>
        <v>Design,Database model,XPath</v>
      </c>
      <c r="J27" s="19" t="str">
        <f>_xlfn.CONCAT(CLASSIFICATION[[#This Row],[Project Stage Aggr]],",",CLASSIFICATION[[#This Row],[Functional Scope Aggr]],",",CLASSIFICATION[[#This Row],[Keyword Aggr]])</f>
        <v>Design,Database model,XML/XPath</v>
      </c>
      <c r="K27" s="19" t="str">
        <f>_xlfn.CONCAT(CLASSIFICATION[[#This Row],[Project Stage Aggr]],",",CLASSIFICATION[[#This Row],[Functional Scope Aggr]],",",CLASSIFICATION[[#This Row],[Keyword Aggr]],",",CLASSIFICATION[[#This Row],[Importance]])</f>
        <v>Design,Database model,XML/XPath,-4</v>
      </c>
    </row>
    <row r="28" spans="2:11" x14ac:dyDescent="0.25">
      <c r="C28" t="s">
        <v>404</v>
      </c>
      <c r="E28" s="38">
        <v>-4</v>
      </c>
      <c r="F28" s="19" t="str" cm="1">
        <f t="array" ref="F28">_xlfn.XLOOKUP(TRUE,A$2:A28&lt;&gt;"",A$2:A28,,,-1)</f>
        <v>Design</v>
      </c>
      <c r="G28" s="19" t="str" cm="1">
        <f t="array" ref="G28">_xlfn.XLOOKUP(TRUE,B$2:B28&lt;&gt;"",B$2:B28,,,-1)</f>
        <v>Database model</v>
      </c>
      <c r="H28" s="19" t="str">
        <f>IF(CLASSIFICATION[[#This Row],[Classification (Generalized keyword)]]="",CLASSIFICATION[[#This Row],[Keyword]],CLASSIFICATION[[#This Row],[Classification (Generalized keyword)]])</f>
        <v>XML/Xpath</v>
      </c>
      <c r="I28" s="19" t="str">
        <f>_xlfn.CONCAT(CLASSIFICATION[[#This Row],[Project Stage Aggr]],",",CLASSIFICATION[[#This Row],[Functional Scope Aggr]],",",CLASSIFICATION[[#This Row],[Keyword]])</f>
        <v>Design,Database model,XML/Xpath</v>
      </c>
      <c r="J28" s="19" t="str">
        <f>_xlfn.CONCAT(CLASSIFICATION[[#This Row],[Project Stage Aggr]],",",CLASSIFICATION[[#This Row],[Functional Scope Aggr]],",",CLASSIFICATION[[#This Row],[Keyword Aggr]])</f>
        <v>Design,Database model,XML/Xpath</v>
      </c>
      <c r="K28" s="19" t="str">
        <f>_xlfn.CONCAT(CLASSIFICATION[[#This Row],[Project Stage Aggr]],",",CLASSIFICATION[[#This Row],[Functional Scope Aggr]],",",CLASSIFICATION[[#This Row],[Keyword Aggr]],",",CLASSIFICATION[[#This Row],[Importance]])</f>
        <v>Design,Database model,XML/Xpath,-4</v>
      </c>
    </row>
    <row r="29" spans="2:11" x14ac:dyDescent="0.25">
      <c r="B29" t="s">
        <v>40</v>
      </c>
      <c r="C29" t="s">
        <v>189</v>
      </c>
      <c r="D29" s="6" t="s">
        <v>189</v>
      </c>
      <c r="E29" s="39">
        <v>4</v>
      </c>
      <c r="F29" s="19" t="str" cm="1">
        <f t="array" ref="F29">_xlfn.XLOOKUP(TRUE,A$2:A29&lt;&gt;"",A$2:A29,,,-1)</f>
        <v>Design</v>
      </c>
      <c r="G29" s="19" t="str" cm="1">
        <f t="array" ref="G29">_xlfn.XLOOKUP(TRUE,B$2:B29&lt;&gt;"",B$2:B29,,,-1)</f>
        <v>UI model</v>
      </c>
      <c r="H29" s="19" t="str">
        <f>IF(CLASSIFICATION[[#This Row],[Classification (Generalized keyword)]]="",CLASSIFICATION[[#This Row],[Keyword]],CLASSIFICATION[[#This Row],[Classification (Generalized keyword)]])</f>
        <v>+App templates</v>
      </c>
      <c r="I29" s="19" t="str">
        <f>_xlfn.CONCAT(CLASSIFICATION[[#This Row],[Project Stage Aggr]],",",CLASSIFICATION[[#This Row],[Functional Scope Aggr]],",",CLASSIFICATION[[#This Row],[Keyword]])</f>
        <v>Design,UI model,+App templates</v>
      </c>
      <c r="J29" s="19" t="str">
        <f>_xlfn.CONCAT(CLASSIFICATION[[#This Row],[Project Stage Aggr]],",",CLASSIFICATION[[#This Row],[Functional Scope Aggr]],",",CLASSIFICATION[[#This Row],[Keyword Aggr]])</f>
        <v>Design,UI model,+App templates</v>
      </c>
      <c r="K29" s="19" t="str">
        <f>_xlfn.CONCAT(CLASSIFICATION[[#This Row],[Project Stage Aggr]],",",CLASSIFICATION[[#This Row],[Functional Scope Aggr]],",",CLASSIFICATION[[#This Row],[Keyword Aggr]],",",CLASSIFICATION[[#This Row],[Importance]])</f>
        <v>Design,UI model,+App templates,4</v>
      </c>
    </row>
    <row r="30" spans="2:11" x14ac:dyDescent="0.25">
      <c r="C30" t="s">
        <v>190</v>
      </c>
      <c r="D30" s="6" t="s">
        <v>189</v>
      </c>
      <c r="E30" s="39">
        <v>4</v>
      </c>
      <c r="F30" s="19" t="str" cm="1">
        <f t="array" ref="F30">_xlfn.XLOOKUP(TRUE,A$2:A30&lt;&gt;"",A$2:A30,,,-1)</f>
        <v>Design</v>
      </c>
      <c r="G30" s="19" t="str" cm="1">
        <f t="array" ref="G30">_xlfn.XLOOKUP(TRUE,B$2:B30&lt;&gt;"",B$2:B30,,,-1)</f>
        <v>UI model</v>
      </c>
      <c r="H30" s="19" t="str">
        <f>IF(CLASSIFICATION[[#This Row],[Classification (Generalized keyword)]]="",CLASSIFICATION[[#This Row],[Keyword]],CLASSIFICATION[[#This Row],[Classification (Generalized keyword)]])</f>
        <v>+App templates</v>
      </c>
      <c r="I30" s="19" t="str">
        <f>_xlfn.CONCAT(CLASSIFICATION[[#This Row],[Project Stage Aggr]],",",CLASSIFICATION[[#This Row],[Functional Scope Aggr]],",",CLASSIFICATION[[#This Row],[Keyword]])</f>
        <v>Design,UI model,+App templates (CUBBE)</v>
      </c>
      <c r="J30" s="19" t="str">
        <f>_xlfn.CONCAT(CLASSIFICATION[[#This Row],[Project Stage Aggr]],",",CLASSIFICATION[[#This Row],[Functional Scope Aggr]],",",CLASSIFICATION[[#This Row],[Keyword Aggr]])</f>
        <v>Design,UI model,+App templates</v>
      </c>
      <c r="K30" s="19" t="str">
        <f>_xlfn.CONCAT(CLASSIFICATION[[#This Row],[Project Stage Aggr]],",",CLASSIFICATION[[#This Row],[Functional Scope Aggr]],",",CLASSIFICATION[[#This Row],[Keyword Aggr]],",",CLASSIFICATION[[#This Row],[Importance]])</f>
        <v>Design,UI model,+App templates,4</v>
      </c>
    </row>
    <row r="31" spans="2:11" x14ac:dyDescent="0.25">
      <c r="C31" s="6" t="s">
        <v>166</v>
      </c>
      <c r="E31" s="38">
        <v>5</v>
      </c>
      <c r="F31" s="19" t="str" cm="1">
        <f t="array" ref="F31">_xlfn.XLOOKUP(TRUE,A$2:A31&lt;&gt;"",A$2:A31,,,-1)</f>
        <v>Design</v>
      </c>
      <c r="G31" s="19" t="str" cm="1">
        <f t="array" ref="G31">_xlfn.XLOOKUP(TRUE,B$2:B31&lt;&gt;"",B$2:B31,,,-1)</f>
        <v>UI model</v>
      </c>
      <c r="H31" s="19" t="str">
        <f>IF(CLASSIFICATION[[#This Row],[Classification (Generalized keyword)]]="",CLASSIFICATION[[#This Row],[Keyword]],CLASSIFICATION[[#This Row],[Classification (Generalized keyword)]])</f>
        <v>+Business Data Types</v>
      </c>
      <c r="I31" s="19" t="str">
        <f>_xlfn.CONCAT(CLASSIFICATION[[#This Row],[Project Stage Aggr]],",",CLASSIFICATION[[#This Row],[Functional Scope Aggr]],",",CLASSIFICATION[[#This Row],[Keyword]])</f>
        <v>Design,UI model,+Business Data Types</v>
      </c>
      <c r="J31" s="19" t="str">
        <f>_xlfn.CONCAT(CLASSIFICATION[[#This Row],[Project Stage Aggr]],",",CLASSIFICATION[[#This Row],[Functional Scope Aggr]],",",CLASSIFICATION[[#This Row],[Keyword Aggr]])</f>
        <v>Design,UI model,+Business Data Types</v>
      </c>
      <c r="K31" s="19" t="str">
        <f>_xlfn.CONCAT(CLASSIFICATION[[#This Row],[Project Stage Aggr]],",",CLASSIFICATION[[#This Row],[Functional Scope Aggr]],",",CLASSIFICATION[[#This Row],[Keyword Aggr]],",",CLASSIFICATION[[#This Row],[Importance]])</f>
        <v>Design,UI model,+Business Data Types,5</v>
      </c>
    </row>
    <row r="32" spans="2:11" x14ac:dyDescent="0.25">
      <c r="C32" t="s">
        <v>191</v>
      </c>
      <c r="D32" s="6" t="s">
        <v>191</v>
      </c>
      <c r="E32" s="39">
        <v>4</v>
      </c>
      <c r="F32" s="19" t="str" cm="1">
        <f t="array" ref="F32">_xlfn.XLOOKUP(TRUE,A$2:A32&lt;&gt;"",A$2:A32,,,-1)</f>
        <v>Design</v>
      </c>
      <c r="G32" s="19" t="str" cm="1">
        <f t="array" ref="G32">_xlfn.XLOOKUP(TRUE,B$2:B32&lt;&gt;"",B$2:B32,,,-1)</f>
        <v>UI model</v>
      </c>
      <c r="H32" s="19" t="str">
        <f>IF(CLASSIFICATION[[#This Row],[Classification (Generalized keyword)]]="",CLASSIFICATION[[#This Row],[Keyword]],CLASSIFICATION[[#This Row],[Classification (Generalized keyword)]])</f>
        <v>+Screen Templates</v>
      </c>
      <c r="I32" s="19" t="str">
        <f>_xlfn.CONCAT(CLASSIFICATION[[#This Row],[Project Stage Aggr]],",",CLASSIFICATION[[#This Row],[Functional Scope Aggr]],",",CLASSIFICATION[[#This Row],[Keyword]])</f>
        <v>Design,UI model,+Screen Templates</v>
      </c>
      <c r="J32" s="19" t="str">
        <f>_xlfn.CONCAT(CLASSIFICATION[[#This Row],[Project Stage Aggr]],",",CLASSIFICATION[[#This Row],[Functional Scope Aggr]],",",CLASSIFICATION[[#This Row],[Keyword Aggr]])</f>
        <v>Design,UI model,+Screen Templates</v>
      </c>
      <c r="K32" s="19" t="str">
        <f>_xlfn.CONCAT(CLASSIFICATION[[#This Row],[Project Stage Aggr]],",",CLASSIFICATION[[#This Row],[Functional Scope Aggr]],",",CLASSIFICATION[[#This Row],[Keyword Aggr]],",",CLASSIFICATION[[#This Row],[Importance]])</f>
        <v>Design,UI model,+Screen Templates,4</v>
      </c>
    </row>
    <row r="33" spans="2:11" x14ac:dyDescent="0.25">
      <c r="C33" t="s">
        <v>192</v>
      </c>
      <c r="D33" s="6" t="s">
        <v>191</v>
      </c>
      <c r="E33" s="39">
        <v>4</v>
      </c>
      <c r="F33" s="19" t="str" cm="1">
        <f t="array" ref="F33">_xlfn.XLOOKUP(TRUE,A$2:A33&lt;&gt;"",A$2:A33,,,-1)</f>
        <v>Design</v>
      </c>
      <c r="G33" s="19" t="str" cm="1">
        <f t="array" ref="G33">_xlfn.XLOOKUP(TRUE,B$2:B33&lt;&gt;"",B$2:B33,,,-1)</f>
        <v>UI model</v>
      </c>
      <c r="H33" s="19" t="str">
        <f>IF(CLASSIFICATION[[#This Row],[Classification (Generalized keyword)]]="",CLASSIFICATION[[#This Row],[Keyword]],CLASSIFICATION[[#This Row],[Classification (Generalized keyword)]])</f>
        <v>+Screen Templates</v>
      </c>
      <c r="I33" s="19" t="str">
        <f>_xlfn.CONCAT(CLASSIFICATION[[#This Row],[Project Stage Aggr]],",",CLASSIFICATION[[#This Row],[Functional Scope Aggr]],",",CLASSIFICATION[[#This Row],[Keyword]])</f>
        <v>Design,UI model,+Screen Templates / Sample Power Apps</v>
      </c>
      <c r="J33" s="19" t="str">
        <f>_xlfn.CONCAT(CLASSIFICATION[[#This Row],[Project Stage Aggr]],",",CLASSIFICATION[[#This Row],[Functional Scope Aggr]],",",CLASSIFICATION[[#This Row],[Keyword Aggr]])</f>
        <v>Design,UI model,+Screen Templates</v>
      </c>
      <c r="K33" s="19" t="str">
        <f>_xlfn.CONCAT(CLASSIFICATION[[#This Row],[Project Stage Aggr]],",",CLASSIFICATION[[#This Row],[Functional Scope Aggr]],",",CLASSIFICATION[[#This Row],[Keyword Aggr]],",",CLASSIFICATION[[#This Row],[Importance]])</f>
        <v>Design,UI model,+Screen Templates,4</v>
      </c>
    </row>
    <row r="34" spans="2:11" x14ac:dyDescent="0.25">
      <c r="C34" t="s">
        <v>193</v>
      </c>
      <c r="D34" s="6" t="s">
        <v>191</v>
      </c>
      <c r="E34" s="39">
        <v>4</v>
      </c>
      <c r="F34" s="19" t="str" cm="1">
        <f t="array" ref="F34">_xlfn.XLOOKUP(TRUE,A$2:A34&lt;&gt;"",A$2:A34,,,-1)</f>
        <v>Design</v>
      </c>
      <c r="G34" s="19" t="str" cm="1">
        <f t="array" ref="G34">_xlfn.XLOOKUP(TRUE,B$2:B34&lt;&gt;"",B$2:B34,,,-1)</f>
        <v>UI model</v>
      </c>
      <c r="H34" s="19" t="str">
        <f>IF(CLASSIFICATION[[#This Row],[Classification (Generalized keyword)]]="",CLASSIFICATION[[#This Row],[Keyword]],CLASSIFICATION[[#This Row],[Classification (Generalized keyword)]])</f>
        <v>+Screen Templates</v>
      </c>
      <c r="I34" s="19" t="str">
        <f>_xlfn.CONCAT(CLASSIFICATION[[#This Row],[Project Stage Aggr]],",",CLASSIFICATION[[#This Row],[Functional Scope Aggr]],",",CLASSIFICATION[[#This Row],[Keyword]])</f>
        <v>Design,UI model,+Screen templates / Zoho - Pre-built Apps</v>
      </c>
      <c r="J34" s="19" t="str">
        <f>_xlfn.CONCAT(CLASSIFICATION[[#This Row],[Project Stage Aggr]],",",CLASSIFICATION[[#This Row],[Functional Scope Aggr]],",",CLASSIFICATION[[#This Row],[Keyword Aggr]])</f>
        <v>Design,UI model,+Screen Templates</v>
      </c>
      <c r="K34" s="19" t="str">
        <f>_xlfn.CONCAT(CLASSIFICATION[[#This Row],[Project Stage Aggr]],",",CLASSIFICATION[[#This Row],[Functional Scope Aggr]],",",CLASSIFICATION[[#This Row],[Keyword Aggr]],",",CLASSIFICATION[[#This Row],[Importance]])</f>
        <v>Design,UI model,+Screen Templates,4</v>
      </c>
    </row>
    <row r="35" spans="2:11" x14ac:dyDescent="0.25">
      <c r="C35" t="s">
        <v>194</v>
      </c>
      <c r="D35" s="6" t="s">
        <v>263</v>
      </c>
      <c r="E35" s="39">
        <v>3</v>
      </c>
      <c r="F35" s="19" t="str" cm="1">
        <f t="array" ref="F35">_xlfn.XLOOKUP(TRUE,A$2:A35&lt;&gt;"",A$2:A35,,,-1)</f>
        <v>Design</v>
      </c>
      <c r="G35" s="19" t="str" cm="1">
        <f t="array" ref="G35">_xlfn.XLOOKUP(TRUE,B$2:B35&lt;&gt;"",B$2:B35,,,-1)</f>
        <v>UI model</v>
      </c>
      <c r="H35" s="19" t="str">
        <f>IF(CLASSIFICATION[[#This Row],[Classification (Generalized keyword)]]="",CLASSIFICATION[[#This Row],[Keyword]],CLASSIFICATION[[#This Row],[Classification (Generalized keyword)]])</f>
        <v>+UI Branding</v>
      </c>
      <c r="I35" s="19" t="str">
        <f>_xlfn.CONCAT(CLASSIFICATION[[#This Row],[Project Stage Aggr]],",",CLASSIFICATION[[#This Row],[Functional Scope Aggr]],",",CLASSIFICATION[[#This Row],[Keyword]])</f>
        <v>Design,UI model,+UI Branding (no HTML/CSS)</v>
      </c>
      <c r="J35" s="19" t="str">
        <f>_xlfn.CONCAT(CLASSIFICATION[[#This Row],[Project Stage Aggr]],",",CLASSIFICATION[[#This Row],[Functional Scope Aggr]],",",CLASSIFICATION[[#This Row],[Keyword Aggr]])</f>
        <v>Design,UI model,+UI Branding</v>
      </c>
      <c r="K35" s="19" t="str">
        <f>_xlfn.CONCAT(CLASSIFICATION[[#This Row],[Project Stage Aggr]],",",CLASSIFICATION[[#This Row],[Functional Scope Aggr]],",",CLASSIFICATION[[#This Row],[Keyword Aggr]],",",CLASSIFICATION[[#This Row],[Importance]])</f>
        <v>Design,UI model,+UI Branding,3</v>
      </c>
    </row>
    <row r="36" spans="2:11" x14ac:dyDescent="0.25">
      <c r="C36" t="s">
        <v>195</v>
      </c>
      <c r="E36" s="38">
        <v>4</v>
      </c>
      <c r="F36" s="19" t="str" cm="1">
        <f t="array" ref="F36">_xlfn.XLOOKUP(TRUE,A$2:A36&lt;&gt;"",A$2:A36,,,-1)</f>
        <v>Design</v>
      </c>
      <c r="G36" s="19" t="str" cm="1">
        <f t="array" ref="G36">_xlfn.XLOOKUP(TRUE,B$2:B36&lt;&gt;"",B$2:B36,,,-1)</f>
        <v>UI model</v>
      </c>
      <c r="H36" s="19" t="str">
        <f>IF(CLASSIFICATION[[#This Row],[Classification (Generalized keyword)]]="",CLASSIFICATION[[#This Row],[Keyword]],CLASSIFICATION[[#This Row],[Classification (Generalized keyword)]])</f>
        <v>+View Types</v>
      </c>
      <c r="I36" s="19" t="str">
        <f>_xlfn.CONCAT(CLASSIFICATION[[#This Row],[Project Stage Aggr]],",",CLASSIFICATION[[#This Row],[Functional Scope Aggr]],",",CLASSIFICATION[[#This Row],[Keyword]])</f>
        <v>Design,UI model,+View Types</v>
      </c>
      <c r="J36" s="19" t="str">
        <f>_xlfn.CONCAT(CLASSIFICATION[[#This Row],[Project Stage Aggr]],",",CLASSIFICATION[[#This Row],[Functional Scope Aggr]],",",CLASSIFICATION[[#This Row],[Keyword Aggr]])</f>
        <v>Design,UI model,+View Types</v>
      </c>
      <c r="K36" s="19" t="str">
        <f>_xlfn.CONCAT(CLASSIFICATION[[#This Row],[Project Stage Aggr]],",",CLASSIFICATION[[#This Row],[Functional Scope Aggr]],",",CLASSIFICATION[[#This Row],[Keyword Aggr]],",",CLASSIFICATION[[#This Row],[Importance]])</f>
        <v>Design,UI model,+View Types,4</v>
      </c>
    </row>
    <row r="37" spans="2:11" x14ac:dyDescent="0.25">
      <c r="C37" t="s">
        <v>196</v>
      </c>
      <c r="D37" t="s">
        <v>181</v>
      </c>
      <c r="E37" s="38">
        <v>-1</v>
      </c>
      <c r="F37" s="19" t="str" cm="1">
        <f t="array" ref="F37">_xlfn.XLOOKUP(TRUE,A$2:A37&lt;&gt;"",A$2:A37,,,-1)</f>
        <v>Design</v>
      </c>
      <c r="G37" s="19" t="str" cm="1">
        <f t="array" ref="G37">_xlfn.XLOOKUP(TRUE,B$2:B37&lt;&gt;"",B$2:B37,,,-1)</f>
        <v>UI model</v>
      </c>
      <c r="H37" s="19" t="str">
        <f>IF(CLASSIFICATION[[#This Row],[Classification (Generalized keyword)]]="",CLASSIFICATION[[#This Row],[Keyword]],CLASSIFICATION[[#This Row],[Classification (Generalized keyword)]])</f>
        <v>Expressions</v>
      </c>
      <c r="I37" s="19" t="str">
        <f>_xlfn.CONCAT(CLASSIFICATION[[#This Row],[Project Stage Aggr]],",",CLASSIFICATION[[#This Row],[Functional Scope Aggr]],",",CLASSIFICATION[[#This Row],[Keyword]])</f>
        <v>Design,UI model,Boolean Expressions</v>
      </c>
      <c r="J37" s="19" t="str">
        <f>_xlfn.CONCAT(CLASSIFICATION[[#This Row],[Project Stage Aggr]],",",CLASSIFICATION[[#This Row],[Functional Scope Aggr]],",",CLASSIFICATION[[#This Row],[Keyword Aggr]])</f>
        <v>Design,UI model,Expressions</v>
      </c>
      <c r="K37" s="19" t="str">
        <f>_xlfn.CONCAT(CLASSIFICATION[[#This Row],[Project Stage Aggr]],",",CLASSIFICATION[[#This Row],[Functional Scope Aggr]],",",CLASSIFICATION[[#This Row],[Keyword Aggr]],",",CLASSIFICATION[[#This Row],[Importance]])</f>
        <v>Design,UI model,Expressions,-1</v>
      </c>
    </row>
    <row r="38" spans="2:11" x14ac:dyDescent="0.25">
      <c r="C38" t="s">
        <v>172</v>
      </c>
      <c r="D38" t="s">
        <v>181</v>
      </c>
      <c r="E38" s="38">
        <v>-1</v>
      </c>
      <c r="F38" s="19" t="str" cm="1">
        <f t="array" ref="F38">_xlfn.XLOOKUP(TRUE,A$2:A38&lt;&gt;"",A$2:A38,,,-1)</f>
        <v>Design</v>
      </c>
      <c r="G38" s="19" t="str" cm="1">
        <f t="array" ref="G38">_xlfn.XLOOKUP(TRUE,B$2:B38&lt;&gt;"",B$2:B38,,,-1)</f>
        <v>UI model</v>
      </c>
      <c r="H38" s="19" t="str">
        <f>IF(CLASSIFICATION[[#This Row],[Classification (Generalized keyword)]]="",CLASSIFICATION[[#This Row],[Keyword]],CLASSIFICATION[[#This Row],[Classification (Generalized keyword)]])</f>
        <v>Expressions</v>
      </c>
      <c r="I38" s="19" t="str">
        <f>_xlfn.CONCAT(CLASSIFICATION[[#This Row],[Project Stage Aggr]],",",CLASSIFICATION[[#This Row],[Functional Scope Aggr]],",",CLASSIFICATION[[#This Row],[Keyword]])</f>
        <v>Design,UI model,Conditional Expressions</v>
      </c>
      <c r="J38" s="19" t="str">
        <f>_xlfn.CONCAT(CLASSIFICATION[[#This Row],[Project Stage Aggr]],",",CLASSIFICATION[[#This Row],[Functional Scope Aggr]],",",CLASSIFICATION[[#This Row],[Keyword Aggr]])</f>
        <v>Design,UI model,Expressions</v>
      </c>
      <c r="K38" s="19" t="str">
        <f>_xlfn.CONCAT(CLASSIFICATION[[#This Row],[Project Stage Aggr]],",",CLASSIFICATION[[#This Row],[Functional Scope Aggr]],",",CLASSIFICATION[[#This Row],[Keyword Aggr]],",",CLASSIFICATION[[#This Row],[Importance]])</f>
        <v>Design,UI model,Expressions,-1</v>
      </c>
    </row>
    <row r="39" spans="2:11" x14ac:dyDescent="0.25">
      <c r="C39" t="s">
        <v>175</v>
      </c>
      <c r="D39" t="s">
        <v>269</v>
      </c>
      <c r="E39" s="38">
        <v>-4</v>
      </c>
      <c r="F39" s="19" t="str" cm="1">
        <f t="array" ref="F39">_xlfn.XLOOKUP(TRUE,A$2:A39&lt;&gt;"",A$2:A39,,,-1)</f>
        <v>Design</v>
      </c>
      <c r="G39" s="19" t="str" cm="1">
        <f t="array" ref="G39">_xlfn.XLOOKUP(TRUE,B$2:B39&lt;&gt;"",B$2:B39,,,-1)</f>
        <v>UI model</v>
      </c>
      <c r="H39" s="19" t="str">
        <f>IF(CLASSIFICATION[[#This Row],[Classification (Generalized keyword)]]="",CLASSIFICATION[[#This Row],[Keyword]],CLASSIFICATION[[#This Row],[Classification (Generalized keyword)]])</f>
        <v>IT Data Types</v>
      </c>
      <c r="I39" s="19" t="str">
        <f>_xlfn.CONCAT(CLASSIFICATION[[#This Row],[Project Stage Aggr]],",",CLASSIFICATION[[#This Row],[Functional Scope Aggr]],",",CLASSIFICATION[[#This Row],[Keyword]])</f>
        <v>Design,UI model,Data Types</v>
      </c>
      <c r="J39" s="19" t="str">
        <f>_xlfn.CONCAT(CLASSIFICATION[[#This Row],[Project Stage Aggr]],",",CLASSIFICATION[[#This Row],[Functional Scope Aggr]],",",CLASSIFICATION[[#This Row],[Keyword Aggr]])</f>
        <v>Design,UI model,IT Data Types</v>
      </c>
      <c r="K39" s="19" t="str">
        <f>_xlfn.CONCAT(CLASSIFICATION[[#This Row],[Project Stage Aggr]],",",CLASSIFICATION[[#This Row],[Functional Scope Aggr]],",",CLASSIFICATION[[#This Row],[Keyword Aggr]],",",CLASSIFICATION[[#This Row],[Importance]])</f>
        <v>Design,UI model,IT Data Types,-4</v>
      </c>
    </row>
    <row r="40" spans="2:11" x14ac:dyDescent="0.25">
      <c r="C40" t="s">
        <v>181</v>
      </c>
      <c r="D40" t="s">
        <v>181</v>
      </c>
      <c r="E40" s="38">
        <v>-1</v>
      </c>
      <c r="F40" s="19" t="str" cm="1">
        <f t="array" ref="F40">_xlfn.XLOOKUP(TRUE,A$2:A40&lt;&gt;"",A$2:A40,,,-1)</f>
        <v>Design</v>
      </c>
      <c r="G40" s="19" t="str" cm="1">
        <f t="array" ref="G40">_xlfn.XLOOKUP(TRUE,B$2:B40&lt;&gt;"",B$2:B40,,,-1)</f>
        <v>UI model</v>
      </c>
      <c r="H40" s="19" t="str">
        <f>IF(CLASSIFICATION[[#This Row],[Classification (Generalized keyword)]]="",CLASSIFICATION[[#This Row],[Keyword]],CLASSIFICATION[[#This Row],[Classification (Generalized keyword)]])</f>
        <v>Expressions</v>
      </c>
      <c r="I40" s="19" t="str">
        <f>_xlfn.CONCAT(CLASSIFICATION[[#This Row],[Project Stage Aggr]],",",CLASSIFICATION[[#This Row],[Functional Scope Aggr]],",",CLASSIFICATION[[#This Row],[Keyword]])</f>
        <v>Design,UI model,Expressions</v>
      </c>
      <c r="J40" s="19" t="str">
        <f>_xlfn.CONCAT(CLASSIFICATION[[#This Row],[Project Stage Aggr]],",",CLASSIFICATION[[#This Row],[Functional Scope Aggr]],",",CLASSIFICATION[[#This Row],[Keyword Aggr]])</f>
        <v>Design,UI model,Expressions</v>
      </c>
      <c r="K40" s="19" t="str">
        <f>_xlfn.CONCAT(CLASSIFICATION[[#This Row],[Project Stage Aggr]],",",CLASSIFICATION[[#This Row],[Functional Scope Aggr]],",",CLASSIFICATION[[#This Row],[Keyword Aggr]],",",CLASSIFICATION[[#This Row],[Importance]])</f>
        <v>Design,UI model,Expressions,-1</v>
      </c>
    </row>
    <row r="41" spans="2:11" x14ac:dyDescent="0.25">
      <c r="C41" t="s">
        <v>197</v>
      </c>
      <c r="E41" s="38">
        <v>-2</v>
      </c>
      <c r="F41" s="19" t="str" cm="1">
        <f t="array" ref="F41">_xlfn.XLOOKUP(TRUE,A$2:A41&lt;&gt;"",A$2:A41,,,-1)</f>
        <v>Design</v>
      </c>
      <c r="G41" s="19" t="str" cm="1">
        <f t="array" ref="G41">_xlfn.XLOOKUP(TRUE,B$2:B41&lt;&gt;"",B$2:B41,,,-1)</f>
        <v>UI model</v>
      </c>
      <c r="H41" s="19" t="str">
        <f>IF(CLASSIFICATION[[#This Row],[Classification (Generalized keyword)]]="",CLASSIFICATION[[#This Row],[Keyword]],CLASSIFICATION[[#This Row],[Classification (Generalized keyword)]])</f>
        <v>Functions</v>
      </c>
      <c r="I41" s="19" t="str">
        <f>_xlfn.CONCAT(CLASSIFICATION[[#This Row],[Project Stage Aggr]],",",CLASSIFICATION[[#This Row],[Functional Scope Aggr]],",",CLASSIFICATION[[#This Row],[Keyword]])</f>
        <v>Design,UI model,Functions</v>
      </c>
      <c r="J41" s="19" t="str">
        <f>_xlfn.CONCAT(CLASSIFICATION[[#This Row],[Project Stage Aggr]],",",CLASSIFICATION[[#This Row],[Functional Scope Aggr]],",",CLASSIFICATION[[#This Row],[Keyword Aggr]])</f>
        <v>Design,UI model,Functions</v>
      </c>
      <c r="K41" s="19" t="str">
        <f>_xlfn.CONCAT(CLASSIFICATION[[#This Row],[Project Stage Aggr]],",",CLASSIFICATION[[#This Row],[Functional Scope Aggr]],",",CLASSIFICATION[[#This Row],[Keyword Aggr]],",",CLASSIFICATION[[#This Row],[Importance]])</f>
        <v>Design,UI model,Functions,-2</v>
      </c>
    </row>
    <row r="42" spans="2:11" x14ac:dyDescent="0.25">
      <c r="C42" t="s">
        <v>198</v>
      </c>
      <c r="E42" s="38">
        <v>-3</v>
      </c>
      <c r="F42" s="19" t="str" cm="1">
        <f t="array" ref="F42">_xlfn.XLOOKUP(TRUE,A$2:A42&lt;&gt;"",A$2:A42,,,-1)</f>
        <v>Design</v>
      </c>
      <c r="G42" s="19" t="str" cm="1">
        <f t="array" ref="G42">_xlfn.XLOOKUP(TRUE,B$2:B42&lt;&gt;"",B$2:B42,,,-1)</f>
        <v>UI model</v>
      </c>
      <c r="H42" s="19" t="str">
        <f>IF(CLASSIFICATION[[#This Row],[Classification (Generalized keyword)]]="",CLASSIFICATION[[#This Row],[Keyword]],CLASSIFICATION[[#This Row],[Classification (Generalized keyword)]])</f>
        <v>Model-driven Apps</v>
      </c>
      <c r="I42" s="19" t="str">
        <f>_xlfn.CONCAT(CLASSIFICATION[[#This Row],[Project Stage Aggr]],",",CLASSIFICATION[[#This Row],[Functional Scope Aggr]],",",CLASSIFICATION[[#This Row],[Keyword]])</f>
        <v>Design,UI model,Model-driven Apps</v>
      </c>
      <c r="J42" s="19" t="str">
        <f>_xlfn.CONCAT(CLASSIFICATION[[#This Row],[Project Stage Aggr]],",",CLASSIFICATION[[#This Row],[Functional Scope Aggr]],",",CLASSIFICATION[[#This Row],[Keyword Aggr]])</f>
        <v>Design,UI model,Model-driven Apps</v>
      </c>
      <c r="K42" s="19" t="str">
        <f>_xlfn.CONCAT(CLASSIFICATION[[#This Row],[Project Stage Aggr]],",",CLASSIFICATION[[#This Row],[Functional Scope Aggr]],",",CLASSIFICATION[[#This Row],[Keyword Aggr]],",",CLASSIFICATION[[#This Row],[Importance]])</f>
        <v>Design,UI model,Model-driven Apps,-3</v>
      </c>
    </row>
    <row r="43" spans="2:11" x14ac:dyDescent="0.25">
      <c r="C43" t="s">
        <v>199</v>
      </c>
      <c r="E43" s="38">
        <v>-3</v>
      </c>
      <c r="F43" s="19" t="str" cm="1">
        <f t="array" ref="F43">_xlfn.XLOOKUP(TRUE,A$2:A43&lt;&gt;"",A$2:A43,,,-1)</f>
        <v>Design</v>
      </c>
      <c r="G43" s="19" t="str" cm="1">
        <f t="array" ref="G43">_xlfn.XLOOKUP(TRUE,B$2:B43&lt;&gt;"",B$2:B43,,,-1)</f>
        <v>UI model</v>
      </c>
      <c r="H43" s="19" t="str">
        <f>IF(CLASSIFICATION[[#This Row],[Classification (Generalized keyword)]]="",CLASSIFICATION[[#This Row],[Keyword]],CLASSIFICATION[[#This Row],[Classification (Generalized keyword)]])</f>
        <v>Reactive Web App</v>
      </c>
      <c r="I43" s="19" t="str">
        <f>_xlfn.CONCAT(CLASSIFICATION[[#This Row],[Project Stage Aggr]],",",CLASSIFICATION[[#This Row],[Functional Scope Aggr]],",",CLASSIFICATION[[#This Row],[Keyword]])</f>
        <v>Design,UI model,Reactive Web App</v>
      </c>
      <c r="J43" s="19" t="str">
        <f>_xlfn.CONCAT(CLASSIFICATION[[#This Row],[Project Stage Aggr]],",",CLASSIFICATION[[#This Row],[Functional Scope Aggr]],",",CLASSIFICATION[[#This Row],[Keyword Aggr]])</f>
        <v>Design,UI model,Reactive Web App</v>
      </c>
      <c r="K43" s="19" t="str">
        <f>_xlfn.CONCAT(CLASSIFICATION[[#This Row],[Project Stage Aggr]],",",CLASSIFICATION[[#This Row],[Functional Scope Aggr]],",",CLASSIFICATION[[#This Row],[Keyword Aggr]],",",CLASSIFICATION[[#This Row],[Importance]])</f>
        <v>Design,UI model,Reactive Web App,-3</v>
      </c>
    </row>
    <row r="44" spans="2:11" x14ac:dyDescent="0.25">
      <c r="C44" t="s">
        <v>200</v>
      </c>
      <c r="E44" s="38">
        <v>-4</v>
      </c>
      <c r="F44" s="19" t="str" cm="1">
        <f t="array" ref="F44">_xlfn.XLOOKUP(TRUE,A$2:A44&lt;&gt;"",A$2:A44,,,-1)</f>
        <v>Design</v>
      </c>
      <c r="G44" s="19" t="str" cm="1">
        <f t="array" ref="G44">_xlfn.XLOOKUP(TRUE,B$2:B44&lt;&gt;"",B$2:B44,,,-1)</f>
        <v>UI model</v>
      </c>
      <c r="H44" s="19" t="str">
        <f>IF(CLASSIFICATION[[#This Row],[Classification (Generalized keyword)]]="",CLASSIFICATION[[#This Row],[Keyword]],CLASSIFICATION[[#This Row],[Classification (Generalized keyword)]])</f>
        <v>Responsive Web Design</v>
      </c>
      <c r="I44" s="19" t="str">
        <f>_xlfn.CONCAT(CLASSIFICATION[[#This Row],[Project Stage Aggr]],",",CLASSIFICATION[[#This Row],[Functional Scope Aggr]],",",CLASSIFICATION[[#This Row],[Keyword]])</f>
        <v>Design,UI model,Responsive Web Design</v>
      </c>
      <c r="J44" s="19" t="str">
        <f>_xlfn.CONCAT(CLASSIFICATION[[#This Row],[Project Stage Aggr]],",",CLASSIFICATION[[#This Row],[Functional Scope Aggr]],",",CLASSIFICATION[[#This Row],[Keyword Aggr]])</f>
        <v>Design,UI model,Responsive Web Design</v>
      </c>
      <c r="K44" s="19" t="str">
        <f>_xlfn.CONCAT(CLASSIFICATION[[#This Row],[Project Stage Aggr]],",",CLASSIFICATION[[#This Row],[Functional Scope Aggr]],",",CLASSIFICATION[[#This Row],[Keyword Aggr]],",",CLASSIFICATION[[#This Row],[Importance]])</f>
        <v>Design,UI model,Responsive Web Design,-4</v>
      </c>
    </row>
    <row r="45" spans="2:11" x14ac:dyDescent="0.25">
      <c r="C45" t="s">
        <v>201</v>
      </c>
      <c r="E45" s="38">
        <v>-4</v>
      </c>
      <c r="F45" s="19" t="str" cm="1">
        <f t="array" ref="F45">_xlfn.XLOOKUP(TRUE,A$2:A45&lt;&gt;"",A$2:A45,,,-1)</f>
        <v>Design</v>
      </c>
      <c r="G45" s="19" t="str" cm="1">
        <f t="array" ref="G45">_xlfn.XLOOKUP(TRUE,B$2:B45&lt;&gt;"",B$2:B45,,,-1)</f>
        <v>UI model</v>
      </c>
      <c r="H45" s="19" t="str">
        <f>IF(CLASSIFICATION[[#This Row],[Classification (Generalized keyword)]]="",CLASSIFICATION[[#This Row],[Keyword]],CLASSIFICATION[[#This Row],[Classification (Generalized keyword)]])</f>
        <v>Variables</v>
      </c>
      <c r="I45" s="19" t="str">
        <f>_xlfn.CONCAT(CLASSIFICATION[[#This Row],[Project Stage Aggr]],",",CLASSIFICATION[[#This Row],[Functional Scope Aggr]],",",CLASSIFICATION[[#This Row],[Keyword]])</f>
        <v>Design,UI model,Variables</v>
      </c>
      <c r="J45" s="19" t="str">
        <f>_xlfn.CONCAT(CLASSIFICATION[[#This Row],[Project Stage Aggr]],",",CLASSIFICATION[[#This Row],[Functional Scope Aggr]],",",CLASSIFICATION[[#This Row],[Keyword Aggr]])</f>
        <v>Design,UI model,Variables</v>
      </c>
      <c r="K45" s="19" t="str">
        <f>_xlfn.CONCAT(CLASSIFICATION[[#This Row],[Project Stage Aggr]],",",CLASSIFICATION[[#This Row],[Functional Scope Aggr]],",",CLASSIFICATION[[#This Row],[Keyword Aggr]],",",CLASSIFICATION[[#This Row],[Importance]])</f>
        <v>Design,UI model,Variables,-4</v>
      </c>
    </row>
    <row r="46" spans="2:11" x14ac:dyDescent="0.25">
      <c r="B46" t="s">
        <v>37</v>
      </c>
      <c r="C46" t="s">
        <v>202</v>
      </c>
      <c r="D46" s="6" t="s">
        <v>354</v>
      </c>
      <c r="E46" s="39">
        <v>4</v>
      </c>
      <c r="F46" s="19" t="str" cm="1">
        <f t="array" ref="F46">_xlfn.XLOOKUP(TRUE,A$2:A46&lt;&gt;"",A$2:A46,,,-1)</f>
        <v>Design</v>
      </c>
      <c r="G46" s="19" t="str" cm="1">
        <f t="array" ref="G46">_xlfn.XLOOKUP(TRUE,B$2:B46&lt;&gt;"",B$2:B46,,,-1)</f>
        <v>Validations</v>
      </c>
      <c r="H46" s="19" t="str">
        <f>IF(CLASSIFICATION[[#This Row],[Classification (Generalized keyword)]]="",CLASSIFICATION[[#This Row],[Keyword]],CLASSIFICATION[[#This Row],[Classification (Generalized keyword)]])</f>
        <v>+Business Rules</v>
      </c>
      <c r="I46" s="19" t="str">
        <f>_xlfn.CONCAT(CLASSIFICATION[[#This Row],[Project Stage Aggr]],",",CLASSIFICATION[[#This Row],[Functional Scope Aggr]],",",CLASSIFICATION[[#This Row],[Keyword]])</f>
        <v>Design,Validations,+Business Rules (graphical)</v>
      </c>
      <c r="J46" s="19" t="str">
        <f>_xlfn.CONCAT(CLASSIFICATION[[#This Row],[Project Stage Aggr]],",",CLASSIFICATION[[#This Row],[Functional Scope Aggr]],",",CLASSIFICATION[[#This Row],[Keyword Aggr]])</f>
        <v>Design,Validations,+Business Rules</v>
      </c>
      <c r="K46" s="19" t="str">
        <f>_xlfn.CONCAT(CLASSIFICATION[[#This Row],[Project Stage Aggr]],",",CLASSIFICATION[[#This Row],[Functional Scope Aggr]],",",CLASSIFICATION[[#This Row],[Keyword Aggr]],",",CLASSIFICATION[[#This Row],[Importance]])</f>
        <v>Design,Validations,+Business Rules,4</v>
      </c>
    </row>
    <row r="47" spans="2:11" x14ac:dyDescent="0.25">
      <c r="C47" t="s">
        <v>203</v>
      </c>
      <c r="D47" s="6" t="s">
        <v>169</v>
      </c>
      <c r="E47" s="39">
        <v>4</v>
      </c>
      <c r="F47" s="19" t="str" cm="1">
        <f t="array" ref="F47">_xlfn.XLOOKUP(TRUE,A$2:A47&lt;&gt;"",A$2:A47,,,-1)</f>
        <v>Design</v>
      </c>
      <c r="G47" s="19" t="str" cm="1">
        <f t="array" ref="G47">_xlfn.XLOOKUP(TRUE,B$2:B47&lt;&gt;"",B$2:B47,,,-1)</f>
        <v>Validations</v>
      </c>
      <c r="H47" s="19" t="str">
        <f>IF(CLASSIFICATION[[#This Row],[Classification (Generalized keyword)]]="",CLASSIFICATION[[#This Row],[Keyword]],CLASSIFICATION[[#This Row],[Classification (Generalized keyword)]])</f>
        <v>+Lookup/Drop-down</v>
      </c>
      <c r="I47" s="19" t="str">
        <f>_xlfn.CONCAT(CLASSIFICATION[[#This Row],[Project Stage Aggr]],",",CLASSIFICATION[[#This Row],[Functional Scope Aggr]],",",CLASSIFICATION[[#This Row],[Keyword]])</f>
        <v>Design,Validations,+Lookup/Drop-down Data Patterns</v>
      </c>
      <c r="J47" s="19" t="str">
        <f>_xlfn.CONCAT(CLASSIFICATION[[#This Row],[Project Stage Aggr]],",",CLASSIFICATION[[#This Row],[Functional Scope Aggr]],",",CLASSIFICATION[[#This Row],[Keyword Aggr]])</f>
        <v>Design,Validations,+Lookup/Drop-down</v>
      </c>
      <c r="K47" s="19" t="str">
        <f>_xlfn.CONCAT(CLASSIFICATION[[#This Row],[Project Stage Aggr]],",",CLASSIFICATION[[#This Row],[Functional Scope Aggr]],",",CLASSIFICATION[[#This Row],[Keyword Aggr]],",",CLASSIFICATION[[#This Row],[Importance]])</f>
        <v>Design,Validations,+Lookup/Drop-down,4</v>
      </c>
    </row>
    <row r="48" spans="2:11" x14ac:dyDescent="0.25">
      <c r="C48" s="6" t="s">
        <v>407</v>
      </c>
      <c r="D48" s="6" t="s">
        <v>169</v>
      </c>
      <c r="E48" s="39">
        <v>4</v>
      </c>
      <c r="F48" s="19" t="str" cm="1">
        <f t="array" ref="F48">_xlfn.XLOOKUP(TRUE,A$2:A48&lt;&gt;"",A$2:A48,,,-1)</f>
        <v>Design</v>
      </c>
      <c r="G48" s="19" t="str" cm="1">
        <f t="array" ref="G48">_xlfn.XLOOKUP(TRUE,B$2:B48&lt;&gt;"",B$2:B48,,,-1)</f>
        <v>Validations</v>
      </c>
      <c r="H48" s="19" t="str">
        <f>IF(CLASSIFICATION[[#This Row],[Classification (Generalized keyword)]]="",CLASSIFICATION[[#This Row],[Keyword]],CLASSIFICATION[[#This Row],[Classification (Generalized keyword)]])</f>
        <v>+Lookup/Drop-down</v>
      </c>
      <c r="I48" s="19" t="str">
        <f>_xlfn.CONCAT(CLASSIFICATION[[#This Row],[Project Stage Aggr]],",",CLASSIFICATION[[#This Row],[Functional Scope Aggr]],",",CLASSIFICATION[[#This Row],[Keyword]])</f>
        <v>Design,Validations,+Lookup/Drop-down Data Patterns (dictionaries and multi field groups)</v>
      </c>
      <c r="J48" s="19" t="str">
        <f>_xlfn.CONCAT(CLASSIFICATION[[#This Row],[Project Stage Aggr]],",",CLASSIFICATION[[#This Row],[Functional Scope Aggr]],",",CLASSIFICATION[[#This Row],[Keyword Aggr]])</f>
        <v>Design,Validations,+Lookup/Drop-down</v>
      </c>
      <c r="K48" s="19" t="str">
        <f>_xlfn.CONCAT(CLASSIFICATION[[#This Row],[Project Stage Aggr]],",",CLASSIFICATION[[#This Row],[Functional Scope Aggr]],",",CLASSIFICATION[[#This Row],[Keyword Aggr]],",",CLASSIFICATION[[#This Row],[Importance]])</f>
        <v>Design,Validations,+Lookup/Drop-down,4</v>
      </c>
    </row>
    <row r="49" spans="2:11" x14ac:dyDescent="0.25">
      <c r="C49" t="s">
        <v>204</v>
      </c>
      <c r="D49" t="s">
        <v>181</v>
      </c>
      <c r="E49" s="38">
        <v>-1</v>
      </c>
      <c r="F49" s="19" t="str" cm="1">
        <f t="array" ref="F49">_xlfn.XLOOKUP(TRUE,A$2:A49&lt;&gt;"",A$2:A49,,,-1)</f>
        <v>Design</v>
      </c>
      <c r="G49" s="19" t="str" cm="1">
        <f t="array" ref="G49">_xlfn.XLOOKUP(TRUE,B$2:B49&lt;&gt;"",B$2:B49,,,-1)</f>
        <v>Validations</v>
      </c>
      <c r="H49" s="19" t="str">
        <f>IF(CLASSIFICATION[[#This Row],[Classification (Generalized keyword)]]="",CLASSIFICATION[[#This Row],[Keyword]],CLASSIFICATION[[#This Row],[Classification (Generalized keyword)]])</f>
        <v>Expressions</v>
      </c>
      <c r="I49" s="19" t="str">
        <f>_xlfn.CONCAT(CLASSIFICATION[[#This Row],[Project Stage Aggr]],",",CLASSIFICATION[[#This Row],[Functional Scope Aggr]],",",CLASSIFICATION[[#This Row],[Keyword]])</f>
        <v>Design,Validations,Arithmetic Expressions</v>
      </c>
      <c r="J49" s="19" t="str">
        <f>_xlfn.CONCAT(CLASSIFICATION[[#This Row],[Project Stage Aggr]],",",CLASSIFICATION[[#This Row],[Functional Scope Aggr]],",",CLASSIFICATION[[#This Row],[Keyword Aggr]])</f>
        <v>Design,Validations,Expressions</v>
      </c>
      <c r="K49" s="19" t="str">
        <f>_xlfn.CONCAT(CLASSIFICATION[[#This Row],[Project Stage Aggr]],",",CLASSIFICATION[[#This Row],[Functional Scope Aggr]],",",CLASSIFICATION[[#This Row],[Keyword Aggr]],",",CLASSIFICATION[[#This Row],[Importance]])</f>
        <v>Design,Validations,Expressions,-1</v>
      </c>
    </row>
    <row r="50" spans="2:11" x14ac:dyDescent="0.25">
      <c r="C50" t="s">
        <v>196</v>
      </c>
      <c r="D50" t="s">
        <v>181</v>
      </c>
      <c r="E50" s="38">
        <v>-1</v>
      </c>
      <c r="F50" s="19" t="str" cm="1">
        <f t="array" ref="F50">_xlfn.XLOOKUP(TRUE,A$2:A50&lt;&gt;"",A$2:A50,,,-1)</f>
        <v>Design</v>
      </c>
      <c r="G50" s="19" t="str" cm="1">
        <f t="array" ref="G50">_xlfn.XLOOKUP(TRUE,B$2:B50&lt;&gt;"",B$2:B50,,,-1)</f>
        <v>Validations</v>
      </c>
      <c r="H50" s="19" t="str">
        <f>IF(CLASSIFICATION[[#This Row],[Classification (Generalized keyword)]]="",CLASSIFICATION[[#This Row],[Keyword]],CLASSIFICATION[[#This Row],[Classification (Generalized keyword)]])</f>
        <v>Expressions</v>
      </c>
      <c r="I50" s="19" t="str">
        <f>_xlfn.CONCAT(CLASSIFICATION[[#This Row],[Project Stage Aggr]],",",CLASSIFICATION[[#This Row],[Functional Scope Aggr]],",",CLASSIFICATION[[#This Row],[Keyword]])</f>
        <v>Design,Validations,Boolean Expressions</v>
      </c>
      <c r="J50" s="19" t="str">
        <f>_xlfn.CONCAT(CLASSIFICATION[[#This Row],[Project Stage Aggr]],",",CLASSIFICATION[[#This Row],[Functional Scope Aggr]],",",CLASSIFICATION[[#This Row],[Keyword Aggr]])</f>
        <v>Design,Validations,Expressions</v>
      </c>
      <c r="K50" s="19" t="str">
        <f>_xlfn.CONCAT(CLASSIFICATION[[#This Row],[Project Stage Aggr]],",",CLASSIFICATION[[#This Row],[Functional Scope Aggr]],",",CLASSIFICATION[[#This Row],[Keyword Aggr]],",",CLASSIFICATION[[#This Row],[Importance]])</f>
        <v>Design,Validations,Expressions,-1</v>
      </c>
    </row>
    <row r="51" spans="2:11" x14ac:dyDescent="0.25">
      <c r="C51" t="s">
        <v>172</v>
      </c>
      <c r="D51" t="s">
        <v>181</v>
      </c>
      <c r="E51" s="38">
        <v>-1</v>
      </c>
      <c r="F51" s="19" t="str" cm="1">
        <f t="array" ref="F51">_xlfn.XLOOKUP(TRUE,A$2:A51&lt;&gt;"",A$2:A51,,,-1)</f>
        <v>Design</v>
      </c>
      <c r="G51" s="19" t="str" cm="1">
        <f t="array" ref="G51">_xlfn.XLOOKUP(TRUE,B$2:B51&lt;&gt;"",B$2:B51,,,-1)</f>
        <v>Validations</v>
      </c>
      <c r="H51" s="19" t="str">
        <f>IF(CLASSIFICATION[[#This Row],[Classification (Generalized keyword)]]="",CLASSIFICATION[[#This Row],[Keyword]],CLASSIFICATION[[#This Row],[Classification (Generalized keyword)]])</f>
        <v>Expressions</v>
      </c>
      <c r="I51" s="19" t="str">
        <f>_xlfn.CONCAT(CLASSIFICATION[[#This Row],[Project Stage Aggr]],",",CLASSIFICATION[[#This Row],[Functional Scope Aggr]],",",CLASSIFICATION[[#This Row],[Keyword]])</f>
        <v>Design,Validations,Conditional Expressions</v>
      </c>
      <c r="J51" s="19" t="str">
        <f>_xlfn.CONCAT(CLASSIFICATION[[#This Row],[Project Stage Aggr]],",",CLASSIFICATION[[#This Row],[Functional Scope Aggr]],",",CLASSIFICATION[[#This Row],[Keyword Aggr]])</f>
        <v>Design,Validations,Expressions</v>
      </c>
      <c r="K51" s="19" t="str">
        <f>_xlfn.CONCAT(CLASSIFICATION[[#This Row],[Project Stage Aggr]],",",CLASSIFICATION[[#This Row],[Functional Scope Aggr]],",",CLASSIFICATION[[#This Row],[Keyword Aggr]],",",CLASSIFICATION[[#This Row],[Importance]])</f>
        <v>Design,Validations,Expressions,-1</v>
      </c>
    </row>
    <row r="52" spans="2:11" x14ac:dyDescent="0.25">
      <c r="C52" t="s">
        <v>205</v>
      </c>
      <c r="E52" s="38">
        <v>-1</v>
      </c>
      <c r="F52" s="19" t="str" cm="1">
        <f t="array" ref="F52">_xlfn.XLOOKUP(TRUE,A$2:A52&lt;&gt;"",A$2:A52,,,-1)</f>
        <v>Design</v>
      </c>
      <c r="G52" s="19" t="str" cm="1">
        <f t="array" ref="G52">_xlfn.XLOOKUP(TRUE,B$2:B52&lt;&gt;"",B$2:B52,,,-1)</f>
        <v>Validations</v>
      </c>
      <c r="H52" s="19" t="str">
        <f>IF(CLASSIFICATION[[#This Row],[Classification (Generalized keyword)]]="",CLASSIFICATION[[#This Row],[Keyword]],CLASSIFICATION[[#This Row],[Classification (Generalized keyword)]])</f>
        <v>Enumerations</v>
      </c>
      <c r="I52" s="19" t="str">
        <f>_xlfn.CONCAT(CLASSIFICATION[[#This Row],[Project Stage Aggr]],",",CLASSIFICATION[[#This Row],[Functional Scope Aggr]],",",CLASSIFICATION[[#This Row],[Keyword]])</f>
        <v>Design,Validations,Enumerations</v>
      </c>
      <c r="J52" s="19" t="str">
        <f>_xlfn.CONCAT(CLASSIFICATION[[#This Row],[Project Stage Aggr]],",",CLASSIFICATION[[#This Row],[Functional Scope Aggr]],",",CLASSIFICATION[[#This Row],[Keyword Aggr]])</f>
        <v>Design,Validations,Enumerations</v>
      </c>
      <c r="K52" s="19" t="str">
        <f>_xlfn.CONCAT(CLASSIFICATION[[#This Row],[Project Stage Aggr]],",",CLASSIFICATION[[#This Row],[Functional Scope Aggr]],",",CLASSIFICATION[[#This Row],[Keyword Aggr]],",",CLASSIFICATION[[#This Row],[Importance]])</f>
        <v>Design,Validations,Enumerations,-1</v>
      </c>
    </row>
    <row r="53" spans="2:11" x14ac:dyDescent="0.25">
      <c r="C53" t="s">
        <v>206</v>
      </c>
      <c r="E53" s="38">
        <v>-4</v>
      </c>
      <c r="F53" s="19" t="str" cm="1">
        <f t="array" ref="F53">_xlfn.XLOOKUP(TRUE,A$2:A53&lt;&gt;"",A$2:A53,,,-1)</f>
        <v>Design</v>
      </c>
      <c r="G53" s="19" t="str" cm="1">
        <f t="array" ref="G53">_xlfn.XLOOKUP(TRUE,B$2:B53&lt;&gt;"",B$2:B53,,,-1)</f>
        <v>Validations</v>
      </c>
      <c r="H53" s="19" t="str">
        <f>IF(CLASSIFICATION[[#This Row],[Classification (Generalized keyword)]]="",CLASSIFICATION[[#This Row],[Keyword]],CLASSIFICATION[[#This Row],[Classification (Generalized keyword)]])</f>
        <v>JavaScript</v>
      </c>
      <c r="I53" s="19" t="str">
        <f>_xlfn.CONCAT(CLASSIFICATION[[#This Row],[Project Stage Aggr]],",",CLASSIFICATION[[#This Row],[Functional Scope Aggr]],",",CLASSIFICATION[[#This Row],[Keyword]])</f>
        <v>Design,Validations,JavaScript</v>
      </c>
      <c r="J53" s="19" t="str">
        <f>_xlfn.CONCAT(CLASSIFICATION[[#This Row],[Project Stage Aggr]],",",CLASSIFICATION[[#This Row],[Functional Scope Aggr]],",",CLASSIFICATION[[#This Row],[Keyword Aggr]])</f>
        <v>Design,Validations,JavaScript</v>
      </c>
      <c r="K53" s="19" t="str">
        <f>_xlfn.CONCAT(CLASSIFICATION[[#This Row],[Project Stage Aggr]],",",CLASSIFICATION[[#This Row],[Functional Scope Aggr]],",",CLASSIFICATION[[#This Row],[Keyword Aggr]],",",CLASSIFICATION[[#This Row],[Importance]])</f>
        <v>Design,Validations,JavaScript,-4</v>
      </c>
    </row>
    <row r="54" spans="2:11" x14ac:dyDescent="0.25">
      <c r="C54" t="s">
        <v>207</v>
      </c>
      <c r="D54" t="s">
        <v>274</v>
      </c>
      <c r="E54" s="38">
        <v>-4</v>
      </c>
      <c r="F54" s="19" t="str" cm="1">
        <f t="array" ref="F54">_xlfn.XLOOKUP(TRUE,A$2:A54&lt;&gt;"",A$2:A54,,,-1)</f>
        <v>Design</v>
      </c>
      <c r="G54" s="19" t="str" cm="1">
        <f t="array" ref="G54">_xlfn.XLOOKUP(TRUE,B$2:B54&lt;&gt;"",B$2:B54,,,-1)</f>
        <v>Validations</v>
      </c>
      <c r="H54" s="19" t="str">
        <f>IF(CLASSIFICATION[[#This Row],[Classification (Generalized keyword)]]="",CLASSIFICATION[[#This Row],[Keyword]],CLASSIFICATION[[#This Row],[Classification (Generalized keyword)]])</f>
        <v>Scripts</v>
      </c>
      <c r="I54" s="19" t="str">
        <f>_xlfn.CONCAT(CLASSIFICATION[[#This Row],[Project Stage Aggr]],",",CLASSIFICATION[[#This Row],[Functional Scope Aggr]],",",CLASSIFICATION[[#This Row],[Keyword]])</f>
        <v>Design,Validations,Scripts (Deluge)</v>
      </c>
      <c r="J54" s="19" t="str">
        <f>_xlfn.CONCAT(CLASSIFICATION[[#This Row],[Project Stage Aggr]],",",CLASSIFICATION[[#This Row],[Functional Scope Aggr]],",",CLASSIFICATION[[#This Row],[Keyword Aggr]])</f>
        <v>Design,Validations,Scripts</v>
      </c>
      <c r="K54" s="19" t="str">
        <f>_xlfn.CONCAT(CLASSIFICATION[[#This Row],[Project Stage Aggr]],",",CLASSIFICATION[[#This Row],[Functional Scope Aggr]],",",CLASSIFICATION[[#This Row],[Keyword Aggr]],",",CLASSIFICATION[[#This Row],[Importance]])</f>
        <v>Design,Validations,Scripts,-4</v>
      </c>
    </row>
    <row r="55" spans="2:11" x14ac:dyDescent="0.25">
      <c r="C55" t="s">
        <v>408</v>
      </c>
      <c r="D55" t="s">
        <v>274</v>
      </c>
      <c r="E55" s="38">
        <v>-4</v>
      </c>
      <c r="F55" s="19" t="str" cm="1">
        <f t="array" ref="F55">_xlfn.XLOOKUP(TRUE,A$2:A55&lt;&gt;"",A$2:A55,,,-1)</f>
        <v>Design</v>
      </c>
      <c r="G55" s="19" t="str" cm="1">
        <f t="array" ref="G55">_xlfn.XLOOKUP(TRUE,B$2:B55&lt;&gt;"",B$2:B55,,,-1)</f>
        <v>Validations</v>
      </c>
      <c r="H55" s="19" t="str">
        <f>IF(CLASSIFICATION[[#This Row],[Classification (Generalized keyword)]]="",CLASSIFICATION[[#This Row],[Keyword]],CLASSIFICATION[[#This Row],[Classification (Generalized keyword)]])</f>
        <v>Scripts</v>
      </c>
      <c r="I55" s="19" t="str">
        <f>_xlfn.CONCAT(CLASSIFICATION[[#This Row],[Project Stage Aggr]],",",CLASSIFICATION[[#This Row],[Functional Scope Aggr]],",",CLASSIFICATION[[#This Row],[Keyword]])</f>
        <v>Design,Validations,Scripts (Groovy)</v>
      </c>
      <c r="J55" s="19" t="str">
        <f>_xlfn.CONCAT(CLASSIFICATION[[#This Row],[Project Stage Aggr]],",",CLASSIFICATION[[#This Row],[Functional Scope Aggr]],",",CLASSIFICATION[[#This Row],[Keyword Aggr]])</f>
        <v>Design,Validations,Scripts</v>
      </c>
      <c r="K55" s="19" t="str">
        <f>_xlfn.CONCAT(CLASSIFICATION[[#This Row],[Project Stage Aggr]],",",CLASSIFICATION[[#This Row],[Functional Scope Aggr]],",",CLASSIFICATION[[#This Row],[Keyword Aggr]],",",CLASSIFICATION[[#This Row],[Importance]])</f>
        <v>Design,Validations,Scripts,-4</v>
      </c>
    </row>
    <row r="56" spans="2:11" x14ac:dyDescent="0.25">
      <c r="C56" t="s">
        <v>208</v>
      </c>
      <c r="D56" t="s">
        <v>181</v>
      </c>
      <c r="E56" s="38">
        <v>-1</v>
      </c>
      <c r="F56" s="19" t="str" cm="1">
        <f t="array" ref="F56">_xlfn.XLOOKUP(TRUE,A$2:A56&lt;&gt;"",A$2:A56,,,-1)</f>
        <v>Design</v>
      </c>
      <c r="G56" s="19" t="str" cm="1">
        <f t="array" ref="G56">_xlfn.XLOOKUP(TRUE,B$2:B56&lt;&gt;"",B$2:B56,,,-1)</f>
        <v>Validations</v>
      </c>
      <c r="H56" s="19" t="str">
        <f>IF(CLASSIFICATION[[#This Row],[Classification (Generalized keyword)]]="",CLASSIFICATION[[#This Row],[Keyword]],CLASSIFICATION[[#This Row],[Classification (Generalized keyword)]])</f>
        <v>Expressions</v>
      </c>
      <c r="I56" s="19" t="str">
        <f>_xlfn.CONCAT(CLASSIFICATION[[#This Row],[Project Stage Aggr]],",",CLASSIFICATION[[#This Row],[Functional Scope Aggr]],",",CLASSIFICATION[[#This Row],[Keyword]])</f>
        <v>Design,Validations,String Functions</v>
      </c>
      <c r="J56" s="19" t="str">
        <f>_xlfn.CONCAT(CLASSIFICATION[[#This Row],[Project Stage Aggr]],",",CLASSIFICATION[[#This Row],[Functional Scope Aggr]],",",CLASSIFICATION[[#This Row],[Keyword Aggr]])</f>
        <v>Design,Validations,Expressions</v>
      </c>
      <c r="K56" s="19" t="str">
        <f>_xlfn.CONCAT(CLASSIFICATION[[#This Row],[Project Stage Aggr]],",",CLASSIFICATION[[#This Row],[Functional Scope Aggr]],",",CLASSIFICATION[[#This Row],[Keyword Aggr]],",",CLASSIFICATION[[#This Row],[Importance]])</f>
        <v>Design,Validations,Expressions,-1</v>
      </c>
    </row>
    <row r="57" spans="2:11" x14ac:dyDescent="0.25">
      <c r="C57" t="s">
        <v>209</v>
      </c>
      <c r="E57" s="38">
        <v>-3</v>
      </c>
      <c r="F57" s="19" t="str" cm="1">
        <f t="array" ref="F57">_xlfn.XLOOKUP(TRUE,A$2:A57&lt;&gt;"",A$2:A57,,,-1)</f>
        <v>Design</v>
      </c>
      <c r="G57" s="19" t="str" cm="1">
        <f t="array" ref="G57">_xlfn.XLOOKUP(TRUE,B$2:B57&lt;&gt;"",B$2:B57,,,-1)</f>
        <v>Validations</v>
      </c>
      <c r="H57" s="19" t="str">
        <f>IF(CLASSIFICATION[[#This Row],[Classification (Generalized keyword)]]="",CLASSIFICATION[[#This Row],[Keyword]],CLASSIFICATION[[#This Row],[Classification (Generalized keyword)]])</f>
        <v>Transactions</v>
      </c>
      <c r="I57" s="19" t="str">
        <f>_xlfn.CONCAT(CLASSIFICATION[[#This Row],[Project Stage Aggr]],",",CLASSIFICATION[[#This Row],[Functional Scope Aggr]],",",CLASSIFICATION[[#This Row],[Keyword]])</f>
        <v>Design,Validations,Transactions</v>
      </c>
      <c r="J57" s="19" t="str">
        <f>_xlfn.CONCAT(CLASSIFICATION[[#This Row],[Project Stage Aggr]],",",CLASSIFICATION[[#This Row],[Functional Scope Aggr]],",",CLASSIFICATION[[#This Row],[Keyword Aggr]])</f>
        <v>Design,Validations,Transactions</v>
      </c>
      <c r="K57" s="19" t="str">
        <f>_xlfn.CONCAT(CLASSIFICATION[[#This Row],[Project Stage Aggr]],",",CLASSIFICATION[[#This Row],[Functional Scope Aggr]],",",CLASSIFICATION[[#This Row],[Keyword Aggr]],",",CLASSIFICATION[[#This Row],[Importance]])</f>
        <v>Design,Validations,Transactions,-3</v>
      </c>
    </row>
    <row r="58" spans="2:11" x14ac:dyDescent="0.25">
      <c r="B58" t="s">
        <v>36</v>
      </c>
      <c r="C58" t="s">
        <v>210</v>
      </c>
      <c r="E58" s="38">
        <v>4</v>
      </c>
      <c r="F58" s="19" t="str" cm="1">
        <f t="array" ref="F58">_xlfn.XLOOKUP(TRUE,A$2:A58&lt;&gt;"",A$2:A58,,,-1)</f>
        <v>Design</v>
      </c>
      <c r="G58" s="19" t="str" cm="1">
        <f t="array" ref="G58">_xlfn.XLOOKUP(TRUE,B$2:B58&lt;&gt;"",B$2:B58,,,-1)</f>
        <v>Application logic</v>
      </c>
      <c r="H58" s="19" t="str">
        <f>IF(CLASSIFICATION[[#This Row],[Classification (Generalized keyword)]]="",CLASSIFICATION[[#This Row],[Keyword]],CLASSIFICATION[[#This Row],[Classification (Generalized keyword)]])</f>
        <v>+Actions</v>
      </c>
      <c r="I58" s="19" t="str">
        <f>_xlfn.CONCAT(CLASSIFICATION[[#This Row],[Project Stage Aggr]],",",CLASSIFICATION[[#This Row],[Functional Scope Aggr]],",",CLASSIFICATION[[#This Row],[Keyword]])</f>
        <v>Design,Application logic,+Actions</v>
      </c>
      <c r="J58" s="19" t="str">
        <f>_xlfn.CONCAT(CLASSIFICATION[[#This Row],[Project Stage Aggr]],",",CLASSIFICATION[[#This Row],[Functional Scope Aggr]],",",CLASSIFICATION[[#This Row],[Keyword Aggr]])</f>
        <v>Design,Application logic,+Actions</v>
      </c>
      <c r="K58" s="19" t="str">
        <f>_xlfn.CONCAT(CLASSIFICATION[[#This Row],[Project Stage Aggr]],",",CLASSIFICATION[[#This Row],[Functional Scope Aggr]],",",CLASSIFICATION[[#This Row],[Keyword Aggr]],",",CLASSIFICATION[[#This Row],[Importance]])</f>
        <v>Design,Application logic,+Actions,4</v>
      </c>
    </row>
    <row r="59" spans="2:11" x14ac:dyDescent="0.25">
      <c r="C59" t="s">
        <v>211</v>
      </c>
      <c r="E59" s="38">
        <v>4</v>
      </c>
      <c r="F59" s="19" t="str" cm="1">
        <f t="array" ref="F59">_xlfn.XLOOKUP(TRUE,A$2:A59&lt;&gt;"",A$2:A59,,,-1)</f>
        <v>Design</v>
      </c>
      <c r="G59" s="19" t="str" cm="1">
        <f t="array" ref="G59">_xlfn.XLOOKUP(TRUE,B$2:B59&lt;&gt;"",B$2:B59,,,-1)</f>
        <v>Application logic</v>
      </c>
      <c r="H59" s="19" t="str">
        <f>IF(CLASSIFICATION[[#This Row],[Classification (Generalized keyword)]]="",CLASSIFICATION[[#This Row],[Keyword]],CLASSIFICATION[[#This Row],[Classification (Generalized keyword)]])</f>
        <v>+Graphical actions</v>
      </c>
      <c r="I59" s="19" t="str">
        <f>_xlfn.CONCAT(CLASSIFICATION[[#This Row],[Project Stage Aggr]],",",CLASSIFICATION[[#This Row],[Functional Scope Aggr]],",",CLASSIFICATION[[#This Row],[Keyword]])</f>
        <v>Design,Application logic,+Graphical actions</v>
      </c>
      <c r="J59" s="19" t="str">
        <f>_xlfn.CONCAT(CLASSIFICATION[[#This Row],[Project Stage Aggr]],",",CLASSIFICATION[[#This Row],[Functional Scope Aggr]],",",CLASSIFICATION[[#This Row],[Keyword Aggr]])</f>
        <v>Design,Application logic,+Graphical actions</v>
      </c>
      <c r="K59" s="19" t="str">
        <f>_xlfn.CONCAT(CLASSIFICATION[[#This Row],[Project Stage Aggr]],",",CLASSIFICATION[[#This Row],[Functional Scope Aggr]],",",CLASSIFICATION[[#This Row],[Keyword Aggr]],",",CLASSIFICATION[[#This Row],[Importance]])</f>
        <v>Design,Application logic,+Graphical actions,4</v>
      </c>
    </row>
    <row r="60" spans="2:11" x14ac:dyDescent="0.25">
      <c r="C60" t="s">
        <v>212</v>
      </c>
      <c r="E60" s="38">
        <v>4</v>
      </c>
      <c r="F60" s="19" t="str" cm="1">
        <f t="array" ref="F60">_xlfn.XLOOKUP(TRUE,A$2:A60&lt;&gt;"",A$2:A60,,,-1)</f>
        <v>Design</v>
      </c>
      <c r="G60" s="19" t="str" cm="1">
        <f t="array" ref="G60">_xlfn.XLOOKUP(TRUE,B$2:B60&lt;&gt;"",B$2:B60,,,-1)</f>
        <v>Application logic</v>
      </c>
      <c r="H60" s="19" t="str">
        <f>IF(CLASSIFICATION[[#This Row],[Classification (Generalized keyword)]]="",CLASSIFICATION[[#This Row],[Keyword]],CLASSIFICATION[[#This Row],[Classification (Generalized keyword)]])</f>
        <v>+NLP</v>
      </c>
      <c r="I60" s="19" t="str">
        <f>_xlfn.CONCAT(CLASSIFICATION[[#This Row],[Project Stage Aggr]],",",CLASSIFICATION[[#This Row],[Functional Scope Aggr]],",",CLASSIFICATION[[#This Row],[Keyword]])</f>
        <v>Design,Application logic,+NLP</v>
      </c>
      <c r="J60" s="19" t="str">
        <f>_xlfn.CONCAT(CLASSIFICATION[[#This Row],[Project Stage Aggr]],",",CLASSIFICATION[[#This Row],[Functional Scope Aggr]],",",CLASSIFICATION[[#This Row],[Keyword Aggr]])</f>
        <v>Design,Application logic,+NLP</v>
      </c>
      <c r="K60" s="19" t="str">
        <f>_xlfn.CONCAT(CLASSIFICATION[[#This Row],[Project Stage Aggr]],",",CLASSIFICATION[[#This Row],[Functional Scope Aggr]],",",CLASSIFICATION[[#This Row],[Keyword Aggr]],",",CLASSIFICATION[[#This Row],[Importance]])</f>
        <v>Design,Application logic,+NLP,4</v>
      </c>
    </row>
    <row r="61" spans="2:11" x14ac:dyDescent="0.25">
      <c r="C61" t="s">
        <v>213</v>
      </c>
      <c r="D61" s="6" t="s">
        <v>355</v>
      </c>
      <c r="E61" s="39">
        <v>3</v>
      </c>
      <c r="F61" s="19" t="str" cm="1">
        <f t="array" ref="F61">_xlfn.XLOOKUP(TRUE,A$2:A61&lt;&gt;"",A$2:A61,,,-1)</f>
        <v>Design</v>
      </c>
      <c r="G61" s="19" t="str" cm="1">
        <f t="array" ref="G61">_xlfn.XLOOKUP(TRUE,B$2:B61&lt;&gt;"",B$2:B61,,,-1)</f>
        <v>Application logic</v>
      </c>
      <c r="H61" s="19" t="str">
        <f>IF(CLASSIFICATION[[#This Row],[Classification (Generalized keyword)]]="",CLASSIFICATION[[#This Row],[Keyword]],CLASSIFICATION[[#This Row],[Classification (Generalized keyword)]])</f>
        <v>+Custom Language</v>
      </c>
      <c r="I61" s="19" t="str">
        <f>_xlfn.CONCAT(CLASSIFICATION[[#This Row],[Project Stage Aggr]],",",CLASSIFICATION[[#This Row],[Functional Scope Aggr]],",",CLASSIFICATION[[#This Row],[Keyword]])</f>
        <v>Design,Application logic,+Power Fx - an Open-source programming language for low-code</v>
      </c>
      <c r="J61" s="19" t="str">
        <f>_xlfn.CONCAT(CLASSIFICATION[[#This Row],[Project Stage Aggr]],",",CLASSIFICATION[[#This Row],[Functional Scope Aggr]],",",CLASSIFICATION[[#This Row],[Keyword Aggr]])</f>
        <v>Design,Application logic,+Custom Language</v>
      </c>
      <c r="K61" s="19" t="str">
        <f>_xlfn.CONCAT(CLASSIFICATION[[#This Row],[Project Stage Aggr]],",",CLASSIFICATION[[#This Row],[Functional Scope Aggr]],",",CLASSIFICATION[[#This Row],[Keyword Aggr]],",",CLASSIFICATION[[#This Row],[Importance]])</f>
        <v>Design,Application logic,+Custom Language,3</v>
      </c>
    </row>
    <row r="62" spans="2:11" x14ac:dyDescent="0.25">
      <c r="C62" t="s">
        <v>214</v>
      </c>
      <c r="D62" s="6" t="s">
        <v>215</v>
      </c>
      <c r="E62" s="39">
        <v>5</v>
      </c>
      <c r="F62" s="19" t="str" cm="1">
        <f t="array" ref="F62">_xlfn.XLOOKUP(TRUE,A$2:A62&lt;&gt;"",A$2:A62,,,-1)</f>
        <v>Design</v>
      </c>
      <c r="G62" s="19" t="str" cm="1">
        <f t="array" ref="G62">_xlfn.XLOOKUP(TRUE,B$2:B62&lt;&gt;"",B$2:B62,,,-1)</f>
        <v>Application logic</v>
      </c>
      <c r="H62" s="19" t="str">
        <f>IF(CLASSIFICATION[[#This Row],[Classification (Generalized keyword)]]="",CLASSIFICATION[[#This Row],[Keyword]],CLASSIFICATION[[#This Row],[Classification (Generalized keyword)]])</f>
        <v>+Predefined Tasks</v>
      </c>
      <c r="I62" s="19" t="str">
        <f>_xlfn.CONCAT(CLASSIFICATION[[#This Row],[Project Stage Aggr]],",",CLASSIFICATION[[#This Row],[Functional Scope Aggr]],",",CLASSIFICATION[[#This Row],[Keyword]])</f>
        <v>Design,Application logic,+Predefined Process Steps</v>
      </c>
      <c r="J62" s="19" t="str">
        <f>_xlfn.CONCAT(CLASSIFICATION[[#This Row],[Project Stage Aggr]],",",CLASSIFICATION[[#This Row],[Functional Scope Aggr]],",",CLASSIFICATION[[#This Row],[Keyword Aggr]])</f>
        <v>Design,Application logic,+Predefined Tasks</v>
      </c>
      <c r="K62" s="19" t="str">
        <f>_xlfn.CONCAT(CLASSIFICATION[[#This Row],[Project Stage Aggr]],",",CLASSIFICATION[[#This Row],[Functional Scope Aggr]],",",CLASSIFICATION[[#This Row],[Keyword Aggr]],",",CLASSIFICATION[[#This Row],[Importance]])</f>
        <v>Design,Application logic,+Predefined Tasks,5</v>
      </c>
    </row>
    <row r="63" spans="2:11" x14ac:dyDescent="0.25">
      <c r="C63" t="s">
        <v>215</v>
      </c>
      <c r="D63" s="6" t="s">
        <v>215</v>
      </c>
      <c r="E63" s="39">
        <v>5</v>
      </c>
      <c r="F63" s="19" t="str" cm="1">
        <f t="array" ref="F63">_xlfn.XLOOKUP(TRUE,A$2:A63&lt;&gt;"",A$2:A63,,,-1)</f>
        <v>Design</v>
      </c>
      <c r="G63" s="19" t="str" cm="1">
        <f t="array" ref="G63">_xlfn.XLOOKUP(TRUE,B$2:B63&lt;&gt;"",B$2:B63,,,-1)</f>
        <v>Application logic</v>
      </c>
      <c r="H63" s="19" t="str">
        <f>IF(CLASSIFICATION[[#This Row],[Classification (Generalized keyword)]]="",CLASSIFICATION[[#This Row],[Keyword]],CLASSIFICATION[[#This Row],[Classification (Generalized keyword)]])</f>
        <v>+Predefined Tasks</v>
      </c>
      <c r="I63" s="19" t="str">
        <f>_xlfn.CONCAT(CLASSIFICATION[[#This Row],[Project Stage Aggr]],",",CLASSIFICATION[[#This Row],[Functional Scope Aggr]],",",CLASSIFICATION[[#This Row],[Keyword]])</f>
        <v>Design,Application logic,+Predefined Tasks</v>
      </c>
      <c r="J63" s="19" t="str">
        <f>_xlfn.CONCAT(CLASSIFICATION[[#This Row],[Project Stage Aggr]],",",CLASSIFICATION[[#This Row],[Functional Scope Aggr]],",",CLASSIFICATION[[#This Row],[Keyword Aggr]])</f>
        <v>Design,Application logic,+Predefined Tasks</v>
      </c>
      <c r="K63" s="19" t="str">
        <f>_xlfn.CONCAT(CLASSIFICATION[[#This Row],[Project Stage Aggr]],",",CLASSIFICATION[[#This Row],[Functional Scope Aggr]],",",CLASSIFICATION[[#This Row],[Keyword Aggr]],",",CLASSIFICATION[[#This Row],[Importance]])</f>
        <v>Design,Application logic,+Predefined Tasks,5</v>
      </c>
    </row>
    <row r="64" spans="2:11" x14ac:dyDescent="0.25">
      <c r="C64" t="s">
        <v>216</v>
      </c>
      <c r="D64" t="s">
        <v>0</v>
      </c>
      <c r="E64" s="38">
        <v>-3</v>
      </c>
      <c r="F64" s="19" t="str" cm="1">
        <f t="array" ref="F64">_xlfn.XLOOKUP(TRUE,A$2:A64&lt;&gt;"",A$2:A64,,,-1)</f>
        <v>Design</v>
      </c>
      <c r="G64" s="19" t="str" cm="1">
        <f t="array" ref="G64">_xlfn.XLOOKUP(TRUE,B$2:B64&lt;&gt;"",B$2:B64,,,-1)</f>
        <v>Application logic</v>
      </c>
      <c r="H64" s="19" t="str">
        <f>IF(CLASSIFICATION[[#This Row],[Classification (Generalized keyword)]]="",CLASSIFICATION[[#This Row],[Keyword]],CLASSIFICATION[[#This Row],[Classification (Generalized keyword)]])</f>
        <v>UML</v>
      </c>
      <c r="I64" s="19" t="str">
        <f>_xlfn.CONCAT(CLASSIFICATION[[#This Row],[Project Stage Aggr]],",",CLASSIFICATION[[#This Row],[Functional Scope Aggr]],",",CLASSIFICATION[[#This Row],[Keyword]])</f>
        <v>Design,Application logic,Activity Diagram</v>
      </c>
      <c r="J64" s="19" t="str">
        <f>_xlfn.CONCAT(CLASSIFICATION[[#This Row],[Project Stage Aggr]],",",CLASSIFICATION[[#This Row],[Functional Scope Aggr]],",",CLASSIFICATION[[#This Row],[Keyword Aggr]])</f>
        <v>Design,Application logic,UML</v>
      </c>
      <c r="K64" s="19" t="str">
        <f>_xlfn.CONCAT(CLASSIFICATION[[#This Row],[Project Stage Aggr]],",",CLASSIFICATION[[#This Row],[Functional Scope Aggr]],",",CLASSIFICATION[[#This Row],[Keyword Aggr]],",",CLASSIFICATION[[#This Row],[Importance]])</f>
        <v>Design,Application logic,UML,-3</v>
      </c>
    </row>
    <row r="65" spans="3:11" x14ac:dyDescent="0.25">
      <c r="C65" t="s">
        <v>217</v>
      </c>
      <c r="E65" s="38">
        <v>-3</v>
      </c>
      <c r="F65" s="19" t="str" cm="1">
        <f t="array" ref="F65">_xlfn.XLOOKUP(TRUE,A$2:A65&lt;&gt;"",A$2:A65,,,-1)</f>
        <v>Design</v>
      </c>
      <c r="G65" s="19" t="str" cm="1">
        <f t="array" ref="G65">_xlfn.XLOOKUP(TRUE,B$2:B65&lt;&gt;"",B$2:B65,,,-1)</f>
        <v>Application logic</v>
      </c>
      <c r="H65" s="19" t="str">
        <f>IF(CLASSIFICATION[[#This Row],[Classification (Generalized keyword)]]="",CLASSIFICATION[[#This Row],[Keyword]],CLASSIFICATION[[#This Row],[Classification (Generalized keyword)]])</f>
        <v>Algorithms</v>
      </c>
      <c r="I65" s="19" t="str">
        <f>_xlfn.CONCAT(CLASSIFICATION[[#This Row],[Project Stage Aggr]],",",CLASSIFICATION[[#This Row],[Functional Scope Aggr]],",",CLASSIFICATION[[#This Row],[Keyword]])</f>
        <v>Design,Application logic,Algorithms</v>
      </c>
      <c r="J65" s="19" t="str">
        <f>_xlfn.CONCAT(CLASSIFICATION[[#This Row],[Project Stage Aggr]],",",CLASSIFICATION[[#This Row],[Functional Scope Aggr]],",",CLASSIFICATION[[#This Row],[Keyword Aggr]])</f>
        <v>Design,Application logic,Algorithms</v>
      </c>
      <c r="K65" s="19" t="str">
        <f>_xlfn.CONCAT(CLASSIFICATION[[#This Row],[Project Stage Aggr]],",",CLASSIFICATION[[#This Row],[Functional Scope Aggr]],",",CLASSIFICATION[[#This Row],[Keyword Aggr]],",",CLASSIFICATION[[#This Row],[Importance]])</f>
        <v>Design,Application logic,Algorithms,-3</v>
      </c>
    </row>
    <row r="66" spans="3:11" x14ac:dyDescent="0.25">
      <c r="C66" t="s">
        <v>196</v>
      </c>
      <c r="D66" t="s">
        <v>181</v>
      </c>
      <c r="E66" s="38">
        <v>-1</v>
      </c>
      <c r="F66" s="19" t="str" cm="1">
        <f t="array" ref="F66">_xlfn.XLOOKUP(TRUE,A$2:A66&lt;&gt;"",A$2:A66,,,-1)</f>
        <v>Design</v>
      </c>
      <c r="G66" s="19" t="str" cm="1">
        <f t="array" ref="G66">_xlfn.XLOOKUP(TRUE,B$2:B66&lt;&gt;"",B$2:B66,,,-1)</f>
        <v>Application logic</v>
      </c>
      <c r="H66" s="19" t="str">
        <f>IF(CLASSIFICATION[[#This Row],[Classification (Generalized keyword)]]="",CLASSIFICATION[[#This Row],[Keyword]],CLASSIFICATION[[#This Row],[Classification (Generalized keyword)]])</f>
        <v>Expressions</v>
      </c>
      <c r="I66" s="19" t="str">
        <f>_xlfn.CONCAT(CLASSIFICATION[[#This Row],[Project Stage Aggr]],",",CLASSIFICATION[[#This Row],[Functional Scope Aggr]],",",CLASSIFICATION[[#This Row],[Keyword]])</f>
        <v>Design,Application logic,Boolean Expressions</v>
      </c>
      <c r="J66" s="19" t="str">
        <f>_xlfn.CONCAT(CLASSIFICATION[[#This Row],[Project Stage Aggr]],",",CLASSIFICATION[[#This Row],[Functional Scope Aggr]],",",CLASSIFICATION[[#This Row],[Keyword Aggr]])</f>
        <v>Design,Application logic,Expressions</v>
      </c>
      <c r="K66" s="19" t="str">
        <f>_xlfn.CONCAT(CLASSIFICATION[[#This Row],[Project Stage Aggr]],",",CLASSIFICATION[[#This Row],[Functional Scope Aggr]],",",CLASSIFICATION[[#This Row],[Keyword Aggr]],",",CLASSIFICATION[[#This Row],[Importance]])</f>
        <v>Design,Application logic,Expressions,-1</v>
      </c>
    </row>
    <row r="67" spans="3:11" x14ac:dyDescent="0.25">
      <c r="C67" t="s">
        <v>172</v>
      </c>
      <c r="D67" t="s">
        <v>181</v>
      </c>
      <c r="E67" s="38">
        <v>-1</v>
      </c>
      <c r="F67" s="19" t="str" cm="1">
        <f t="array" ref="F67">_xlfn.XLOOKUP(TRUE,A$2:A67&lt;&gt;"",A$2:A67,,,-1)</f>
        <v>Design</v>
      </c>
      <c r="G67" s="19" t="str" cm="1">
        <f t="array" ref="G67">_xlfn.XLOOKUP(TRUE,B$2:B67&lt;&gt;"",B$2:B67,,,-1)</f>
        <v>Application logic</v>
      </c>
      <c r="H67" s="19" t="str">
        <f>IF(CLASSIFICATION[[#This Row],[Classification (Generalized keyword)]]="",CLASSIFICATION[[#This Row],[Keyword]],CLASSIFICATION[[#This Row],[Classification (Generalized keyword)]])</f>
        <v>Expressions</v>
      </c>
      <c r="I67" s="19" t="str">
        <f>_xlfn.CONCAT(CLASSIFICATION[[#This Row],[Project Stage Aggr]],",",CLASSIFICATION[[#This Row],[Functional Scope Aggr]],",",CLASSIFICATION[[#This Row],[Keyword]])</f>
        <v>Design,Application logic,Conditional Expressions</v>
      </c>
      <c r="J67" s="19" t="str">
        <f>_xlfn.CONCAT(CLASSIFICATION[[#This Row],[Project Stage Aggr]],",",CLASSIFICATION[[#This Row],[Functional Scope Aggr]],",",CLASSIFICATION[[#This Row],[Keyword Aggr]])</f>
        <v>Design,Application logic,Expressions</v>
      </c>
      <c r="K67" s="19" t="str">
        <f>_xlfn.CONCAT(CLASSIFICATION[[#This Row],[Project Stage Aggr]],",",CLASSIFICATION[[#This Row],[Functional Scope Aggr]],",",CLASSIFICATION[[#This Row],[Keyword Aggr]],",",CLASSIFICATION[[#This Row],[Importance]])</f>
        <v>Design,Application logic,Expressions,-1</v>
      </c>
    </row>
    <row r="68" spans="3:11" x14ac:dyDescent="0.25">
      <c r="C68" t="s">
        <v>218</v>
      </c>
      <c r="E68" s="38">
        <v>-2</v>
      </c>
      <c r="F68" s="19" t="str" cm="1">
        <f t="array" ref="F68">_xlfn.XLOOKUP(TRUE,A$2:A68&lt;&gt;"",A$2:A68,,,-1)</f>
        <v>Design</v>
      </c>
      <c r="G68" s="19" t="str" cm="1">
        <f t="array" ref="G68">_xlfn.XLOOKUP(TRUE,B$2:B68&lt;&gt;"",B$2:B68,,,-1)</f>
        <v>Application logic</v>
      </c>
      <c r="H68" s="19" t="str">
        <f>IF(CLASSIFICATION[[#This Row],[Classification (Generalized keyword)]]="",CLASSIFICATION[[#This Row],[Keyword]],CLASSIFICATION[[#This Row],[Classification (Generalized keyword)]])</f>
        <v>Control Structures</v>
      </c>
      <c r="I68" s="19" t="str">
        <f>_xlfn.CONCAT(CLASSIFICATION[[#This Row],[Project Stage Aggr]],",",CLASSIFICATION[[#This Row],[Functional Scope Aggr]],",",CLASSIFICATION[[#This Row],[Keyword]])</f>
        <v>Design,Application logic,Control Structures</v>
      </c>
      <c r="J68" s="19" t="str">
        <f>_xlfn.CONCAT(CLASSIFICATION[[#This Row],[Project Stage Aggr]],",",CLASSIFICATION[[#This Row],[Functional Scope Aggr]],",",CLASSIFICATION[[#This Row],[Keyword Aggr]])</f>
        <v>Design,Application logic,Control Structures</v>
      </c>
      <c r="K68" s="19" t="str">
        <f>_xlfn.CONCAT(CLASSIFICATION[[#This Row],[Project Stage Aggr]],",",CLASSIFICATION[[#This Row],[Functional Scope Aggr]],",",CLASSIFICATION[[#This Row],[Keyword Aggr]],",",CLASSIFICATION[[#This Row],[Importance]])</f>
        <v>Design,Application logic,Control Structures,-2</v>
      </c>
    </row>
    <row r="69" spans="3:11" x14ac:dyDescent="0.25">
      <c r="C69" t="s">
        <v>175</v>
      </c>
      <c r="D69" t="s">
        <v>269</v>
      </c>
      <c r="E69" s="38">
        <v>-3</v>
      </c>
      <c r="F69" s="19" t="str" cm="1">
        <f t="array" ref="F69">_xlfn.XLOOKUP(TRUE,A$2:A69&lt;&gt;"",A$2:A69,,,-1)</f>
        <v>Design</v>
      </c>
      <c r="G69" s="19" t="str" cm="1">
        <f t="array" ref="G69">_xlfn.XLOOKUP(TRUE,B$2:B69&lt;&gt;"",B$2:B69,,,-1)</f>
        <v>Application logic</v>
      </c>
      <c r="H69" s="19" t="str">
        <f>IF(CLASSIFICATION[[#This Row],[Classification (Generalized keyword)]]="",CLASSIFICATION[[#This Row],[Keyword]],CLASSIFICATION[[#This Row],[Classification (Generalized keyword)]])</f>
        <v>IT Data Types</v>
      </c>
      <c r="I69" s="19" t="str">
        <f>_xlfn.CONCAT(CLASSIFICATION[[#This Row],[Project Stage Aggr]],",",CLASSIFICATION[[#This Row],[Functional Scope Aggr]],",",CLASSIFICATION[[#This Row],[Keyword]])</f>
        <v>Design,Application logic,Data Types</v>
      </c>
      <c r="J69" s="19" t="str">
        <f>_xlfn.CONCAT(CLASSIFICATION[[#This Row],[Project Stage Aggr]],",",CLASSIFICATION[[#This Row],[Functional Scope Aggr]],",",CLASSIFICATION[[#This Row],[Keyword Aggr]])</f>
        <v>Design,Application logic,IT Data Types</v>
      </c>
      <c r="K69" s="19" t="str">
        <f>_xlfn.CONCAT(CLASSIFICATION[[#This Row],[Project Stage Aggr]],",",CLASSIFICATION[[#This Row],[Functional Scope Aggr]],",",CLASSIFICATION[[#This Row],[Keyword Aggr]],",",CLASSIFICATION[[#This Row],[Importance]])</f>
        <v>Design,Application logic,IT Data Types,-3</v>
      </c>
    </row>
    <row r="70" spans="3:11" x14ac:dyDescent="0.25">
      <c r="C70" t="s">
        <v>219</v>
      </c>
      <c r="E70" s="38">
        <v>-4</v>
      </c>
      <c r="F70" s="19" t="str" cm="1">
        <f t="array" ref="F70">_xlfn.XLOOKUP(TRUE,A$2:A70&lt;&gt;"",A$2:A70,,,-1)</f>
        <v>Design</v>
      </c>
      <c r="G70" s="19" t="str" cm="1">
        <f t="array" ref="G70">_xlfn.XLOOKUP(TRUE,B$2:B70&lt;&gt;"",B$2:B70,,,-1)</f>
        <v>Application logic</v>
      </c>
      <c r="H70" s="19" t="str">
        <f>IF(CLASSIFICATION[[#This Row],[Classification (Generalized keyword)]]="",CLASSIFICATION[[#This Row],[Keyword]],CLASSIFICATION[[#This Row],[Classification (Generalized keyword)]])</f>
        <v>Events</v>
      </c>
      <c r="I70" s="19" t="str">
        <f>_xlfn.CONCAT(CLASSIFICATION[[#This Row],[Project Stage Aggr]],",",CLASSIFICATION[[#This Row],[Functional Scope Aggr]],",",CLASSIFICATION[[#This Row],[Keyword]])</f>
        <v>Design,Application logic,Events</v>
      </c>
      <c r="J70" s="19" t="str">
        <f>_xlfn.CONCAT(CLASSIFICATION[[#This Row],[Project Stage Aggr]],",",CLASSIFICATION[[#This Row],[Functional Scope Aggr]],",",CLASSIFICATION[[#This Row],[Keyword Aggr]])</f>
        <v>Design,Application logic,Events</v>
      </c>
      <c r="K70" s="19" t="str">
        <f>_xlfn.CONCAT(CLASSIFICATION[[#This Row],[Project Stage Aggr]],",",CLASSIFICATION[[#This Row],[Functional Scope Aggr]],",",CLASSIFICATION[[#This Row],[Keyword Aggr]],",",CLASSIFICATION[[#This Row],[Importance]])</f>
        <v>Design,Application logic,Events,-4</v>
      </c>
    </row>
    <row r="71" spans="3:11" x14ac:dyDescent="0.25">
      <c r="C71" t="s">
        <v>181</v>
      </c>
      <c r="D71" t="s">
        <v>181</v>
      </c>
      <c r="E71" s="38">
        <v>-1</v>
      </c>
      <c r="F71" s="19" t="str" cm="1">
        <f t="array" ref="F71">_xlfn.XLOOKUP(TRUE,A$2:A71&lt;&gt;"",A$2:A71,,,-1)</f>
        <v>Design</v>
      </c>
      <c r="G71" s="19" t="str" cm="1">
        <f t="array" ref="G71">_xlfn.XLOOKUP(TRUE,B$2:B71&lt;&gt;"",B$2:B71,,,-1)</f>
        <v>Application logic</v>
      </c>
      <c r="H71" s="19" t="str">
        <f>IF(CLASSIFICATION[[#This Row],[Classification (Generalized keyword)]]="",CLASSIFICATION[[#This Row],[Keyword]],CLASSIFICATION[[#This Row],[Classification (Generalized keyword)]])</f>
        <v>Expressions</v>
      </c>
      <c r="I71" s="19" t="str">
        <f>_xlfn.CONCAT(CLASSIFICATION[[#This Row],[Project Stage Aggr]],",",CLASSIFICATION[[#This Row],[Functional Scope Aggr]],",",CLASSIFICATION[[#This Row],[Keyword]])</f>
        <v>Design,Application logic,Expressions</v>
      </c>
      <c r="J71" s="19" t="str">
        <f>_xlfn.CONCAT(CLASSIFICATION[[#This Row],[Project Stage Aggr]],",",CLASSIFICATION[[#This Row],[Functional Scope Aggr]],",",CLASSIFICATION[[#This Row],[Keyword Aggr]])</f>
        <v>Design,Application logic,Expressions</v>
      </c>
      <c r="K71" s="19" t="str">
        <f>_xlfn.CONCAT(CLASSIFICATION[[#This Row],[Project Stage Aggr]],",",CLASSIFICATION[[#This Row],[Functional Scope Aggr]],",",CLASSIFICATION[[#This Row],[Keyword Aggr]],",",CLASSIFICATION[[#This Row],[Importance]])</f>
        <v>Design,Application logic,Expressions,-1</v>
      </c>
    </row>
    <row r="72" spans="3:11" x14ac:dyDescent="0.25">
      <c r="C72" t="s">
        <v>220</v>
      </c>
      <c r="E72" s="38">
        <v>-3</v>
      </c>
      <c r="F72" s="19" t="str" cm="1">
        <f t="array" ref="F72">_xlfn.XLOOKUP(TRUE,A$2:A72&lt;&gt;"",A$2:A72,,,-1)</f>
        <v>Design</v>
      </c>
      <c r="G72" s="19" t="str" cm="1">
        <f t="array" ref="G72">_xlfn.XLOOKUP(TRUE,B$2:B72&lt;&gt;"",B$2:B72,,,-1)</f>
        <v>Application logic</v>
      </c>
      <c r="H72" s="19" t="str">
        <f>IF(CLASSIFICATION[[#This Row],[Classification (Generalized keyword)]]="",CLASSIFICATION[[#This Row],[Keyword]],CLASSIFICATION[[#This Row],[Classification (Generalized keyword)]])</f>
        <v>Formulas</v>
      </c>
      <c r="I72" s="19" t="str">
        <f>_xlfn.CONCAT(CLASSIFICATION[[#This Row],[Project Stage Aggr]],",",CLASSIFICATION[[#This Row],[Functional Scope Aggr]],",",CLASSIFICATION[[#This Row],[Keyword]])</f>
        <v>Design,Application logic,Formulas</v>
      </c>
      <c r="J72" s="19" t="str">
        <f>_xlfn.CONCAT(CLASSIFICATION[[#This Row],[Project Stage Aggr]],",",CLASSIFICATION[[#This Row],[Functional Scope Aggr]],",",CLASSIFICATION[[#This Row],[Keyword Aggr]])</f>
        <v>Design,Application logic,Formulas</v>
      </c>
      <c r="K72" s="19" t="str">
        <f>_xlfn.CONCAT(CLASSIFICATION[[#This Row],[Project Stage Aggr]],",",CLASSIFICATION[[#This Row],[Functional Scope Aggr]],",",CLASSIFICATION[[#This Row],[Keyword Aggr]],",",CLASSIFICATION[[#This Row],[Importance]])</f>
        <v>Design,Application logic,Formulas,-3</v>
      </c>
    </row>
    <row r="73" spans="3:11" x14ac:dyDescent="0.25">
      <c r="C73" t="s">
        <v>197</v>
      </c>
      <c r="E73" s="38">
        <v>-2</v>
      </c>
      <c r="F73" s="19" t="str" cm="1">
        <f t="array" ref="F73">_xlfn.XLOOKUP(TRUE,A$2:A73&lt;&gt;"",A$2:A73,,,-1)</f>
        <v>Design</v>
      </c>
      <c r="G73" s="19" t="str" cm="1">
        <f t="array" ref="G73">_xlfn.XLOOKUP(TRUE,B$2:B73&lt;&gt;"",B$2:B73,,,-1)</f>
        <v>Application logic</v>
      </c>
      <c r="H73" s="19" t="str">
        <f>IF(CLASSIFICATION[[#This Row],[Classification (Generalized keyword)]]="",CLASSIFICATION[[#This Row],[Keyword]],CLASSIFICATION[[#This Row],[Classification (Generalized keyword)]])</f>
        <v>Functions</v>
      </c>
      <c r="I73" s="19" t="str">
        <f>_xlfn.CONCAT(CLASSIFICATION[[#This Row],[Project Stage Aggr]],",",CLASSIFICATION[[#This Row],[Functional Scope Aggr]],",",CLASSIFICATION[[#This Row],[Keyword]])</f>
        <v>Design,Application logic,Functions</v>
      </c>
      <c r="J73" s="19" t="str">
        <f>_xlfn.CONCAT(CLASSIFICATION[[#This Row],[Project Stage Aggr]],",",CLASSIFICATION[[#This Row],[Functional Scope Aggr]],",",CLASSIFICATION[[#This Row],[Keyword Aggr]])</f>
        <v>Design,Application logic,Functions</v>
      </c>
      <c r="K73" s="19" t="str">
        <f>_xlfn.CONCAT(CLASSIFICATION[[#This Row],[Project Stage Aggr]],",",CLASSIFICATION[[#This Row],[Functional Scope Aggr]],",",CLASSIFICATION[[#This Row],[Keyword Aggr]],",",CLASSIFICATION[[#This Row],[Importance]])</f>
        <v>Design,Application logic,Functions,-2</v>
      </c>
    </row>
    <row r="74" spans="3:11" x14ac:dyDescent="0.25">
      <c r="C74" t="s">
        <v>221</v>
      </c>
      <c r="E74" s="38">
        <v>-3</v>
      </c>
      <c r="F74" s="19" t="str" cm="1">
        <f t="array" ref="F74">_xlfn.XLOOKUP(TRUE,A$2:A74&lt;&gt;"",A$2:A74,,,-1)</f>
        <v>Design</v>
      </c>
      <c r="G74" s="19" t="str" cm="1">
        <f t="array" ref="G74">_xlfn.XLOOKUP(TRUE,B$2:B74&lt;&gt;"",B$2:B74,,,-1)</f>
        <v>Application logic</v>
      </c>
      <c r="H74" s="19" t="str">
        <f>IF(CLASSIFICATION[[#This Row],[Classification (Generalized keyword)]]="",CLASSIFICATION[[#This Row],[Keyword]],CLASSIFICATION[[#This Row],[Classification (Generalized keyword)]])</f>
        <v>Java</v>
      </c>
      <c r="I74" s="19" t="str">
        <f>_xlfn.CONCAT(CLASSIFICATION[[#This Row],[Project Stage Aggr]],",",CLASSIFICATION[[#This Row],[Functional Scope Aggr]],",",CLASSIFICATION[[#This Row],[Keyword]])</f>
        <v>Design,Application logic,Java</v>
      </c>
      <c r="J74" s="19" t="str">
        <f>_xlfn.CONCAT(CLASSIFICATION[[#This Row],[Project Stage Aggr]],",",CLASSIFICATION[[#This Row],[Functional Scope Aggr]],",",CLASSIFICATION[[#This Row],[Keyword Aggr]])</f>
        <v>Design,Application logic,Java</v>
      </c>
      <c r="K74" s="19" t="str">
        <f>_xlfn.CONCAT(CLASSIFICATION[[#This Row],[Project Stage Aggr]],",",CLASSIFICATION[[#This Row],[Functional Scope Aggr]],",",CLASSIFICATION[[#This Row],[Keyword Aggr]],",",CLASSIFICATION[[#This Row],[Importance]])</f>
        <v>Design,Application logic,Java,-3</v>
      </c>
    </row>
    <row r="75" spans="3:11" x14ac:dyDescent="0.25">
      <c r="C75" t="s">
        <v>206</v>
      </c>
      <c r="E75" s="38">
        <v>-3</v>
      </c>
      <c r="F75" s="19" t="str" cm="1">
        <f t="array" ref="F75">_xlfn.XLOOKUP(TRUE,A$2:A75&lt;&gt;"",A$2:A75,,,-1)</f>
        <v>Design</v>
      </c>
      <c r="G75" s="19" t="str" cm="1">
        <f t="array" ref="G75">_xlfn.XLOOKUP(TRUE,B$2:B75&lt;&gt;"",B$2:B75,,,-1)</f>
        <v>Application logic</v>
      </c>
      <c r="H75" s="19" t="str">
        <f>IF(CLASSIFICATION[[#This Row],[Classification (Generalized keyword)]]="",CLASSIFICATION[[#This Row],[Keyword]],CLASSIFICATION[[#This Row],[Classification (Generalized keyword)]])</f>
        <v>JavaScript</v>
      </c>
      <c r="I75" s="19" t="str">
        <f>_xlfn.CONCAT(CLASSIFICATION[[#This Row],[Project Stage Aggr]],",",CLASSIFICATION[[#This Row],[Functional Scope Aggr]],",",CLASSIFICATION[[#This Row],[Keyword]])</f>
        <v>Design,Application logic,JavaScript</v>
      </c>
      <c r="J75" s="19" t="str">
        <f>_xlfn.CONCAT(CLASSIFICATION[[#This Row],[Project Stage Aggr]],",",CLASSIFICATION[[#This Row],[Functional Scope Aggr]],",",CLASSIFICATION[[#This Row],[Keyword Aggr]])</f>
        <v>Design,Application logic,JavaScript</v>
      </c>
      <c r="K75" s="19" t="str">
        <f>_xlfn.CONCAT(CLASSIFICATION[[#This Row],[Project Stage Aggr]],",",CLASSIFICATION[[#This Row],[Functional Scope Aggr]],",",CLASSIFICATION[[#This Row],[Keyword Aggr]],",",CLASSIFICATION[[#This Row],[Importance]])</f>
        <v>Design,Application logic,JavaScript,-3</v>
      </c>
    </row>
    <row r="76" spans="3:11" x14ac:dyDescent="0.25">
      <c r="C76" t="s">
        <v>222</v>
      </c>
      <c r="E76" s="38">
        <v>-4</v>
      </c>
      <c r="F76" s="19" t="str" cm="1">
        <f t="array" ref="F76">_xlfn.XLOOKUP(TRUE,A$2:A76&lt;&gt;"",A$2:A76,,,-1)</f>
        <v>Design</v>
      </c>
      <c r="G76" s="19" t="str" cm="1">
        <f t="array" ref="G76">_xlfn.XLOOKUP(TRUE,B$2:B76&lt;&gt;"",B$2:B76,,,-1)</f>
        <v>Application logic</v>
      </c>
      <c r="H76" s="19" t="str">
        <f>IF(CLASSIFICATION[[#This Row],[Classification (Generalized keyword)]]="",CLASSIFICATION[[#This Row],[Keyword]],CLASSIFICATION[[#This Row],[Classification (Generalized keyword)]])</f>
        <v>Microservices</v>
      </c>
      <c r="I76" s="19" t="str">
        <f>_xlfn.CONCAT(CLASSIFICATION[[#This Row],[Project Stage Aggr]],",",CLASSIFICATION[[#This Row],[Functional Scope Aggr]],",",CLASSIFICATION[[#This Row],[Keyword]])</f>
        <v>Design,Application logic,Microservices</v>
      </c>
      <c r="J76" s="19" t="str">
        <f>_xlfn.CONCAT(CLASSIFICATION[[#This Row],[Project Stage Aggr]],",",CLASSIFICATION[[#This Row],[Functional Scope Aggr]],",",CLASSIFICATION[[#This Row],[Keyword Aggr]])</f>
        <v>Design,Application logic,Microservices</v>
      </c>
      <c r="K76" s="19" t="str">
        <f>_xlfn.CONCAT(CLASSIFICATION[[#This Row],[Project Stage Aggr]],",",CLASSIFICATION[[#This Row],[Functional Scope Aggr]],",",CLASSIFICATION[[#This Row],[Keyword Aggr]],",",CLASSIFICATION[[#This Row],[Importance]])</f>
        <v>Design,Application logic,Microservices,-4</v>
      </c>
    </row>
    <row r="77" spans="3:11" x14ac:dyDescent="0.25">
      <c r="C77" t="s">
        <v>223</v>
      </c>
      <c r="D77" t="s">
        <v>181</v>
      </c>
      <c r="E77" s="38">
        <v>-1</v>
      </c>
      <c r="F77" s="19" t="str" cm="1">
        <f t="array" ref="F77">_xlfn.XLOOKUP(TRUE,A$2:A77&lt;&gt;"",A$2:A77,,,-1)</f>
        <v>Design</v>
      </c>
      <c r="G77" s="19" t="str" cm="1">
        <f t="array" ref="G77">_xlfn.XLOOKUP(TRUE,B$2:B77&lt;&gt;"",B$2:B77,,,-1)</f>
        <v>Application logic</v>
      </c>
      <c r="H77" s="19" t="str">
        <f>IF(CLASSIFICATION[[#This Row],[Classification (Generalized keyword)]]="",CLASSIFICATION[[#This Row],[Keyword]],CLASSIFICATION[[#This Row],[Classification (Generalized keyword)]])</f>
        <v>Expressions</v>
      </c>
      <c r="I77" s="19" t="str">
        <f>_xlfn.CONCAT(CLASSIFICATION[[#This Row],[Project Stage Aggr]],",",CLASSIFICATION[[#This Row],[Functional Scope Aggr]],",",CLASSIFICATION[[#This Row],[Keyword]])</f>
        <v>Design,Application logic,Regular Expressions</v>
      </c>
      <c r="J77" s="19" t="str">
        <f>_xlfn.CONCAT(CLASSIFICATION[[#This Row],[Project Stage Aggr]],",",CLASSIFICATION[[#This Row],[Functional Scope Aggr]],",",CLASSIFICATION[[#This Row],[Keyword Aggr]])</f>
        <v>Design,Application logic,Expressions</v>
      </c>
      <c r="K77" s="19" t="str">
        <f>_xlfn.CONCAT(CLASSIFICATION[[#This Row],[Project Stage Aggr]],",",CLASSIFICATION[[#This Row],[Functional Scope Aggr]],",",CLASSIFICATION[[#This Row],[Keyword Aggr]],",",CLASSIFICATION[[#This Row],[Importance]])</f>
        <v>Design,Application logic,Expressions,-1</v>
      </c>
    </row>
    <row r="78" spans="3:11" x14ac:dyDescent="0.25">
      <c r="C78" t="s">
        <v>224</v>
      </c>
      <c r="D78" t="s">
        <v>0</v>
      </c>
      <c r="E78" s="38">
        <v>-4</v>
      </c>
      <c r="F78" s="19" t="str" cm="1">
        <f t="array" ref="F78">_xlfn.XLOOKUP(TRUE,A$2:A78&lt;&gt;"",A$2:A78,,,-1)</f>
        <v>Design</v>
      </c>
      <c r="G78" s="19" t="str" cm="1">
        <f t="array" ref="G78">_xlfn.XLOOKUP(TRUE,B$2:B78&lt;&gt;"",B$2:B78,,,-1)</f>
        <v>Application logic</v>
      </c>
      <c r="H78" s="19" t="str">
        <f>IF(CLASSIFICATION[[#This Row],[Classification (Generalized keyword)]]="",CLASSIFICATION[[#This Row],[Keyword]],CLASSIFICATION[[#This Row],[Classification (Generalized keyword)]])</f>
        <v>UML</v>
      </c>
      <c r="I78" s="19" t="str">
        <f>_xlfn.CONCAT(CLASSIFICATION[[#This Row],[Project Stage Aggr]],",",CLASSIFICATION[[#This Row],[Functional Scope Aggr]],",",CLASSIFICATION[[#This Row],[Keyword]])</f>
        <v>Design,Application logic,Sequence Flow</v>
      </c>
      <c r="J78" s="19" t="str">
        <f>_xlfn.CONCAT(CLASSIFICATION[[#This Row],[Project Stage Aggr]],",",CLASSIFICATION[[#This Row],[Functional Scope Aggr]],",",CLASSIFICATION[[#This Row],[Keyword Aggr]])</f>
        <v>Design,Application logic,UML</v>
      </c>
      <c r="K78" s="19" t="str">
        <f>_xlfn.CONCAT(CLASSIFICATION[[#This Row],[Project Stage Aggr]],",",CLASSIFICATION[[#This Row],[Functional Scope Aggr]],",",CLASSIFICATION[[#This Row],[Keyword Aggr]],",",CLASSIFICATION[[#This Row],[Importance]])</f>
        <v>Design,Application logic,UML,-4</v>
      </c>
    </row>
    <row r="79" spans="3:11" x14ac:dyDescent="0.25">
      <c r="C79" t="s">
        <v>225</v>
      </c>
      <c r="D79" t="s">
        <v>241</v>
      </c>
      <c r="E79" s="38">
        <v>-4</v>
      </c>
      <c r="F79" s="19" t="str" cm="1">
        <f t="array" ref="F79">_xlfn.XLOOKUP(TRUE,A$2:A79&lt;&gt;"",A$2:A79,,,-1)</f>
        <v>Design</v>
      </c>
      <c r="G79" s="19" t="str" cm="1">
        <f t="array" ref="G79">_xlfn.XLOOKUP(TRUE,B$2:B79&lt;&gt;"",B$2:B79,,,-1)</f>
        <v>Application logic</v>
      </c>
      <c r="H79" s="19" t="str">
        <f>IF(CLASSIFICATION[[#This Row],[Classification (Generalized keyword)]]="",CLASSIFICATION[[#This Row],[Keyword]],CLASSIFICATION[[#This Row],[Classification (Generalized keyword)]])</f>
        <v>SQL</v>
      </c>
      <c r="I79" s="19" t="str">
        <f>_xlfn.CONCAT(CLASSIFICATION[[#This Row],[Project Stage Aggr]],",",CLASSIFICATION[[#This Row],[Functional Scope Aggr]],",",CLASSIFICATION[[#This Row],[Keyword]])</f>
        <v>Design,Application logic,SQL/OQL</v>
      </c>
      <c r="J79" s="19" t="str">
        <f>_xlfn.CONCAT(CLASSIFICATION[[#This Row],[Project Stage Aggr]],",",CLASSIFICATION[[#This Row],[Functional Scope Aggr]],",",CLASSIFICATION[[#This Row],[Keyword Aggr]])</f>
        <v>Design,Application logic,SQL</v>
      </c>
      <c r="K79" s="19" t="str">
        <f>_xlfn.CONCAT(CLASSIFICATION[[#This Row],[Project Stage Aggr]],",",CLASSIFICATION[[#This Row],[Functional Scope Aggr]],",",CLASSIFICATION[[#This Row],[Keyword Aggr]],",",CLASSIFICATION[[#This Row],[Importance]])</f>
        <v>Design,Application logic,SQL,-4</v>
      </c>
    </row>
    <row r="80" spans="3:11" x14ac:dyDescent="0.25">
      <c r="C80" t="s">
        <v>241</v>
      </c>
      <c r="D80" t="s">
        <v>241</v>
      </c>
      <c r="E80" s="38">
        <v>-4</v>
      </c>
      <c r="F80" s="19" t="str" cm="1">
        <f t="array" ref="F80">_xlfn.XLOOKUP(TRUE,A$2:A80&lt;&gt;"",A$2:A80,,,-1)</f>
        <v>Design</v>
      </c>
      <c r="G80" s="19" t="str" cm="1">
        <f t="array" ref="G80">_xlfn.XLOOKUP(TRUE,B$2:B80&lt;&gt;"",B$2:B80,,,-1)</f>
        <v>Application logic</v>
      </c>
      <c r="H80" s="19" t="str">
        <f>IF(CLASSIFICATION[[#This Row],[Classification (Generalized keyword)]]="",CLASSIFICATION[[#This Row],[Keyword]],CLASSIFICATION[[#This Row],[Classification (Generalized keyword)]])</f>
        <v>SQL</v>
      </c>
      <c r="I80" s="19" t="str">
        <f>_xlfn.CONCAT(CLASSIFICATION[[#This Row],[Project Stage Aggr]],",",CLASSIFICATION[[#This Row],[Functional Scope Aggr]],",",CLASSIFICATION[[#This Row],[Keyword]])</f>
        <v>Design,Application logic,SQL</v>
      </c>
      <c r="J80" s="19" t="str">
        <f>_xlfn.CONCAT(CLASSIFICATION[[#This Row],[Project Stage Aggr]],",",CLASSIFICATION[[#This Row],[Functional Scope Aggr]],",",CLASSIFICATION[[#This Row],[Keyword Aggr]])</f>
        <v>Design,Application logic,SQL</v>
      </c>
      <c r="K80" s="19" t="str">
        <f>_xlfn.CONCAT(CLASSIFICATION[[#This Row],[Project Stage Aggr]],",",CLASSIFICATION[[#This Row],[Functional Scope Aggr]],",",CLASSIFICATION[[#This Row],[Keyword Aggr]],",",CLASSIFICATION[[#This Row],[Importance]])</f>
        <v>Design,Application logic,SQL,-4</v>
      </c>
    </row>
    <row r="81" spans="1:11" x14ac:dyDescent="0.25">
      <c r="C81" t="s">
        <v>201</v>
      </c>
      <c r="E81" s="38">
        <v>-4</v>
      </c>
      <c r="F81" s="19" t="str" cm="1">
        <f t="array" ref="F81">_xlfn.XLOOKUP(TRUE,A$2:A81&lt;&gt;"",A$2:A81,,,-1)</f>
        <v>Design</v>
      </c>
      <c r="G81" s="19" t="str" cm="1">
        <f t="array" ref="G81">_xlfn.XLOOKUP(TRUE,B$2:B81&lt;&gt;"",B$2:B81,,,-1)</f>
        <v>Application logic</v>
      </c>
      <c r="H81" s="19" t="str">
        <f>IF(CLASSIFICATION[[#This Row],[Classification (Generalized keyword)]]="",CLASSIFICATION[[#This Row],[Keyword]],CLASSIFICATION[[#This Row],[Classification (Generalized keyword)]])</f>
        <v>Variables</v>
      </c>
      <c r="I81" s="19" t="str">
        <f>_xlfn.CONCAT(CLASSIFICATION[[#This Row],[Project Stage Aggr]],",",CLASSIFICATION[[#This Row],[Functional Scope Aggr]],",",CLASSIFICATION[[#This Row],[Keyword]])</f>
        <v>Design,Application logic,Variables</v>
      </c>
      <c r="J81" s="19" t="str">
        <f>_xlfn.CONCAT(CLASSIFICATION[[#This Row],[Project Stage Aggr]],",",CLASSIFICATION[[#This Row],[Functional Scope Aggr]],",",CLASSIFICATION[[#This Row],[Keyword Aggr]])</f>
        <v>Design,Application logic,Variables</v>
      </c>
      <c r="K81" s="19" t="str">
        <f>_xlfn.CONCAT(CLASSIFICATION[[#This Row],[Project Stage Aggr]],",",CLASSIFICATION[[#This Row],[Functional Scope Aggr]],",",CLASSIFICATION[[#This Row],[Keyword Aggr]],",",CLASSIFICATION[[#This Row],[Importance]])</f>
        <v>Design,Application logic,Variables,-4</v>
      </c>
    </row>
    <row r="82" spans="1:11" x14ac:dyDescent="0.25">
      <c r="A82" t="s">
        <v>445</v>
      </c>
      <c r="B82" t="s">
        <v>400</v>
      </c>
      <c r="C82" t="s">
        <v>164</v>
      </c>
      <c r="E82" s="38">
        <v>5</v>
      </c>
      <c r="F82" s="19" t="str" cm="1">
        <f t="array" ref="F82">_xlfn.XLOOKUP(TRUE,A$2:A82&lt;&gt;"",A$2:A82,,,-1)</f>
        <v>Development</v>
      </c>
      <c r="G82" s="19" t="str" cm="1">
        <f t="array" ref="G82">_xlfn.XLOOKUP(TRUE,B$2:B82&lt;&gt;"",B$2:B82,,,-1)</f>
        <v>Workflow design and development</v>
      </c>
      <c r="H82" s="19" t="str">
        <f>IF(CLASSIFICATION[[#This Row],[Classification (Generalized keyword)]]="",CLASSIFICATION[[#This Row],[Keyword]],CLASSIFICATION[[#This Row],[Classification (Generalized keyword)]])</f>
        <v>+BPMN Process Model</v>
      </c>
      <c r="I82" s="19" t="str">
        <f>_xlfn.CONCAT(CLASSIFICATION[[#This Row],[Project Stage Aggr]],",",CLASSIFICATION[[#This Row],[Functional Scope Aggr]],",",CLASSIFICATION[[#This Row],[Keyword]])</f>
        <v>Development,Workflow design and development,+BPMN Process Model</v>
      </c>
      <c r="J82" s="19" t="str">
        <f>_xlfn.CONCAT(CLASSIFICATION[[#This Row],[Project Stage Aggr]],",",CLASSIFICATION[[#This Row],[Functional Scope Aggr]],",",CLASSIFICATION[[#This Row],[Keyword Aggr]])</f>
        <v>Development,Workflow design and development,+BPMN Process Model</v>
      </c>
      <c r="K82" s="19" t="str">
        <f>_xlfn.CONCAT(CLASSIFICATION[[#This Row],[Project Stage Aggr]],",",CLASSIFICATION[[#This Row],[Functional Scope Aggr]],",",CLASSIFICATION[[#This Row],[Keyword Aggr]],",",CLASSIFICATION[[#This Row],[Importance]])</f>
        <v>Development,Workflow design and development,+BPMN Process Model,5</v>
      </c>
    </row>
    <row r="83" spans="1:11" x14ac:dyDescent="0.25">
      <c r="C83" t="s">
        <v>172</v>
      </c>
      <c r="D83" t="s">
        <v>181</v>
      </c>
      <c r="E83" s="38">
        <v>-1</v>
      </c>
      <c r="F83" s="19" t="str" cm="1">
        <f t="array" ref="F83">_xlfn.XLOOKUP(TRUE,A$2:A83&lt;&gt;"",A$2:A83,,,-1)</f>
        <v>Development</v>
      </c>
      <c r="G83" s="19" t="str" cm="1">
        <f t="array" ref="G83">_xlfn.XLOOKUP(TRUE,B$2:B83&lt;&gt;"",B$2:B83,,,-1)</f>
        <v>Workflow design and development</v>
      </c>
      <c r="H83" s="19" t="str">
        <f>IF(CLASSIFICATION[[#This Row],[Classification (Generalized keyword)]]="",CLASSIFICATION[[#This Row],[Keyword]],CLASSIFICATION[[#This Row],[Classification (Generalized keyword)]])</f>
        <v>Expressions</v>
      </c>
      <c r="I83" s="19" t="str">
        <f>_xlfn.CONCAT(CLASSIFICATION[[#This Row],[Project Stage Aggr]],",",CLASSIFICATION[[#This Row],[Functional Scope Aggr]],",",CLASSIFICATION[[#This Row],[Keyword]])</f>
        <v>Development,Workflow design and development,Conditional Expressions</v>
      </c>
      <c r="J83" s="19" t="str">
        <f>_xlfn.CONCAT(CLASSIFICATION[[#This Row],[Project Stage Aggr]],",",CLASSIFICATION[[#This Row],[Functional Scope Aggr]],",",CLASSIFICATION[[#This Row],[Keyword Aggr]])</f>
        <v>Development,Workflow design and development,Expressions</v>
      </c>
      <c r="K83" s="19" t="str">
        <f>_xlfn.CONCAT(CLASSIFICATION[[#This Row],[Project Stage Aggr]],",",CLASSIFICATION[[#This Row],[Functional Scope Aggr]],",",CLASSIFICATION[[#This Row],[Keyword Aggr]],",",CLASSIFICATION[[#This Row],[Importance]])</f>
        <v>Development,Workflow design and development,Expressions,-1</v>
      </c>
    </row>
    <row r="84" spans="1:11" x14ac:dyDescent="0.25">
      <c r="C84" t="s">
        <v>165</v>
      </c>
      <c r="D84" t="s">
        <v>165</v>
      </c>
      <c r="E84" s="38">
        <v>-4</v>
      </c>
      <c r="F84" s="19" t="str" cm="1">
        <f t="array" ref="F84">_xlfn.XLOOKUP(TRUE,A$2:A84&lt;&gt;"",A$2:A84,,,-1)</f>
        <v>Development</v>
      </c>
      <c r="G84" s="19" t="str" cm="1">
        <f t="array" ref="G84">_xlfn.XLOOKUP(TRUE,B$2:B84&lt;&gt;"",B$2:B84,,,-1)</f>
        <v>Workflow design and development</v>
      </c>
      <c r="H84" s="19" t="str">
        <f>IF(CLASSIFICATION[[#This Row],[Classification (Generalized keyword)]]="",CLASSIFICATION[[#This Row],[Keyword]],CLASSIFICATION[[#This Row],[Classification (Generalized keyword)]])</f>
        <v>Custom Process Model</v>
      </c>
      <c r="I84" s="19" t="str">
        <f>_xlfn.CONCAT(CLASSIFICATION[[#This Row],[Project Stage Aggr]],",",CLASSIFICATION[[#This Row],[Functional Scope Aggr]],",",CLASSIFICATION[[#This Row],[Keyword]])</f>
        <v>Development,Workflow design and development,Custom Process Model</v>
      </c>
      <c r="J84" s="19" t="str">
        <f>_xlfn.CONCAT(CLASSIFICATION[[#This Row],[Project Stage Aggr]],",",CLASSIFICATION[[#This Row],[Functional Scope Aggr]],",",CLASSIFICATION[[#This Row],[Keyword Aggr]])</f>
        <v>Development,Workflow design and development,Custom Process Model</v>
      </c>
      <c r="K84" s="19" t="str">
        <f>_xlfn.CONCAT(CLASSIFICATION[[#This Row],[Project Stage Aggr]],",",CLASSIFICATION[[#This Row],[Functional Scope Aggr]],",",CLASSIFICATION[[#This Row],[Keyword Aggr]],",",CLASSIFICATION[[#This Row],[Importance]])</f>
        <v>Development,Workflow design and development,Custom Process Model,-4</v>
      </c>
    </row>
    <row r="85" spans="1:11" x14ac:dyDescent="0.25">
      <c r="C85" t="s">
        <v>226</v>
      </c>
      <c r="D85" t="s">
        <v>165</v>
      </c>
      <c r="E85" s="38">
        <v>-4</v>
      </c>
      <c r="F85" s="19" t="str" cm="1">
        <f t="array" ref="F85">_xlfn.XLOOKUP(TRUE,A$2:A85&lt;&gt;"",A$2:A85,,,-1)</f>
        <v>Development</v>
      </c>
      <c r="G85" s="19" t="str" cm="1">
        <f t="array" ref="G85">_xlfn.XLOOKUP(TRUE,B$2:B85&lt;&gt;"",B$2:B85,,,-1)</f>
        <v>Workflow design and development</v>
      </c>
      <c r="H85" s="19" t="str">
        <f>IF(CLASSIFICATION[[#This Row],[Classification (Generalized keyword)]]="",CLASSIFICATION[[#This Row],[Keyword]],CLASSIFICATION[[#This Row],[Classification (Generalized keyword)]])</f>
        <v>Custom Process Model</v>
      </c>
      <c r="I85" s="19" t="str">
        <f>_xlfn.CONCAT(CLASSIFICATION[[#This Row],[Project Stage Aggr]],",",CLASSIFICATION[[#This Row],[Functional Scope Aggr]],",",CLASSIFICATION[[#This Row],[Keyword]])</f>
        <v>Development,Workflow design and development,Custom Process Model (AppSheet Automation)</v>
      </c>
      <c r="J85" s="19" t="str">
        <f>_xlfn.CONCAT(CLASSIFICATION[[#This Row],[Project Stage Aggr]],",",CLASSIFICATION[[#This Row],[Functional Scope Aggr]],",",CLASSIFICATION[[#This Row],[Keyword Aggr]])</f>
        <v>Development,Workflow design and development,Custom Process Model</v>
      </c>
      <c r="K85" s="19" t="str">
        <f>_xlfn.CONCAT(CLASSIFICATION[[#This Row],[Project Stage Aggr]],",",CLASSIFICATION[[#This Row],[Functional Scope Aggr]],",",CLASSIFICATION[[#This Row],[Keyword Aggr]],",",CLASSIFICATION[[#This Row],[Importance]])</f>
        <v>Development,Workflow design and development,Custom Process Model,-4</v>
      </c>
    </row>
    <row r="86" spans="1:11" x14ac:dyDescent="0.25">
      <c r="C86" t="s">
        <v>227</v>
      </c>
      <c r="D86" t="s">
        <v>165</v>
      </c>
      <c r="E86" s="38">
        <v>-4</v>
      </c>
      <c r="F86" s="19" t="str" cm="1">
        <f t="array" ref="F86">_xlfn.XLOOKUP(TRUE,A$2:A86&lt;&gt;"",A$2:A86,,,-1)</f>
        <v>Development</v>
      </c>
      <c r="G86" s="19" t="str" cm="1">
        <f t="array" ref="G86">_xlfn.XLOOKUP(TRUE,B$2:B86&lt;&gt;"",B$2:B86,,,-1)</f>
        <v>Workflow design and development</v>
      </c>
      <c r="H86" s="19" t="str">
        <f>IF(CLASSIFICATION[[#This Row],[Classification (Generalized keyword)]]="",CLASSIFICATION[[#This Row],[Keyword]],CLASSIFICATION[[#This Row],[Classification (Generalized keyword)]])</f>
        <v>Custom Process Model</v>
      </c>
      <c r="I86" s="19" t="str">
        <f>_xlfn.CONCAT(CLASSIFICATION[[#This Row],[Project Stage Aggr]],",",CLASSIFICATION[[#This Row],[Functional Scope Aggr]],",",CLASSIFICATION[[#This Row],[Keyword]])</f>
        <v>Development,Workflow design and development,Custom Process Model (Business Process Flows)</v>
      </c>
      <c r="J86" s="19" t="str">
        <f>_xlfn.CONCAT(CLASSIFICATION[[#This Row],[Project Stage Aggr]],",",CLASSIFICATION[[#This Row],[Functional Scope Aggr]],",",CLASSIFICATION[[#This Row],[Keyword Aggr]])</f>
        <v>Development,Workflow design and development,Custom Process Model</v>
      </c>
      <c r="K86" s="19" t="str">
        <f>_xlfn.CONCAT(CLASSIFICATION[[#This Row],[Project Stage Aggr]],",",CLASSIFICATION[[#This Row],[Functional Scope Aggr]],",",CLASSIFICATION[[#This Row],[Keyword Aggr]],",",CLASSIFICATION[[#This Row],[Importance]])</f>
        <v>Development,Workflow design and development,Custom Process Model,-4</v>
      </c>
    </row>
    <row r="87" spans="1:11" x14ac:dyDescent="0.25">
      <c r="C87" t="s">
        <v>219</v>
      </c>
      <c r="E87" s="38">
        <v>-3</v>
      </c>
      <c r="F87" s="19" t="str" cm="1">
        <f t="array" ref="F87">_xlfn.XLOOKUP(TRUE,A$2:A87&lt;&gt;"",A$2:A87,,,-1)</f>
        <v>Development</v>
      </c>
      <c r="G87" s="19" t="str" cm="1">
        <f t="array" ref="G87">_xlfn.XLOOKUP(TRUE,B$2:B87&lt;&gt;"",B$2:B87,,,-1)</f>
        <v>Workflow design and development</v>
      </c>
      <c r="H87" s="19" t="str">
        <f>IF(CLASSIFICATION[[#This Row],[Classification (Generalized keyword)]]="",CLASSIFICATION[[#This Row],[Keyword]],CLASSIFICATION[[#This Row],[Classification (Generalized keyword)]])</f>
        <v>Events</v>
      </c>
      <c r="I87" s="19" t="str">
        <f>_xlfn.CONCAT(CLASSIFICATION[[#This Row],[Project Stage Aggr]],",",CLASSIFICATION[[#This Row],[Functional Scope Aggr]],",",CLASSIFICATION[[#This Row],[Keyword]])</f>
        <v>Development,Workflow design and development,Events</v>
      </c>
      <c r="J87" s="19" t="str">
        <f>_xlfn.CONCAT(CLASSIFICATION[[#This Row],[Project Stage Aggr]],",",CLASSIFICATION[[#This Row],[Functional Scope Aggr]],",",CLASSIFICATION[[#This Row],[Keyword Aggr]])</f>
        <v>Development,Workflow design and development,Events</v>
      </c>
      <c r="K87" s="19" t="str">
        <f>_xlfn.CONCAT(CLASSIFICATION[[#This Row],[Project Stage Aggr]],",",CLASSIFICATION[[#This Row],[Functional Scope Aggr]],",",CLASSIFICATION[[#This Row],[Keyword Aggr]],",",CLASSIFICATION[[#This Row],[Importance]])</f>
        <v>Development,Workflow design and development,Events,-3</v>
      </c>
    </row>
    <row r="88" spans="1:11" x14ac:dyDescent="0.25">
      <c r="C88" t="s">
        <v>228</v>
      </c>
      <c r="E88" s="38">
        <v>-4</v>
      </c>
      <c r="F88" s="19" t="str" cm="1">
        <f t="array" ref="F88">_xlfn.XLOOKUP(TRUE,A$2:A88&lt;&gt;"",A$2:A88,,,-1)</f>
        <v>Development</v>
      </c>
      <c r="G88" s="19" t="str" cm="1">
        <f t="array" ref="G88">_xlfn.XLOOKUP(TRUE,B$2:B88&lt;&gt;"",B$2:B88,,,-1)</f>
        <v>Workflow design and development</v>
      </c>
      <c r="H88" s="19" t="str">
        <f>IF(CLASSIFICATION[[#This Row],[Classification (Generalized keyword)]]="",CLASSIFICATION[[#This Row],[Keyword]],CLASSIFICATION[[#This Row],[Classification (Generalized keyword)]])</f>
        <v>Java API</v>
      </c>
      <c r="I88" s="19" t="str">
        <f>_xlfn.CONCAT(CLASSIFICATION[[#This Row],[Project Stage Aggr]],",",CLASSIFICATION[[#This Row],[Functional Scope Aggr]],",",CLASSIFICATION[[#This Row],[Keyword]])</f>
        <v>Development,Workflow design and development,Java API</v>
      </c>
      <c r="J88" s="19" t="str">
        <f>_xlfn.CONCAT(CLASSIFICATION[[#This Row],[Project Stage Aggr]],",",CLASSIFICATION[[#This Row],[Functional Scope Aggr]],",",CLASSIFICATION[[#This Row],[Keyword Aggr]])</f>
        <v>Development,Workflow design and development,Java API</v>
      </c>
      <c r="K88" s="19" t="str">
        <f>_xlfn.CONCAT(CLASSIFICATION[[#This Row],[Project Stage Aggr]],",",CLASSIFICATION[[#This Row],[Functional Scope Aggr]],",",CLASSIFICATION[[#This Row],[Keyword Aggr]],",",CLASSIFICATION[[#This Row],[Importance]])</f>
        <v>Development,Workflow design and development,Java API,-4</v>
      </c>
    </row>
    <row r="89" spans="1:11" x14ac:dyDescent="0.25">
      <c r="C89" t="s">
        <v>206</v>
      </c>
      <c r="E89" s="38">
        <v>-4</v>
      </c>
      <c r="F89" s="19" t="str" cm="1">
        <f t="array" ref="F89">_xlfn.XLOOKUP(TRUE,A$2:A89&lt;&gt;"",A$2:A89,,,-1)</f>
        <v>Development</v>
      </c>
      <c r="G89" s="19" t="str" cm="1">
        <f t="array" ref="G89">_xlfn.XLOOKUP(TRUE,B$2:B89&lt;&gt;"",B$2:B89,,,-1)</f>
        <v>Workflow design and development</v>
      </c>
      <c r="H89" s="19" t="str">
        <f>IF(CLASSIFICATION[[#This Row],[Classification (Generalized keyword)]]="",CLASSIFICATION[[#This Row],[Keyword]],CLASSIFICATION[[#This Row],[Classification (Generalized keyword)]])</f>
        <v>JavaScript</v>
      </c>
      <c r="I89" s="19" t="str">
        <f>_xlfn.CONCAT(CLASSIFICATION[[#This Row],[Project Stage Aggr]],",",CLASSIFICATION[[#This Row],[Functional Scope Aggr]],",",CLASSIFICATION[[#This Row],[Keyword]])</f>
        <v>Development,Workflow design and development,JavaScript</v>
      </c>
      <c r="J89" s="19" t="str">
        <f>_xlfn.CONCAT(CLASSIFICATION[[#This Row],[Project Stage Aggr]],",",CLASSIFICATION[[#This Row],[Functional Scope Aggr]],",",CLASSIFICATION[[#This Row],[Keyword Aggr]])</f>
        <v>Development,Workflow design and development,JavaScript</v>
      </c>
      <c r="K89" s="19" t="str">
        <f>_xlfn.CONCAT(CLASSIFICATION[[#This Row],[Project Stage Aggr]],",",CLASSIFICATION[[#This Row],[Functional Scope Aggr]],",",CLASSIFICATION[[#This Row],[Keyword Aggr]],",",CLASSIFICATION[[#This Row],[Importance]])</f>
        <v>Development,Workflow design and development,JavaScript,-4</v>
      </c>
    </row>
    <row r="90" spans="1:11" x14ac:dyDescent="0.25">
      <c r="C90" t="s">
        <v>229</v>
      </c>
      <c r="E90" s="38">
        <v>-4</v>
      </c>
      <c r="F90" s="19" t="str" cm="1">
        <f t="array" ref="F90">_xlfn.XLOOKUP(TRUE,A$2:A90&lt;&gt;"",A$2:A90,,,-1)</f>
        <v>Development</v>
      </c>
      <c r="G90" s="19" t="str" cm="1">
        <f t="array" ref="G90">_xlfn.XLOOKUP(TRUE,B$2:B90&lt;&gt;"",B$2:B90,,,-1)</f>
        <v>Workflow design and development</v>
      </c>
      <c r="H90" s="19" t="str">
        <f>IF(CLASSIFICATION[[#This Row],[Classification (Generalized keyword)]]="",CLASSIFICATION[[#This Row],[Keyword]],CLASSIFICATION[[#This Row],[Classification (Generalized keyword)]])</f>
        <v>REST API</v>
      </c>
      <c r="I90" s="19" t="str">
        <f>_xlfn.CONCAT(CLASSIFICATION[[#This Row],[Project Stage Aggr]],",",CLASSIFICATION[[#This Row],[Functional Scope Aggr]],",",CLASSIFICATION[[#This Row],[Keyword]])</f>
        <v>Development,Workflow design and development,REST API</v>
      </c>
      <c r="J90" s="19" t="str">
        <f>_xlfn.CONCAT(CLASSIFICATION[[#This Row],[Project Stage Aggr]],",",CLASSIFICATION[[#This Row],[Functional Scope Aggr]],",",CLASSIFICATION[[#This Row],[Keyword Aggr]])</f>
        <v>Development,Workflow design and development,REST API</v>
      </c>
      <c r="K90" s="19" t="str">
        <f>_xlfn.CONCAT(CLASSIFICATION[[#This Row],[Project Stage Aggr]],",",CLASSIFICATION[[#This Row],[Functional Scope Aggr]],",",CLASSIFICATION[[#This Row],[Keyword Aggr]],",",CLASSIFICATION[[#This Row],[Importance]])</f>
        <v>Development,Workflow design and development,REST API,-4</v>
      </c>
    </row>
    <row r="91" spans="1:11" x14ac:dyDescent="0.25">
      <c r="C91" t="s">
        <v>230</v>
      </c>
      <c r="E91" s="38">
        <v>-3</v>
      </c>
      <c r="F91" s="19" t="str" cm="1">
        <f t="array" ref="F91">_xlfn.XLOOKUP(TRUE,A$2:A91&lt;&gt;"",A$2:A91,,,-1)</f>
        <v>Development</v>
      </c>
      <c r="G91" s="19" t="str" cm="1">
        <f t="array" ref="G91">_xlfn.XLOOKUP(TRUE,B$2:B91&lt;&gt;"",B$2:B91,,,-1)</f>
        <v>Workflow design and development</v>
      </c>
      <c r="H91" s="19" t="str">
        <f>IF(CLASSIFICATION[[#This Row],[Classification (Generalized keyword)]]="",CLASSIFICATION[[#This Row],[Keyword]],CLASSIFICATION[[#This Row],[Classification (Generalized keyword)]])</f>
        <v>Triggers</v>
      </c>
      <c r="I91" s="19" t="str">
        <f>_xlfn.CONCAT(CLASSIFICATION[[#This Row],[Project Stage Aggr]],",",CLASSIFICATION[[#This Row],[Functional Scope Aggr]],",",CLASSIFICATION[[#This Row],[Keyword]])</f>
        <v>Development,Workflow design and development,Triggers</v>
      </c>
      <c r="J91" s="19" t="str">
        <f>_xlfn.CONCAT(CLASSIFICATION[[#This Row],[Project Stage Aggr]],",",CLASSIFICATION[[#This Row],[Functional Scope Aggr]],",",CLASSIFICATION[[#This Row],[Keyword Aggr]])</f>
        <v>Development,Workflow design and development,Triggers</v>
      </c>
      <c r="K91" s="19" t="str">
        <f>_xlfn.CONCAT(CLASSIFICATION[[#This Row],[Project Stage Aggr]],",",CLASSIFICATION[[#This Row],[Functional Scope Aggr]],",",CLASSIFICATION[[#This Row],[Keyword Aggr]],",",CLASSIFICATION[[#This Row],[Importance]])</f>
        <v>Development,Workflow design and development,Triggers,-3</v>
      </c>
    </row>
    <row r="92" spans="1:11" x14ac:dyDescent="0.25">
      <c r="B92" t="s">
        <v>32</v>
      </c>
      <c r="C92" t="s">
        <v>166</v>
      </c>
      <c r="E92" s="38">
        <v>5</v>
      </c>
      <c r="F92" s="19" t="str" cm="1">
        <f t="array" ref="F92">_xlfn.XLOOKUP(TRUE,A$2:A92&lt;&gt;"",A$2:A92,,,-1)</f>
        <v>Development</v>
      </c>
      <c r="G92" s="19" t="str" cm="1">
        <f t="array" ref="G92">_xlfn.XLOOKUP(TRUE,B$2:B92&lt;&gt;"",B$2:B92,,,-1)</f>
        <v>Database design</v>
      </c>
      <c r="H92" s="19" t="str">
        <f>IF(CLASSIFICATION[[#This Row],[Classification (Generalized keyword)]]="",CLASSIFICATION[[#This Row],[Keyword]],CLASSIFICATION[[#This Row],[Classification (Generalized keyword)]])</f>
        <v>+Business Data Types</v>
      </c>
      <c r="I92" s="19" t="str">
        <f>_xlfn.CONCAT(CLASSIFICATION[[#This Row],[Project Stage Aggr]],",",CLASSIFICATION[[#This Row],[Functional Scope Aggr]],",",CLASSIFICATION[[#This Row],[Keyword]])</f>
        <v>Development,Database design,+Business Data Types</v>
      </c>
      <c r="J92" s="19" t="str">
        <f>_xlfn.CONCAT(CLASSIFICATION[[#This Row],[Project Stage Aggr]],",",CLASSIFICATION[[#This Row],[Functional Scope Aggr]],",",CLASSIFICATION[[#This Row],[Keyword Aggr]])</f>
        <v>Development,Database design,+Business Data Types</v>
      </c>
      <c r="K92" s="19" t="str">
        <f>_xlfn.CONCAT(CLASSIFICATION[[#This Row],[Project Stage Aggr]],",",CLASSIFICATION[[#This Row],[Functional Scope Aggr]],",",CLASSIFICATION[[#This Row],[Keyword Aggr]],",",CLASSIFICATION[[#This Row],[Importance]])</f>
        <v>Development,Database design,+Business Data Types,5</v>
      </c>
    </row>
    <row r="93" spans="1:11" x14ac:dyDescent="0.25">
      <c r="C93" t="s">
        <v>231</v>
      </c>
      <c r="E93" s="38">
        <v>4</v>
      </c>
      <c r="F93" s="19" t="str" cm="1">
        <f t="array" ref="F93">_xlfn.XLOOKUP(TRUE,A$2:A93&lt;&gt;"",A$2:A93,,,-1)</f>
        <v>Development</v>
      </c>
      <c r="G93" s="19" t="str" cm="1">
        <f t="array" ref="G93">_xlfn.XLOOKUP(TRUE,B$2:B93&lt;&gt;"",B$2:B93,,,-1)</f>
        <v>Database design</v>
      </c>
      <c r="H93" s="19" t="str">
        <f>IF(CLASSIFICATION[[#This Row],[Classification (Generalized keyword)]]="",CLASSIFICATION[[#This Row],[Keyword]],CLASSIFICATION[[#This Row],[Classification (Generalized keyword)]])</f>
        <v>+Custom Database Model</v>
      </c>
      <c r="I93" s="19" t="str">
        <f>_xlfn.CONCAT(CLASSIFICATION[[#This Row],[Project Stage Aggr]],",",CLASSIFICATION[[#This Row],[Functional Scope Aggr]],",",CLASSIFICATION[[#This Row],[Keyword]])</f>
        <v>Development,Database design,+Custom Database Model</v>
      </c>
      <c r="J93" s="19" t="str">
        <f>_xlfn.CONCAT(CLASSIFICATION[[#This Row],[Project Stage Aggr]],",",CLASSIFICATION[[#This Row],[Functional Scope Aggr]],",",CLASSIFICATION[[#This Row],[Keyword Aggr]])</f>
        <v>Development,Database design,+Custom Database Model</v>
      </c>
      <c r="K93" s="19" t="str">
        <f>_xlfn.CONCAT(CLASSIFICATION[[#This Row],[Project Stage Aggr]],",",CLASSIFICATION[[#This Row],[Functional Scope Aggr]],",",CLASSIFICATION[[#This Row],[Keyword Aggr]],",",CLASSIFICATION[[#This Row],[Importance]])</f>
        <v>Development,Database design,+Custom Database Model,4</v>
      </c>
    </row>
    <row r="94" spans="1:11" x14ac:dyDescent="0.25">
      <c r="C94" t="s">
        <v>232</v>
      </c>
      <c r="D94" s="6" t="s">
        <v>234</v>
      </c>
      <c r="E94" s="39">
        <v>4</v>
      </c>
      <c r="F94" s="19" t="str" cm="1">
        <f t="array" ref="F94">_xlfn.XLOOKUP(TRUE,A$2:A94&lt;&gt;"",A$2:A94,,,-1)</f>
        <v>Development</v>
      </c>
      <c r="G94" s="19" t="str" cm="1">
        <f t="array" ref="G94">_xlfn.XLOOKUP(TRUE,B$2:B94&lt;&gt;"",B$2:B94,,,-1)</f>
        <v>Database design</v>
      </c>
      <c r="H94" s="19" t="str">
        <f>IF(CLASSIFICATION[[#This Row],[Classification (Generalized keyword)]]="",CLASSIFICATION[[#This Row],[Keyword]],CLASSIFICATION[[#This Row],[Classification (Generalized keyword)]])</f>
        <v>+References</v>
      </c>
      <c r="I94" s="19" t="str">
        <f>_xlfn.CONCAT(CLASSIFICATION[[#This Row],[Project Stage Aggr]],",",CLASSIFICATION[[#This Row],[Functional Scope Aggr]],",",CLASSIFICATION[[#This Row],[Keyword]])</f>
        <v>Development,Database design,+Lookup Column</v>
      </c>
      <c r="J94" s="19" t="str">
        <f>_xlfn.CONCAT(CLASSIFICATION[[#This Row],[Project Stage Aggr]],",",CLASSIFICATION[[#This Row],[Functional Scope Aggr]],",",CLASSIFICATION[[#This Row],[Keyword Aggr]])</f>
        <v>Development,Database design,+References</v>
      </c>
      <c r="K94" s="19" t="str">
        <f>_xlfn.CONCAT(CLASSIFICATION[[#This Row],[Project Stage Aggr]],",",CLASSIFICATION[[#This Row],[Functional Scope Aggr]],",",CLASSIFICATION[[#This Row],[Keyword Aggr]],",",CLASSIFICATION[[#This Row],[Importance]])</f>
        <v>Development,Database design,+References,4</v>
      </c>
    </row>
    <row r="95" spans="1:11" x14ac:dyDescent="0.25">
      <c r="C95" t="s">
        <v>233</v>
      </c>
      <c r="D95" s="6" t="s">
        <v>234</v>
      </c>
      <c r="E95" s="39">
        <v>4</v>
      </c>
      <c r="F95" s="19" t="str" cm="1">
        <f t="array" ref="F95">_xlfn.XLOOKUP(TRUE,A$2:A95&lt;&gt;"",A$2:A95,,,-1)</f>
        <v>Development</v>
      </c>
      <c r="G95" s="19" t="str" cm="1">
        <f t="array" ref="G95">_xlfn.XLOOKUP(TRUE,B$2:B95&lt;&gt;"",B$2:B95,,,-1)</f>
        <v>Database design</v>
      </c>
      <c r="H95" s="19" t="str">
        <f>IF(CLASSIFICATION[[#This Row],[Classification (Generalized keyword)]]="",CLASSIFICATION[[#This Row],[Keyword]],CLASSIFICATION[[#This Row],[Classification (Generalized keyword)]])</f>
        <v>+References</v>
      </c>
      <c r="I95" s="19" t="str">
        <f>_xlfn.CONCAT(CLASSIFICATION[[#This Row],[Project Stage Aggr]],",",CLASSIFICATION[[#This Row],[Functional Scope Aggr]],",",CLASSIFICATION[[#This Row],[Keyword]])</f>
        <v>Development,Database design,+Reference Column</v>
      </c>
      <c r="J95" s="19" t="str">
        <f>_xlfn.CONCAT(CLASSIFICATION[[#This Row],[Project Stage Aggr]],",",CLASSIFICATION[[#This Row],[Functional Scope Aggr]],",",CLASSIFICATION[[#This Row],[Keyword Aggr]])</f>
        <v>Development,Database design,+References</v>
      </c>
      <c r="K95" s="19" t="str">
        <f>_xlfn.CONCAT(CLASSIFICATION[[#This Row],[Project Stage Aggr]],",",CLASSIFICATION[[#This Row],[Functional Scope Aggr]],",",CLASSIFICATION[[#This Row],[Keyword Aggr]],",",CLASSIFICATION[[#This Row],[Importance]])</f>
        <v>Development,Database design,+References,4</v>
      </c>
    </row>
    <row r="96" spans="1:11" x14ac:dyDescent="0.25">
      <c r="C96" t="s">
        <v>234</v>
      </c>
      <c r="D96" s="6" t="s">
        <v>234</v>
      </c>
      <c r="E96" s="39">
        <v>4</v>
      </c>
      <c r="F96" s="19" t="str" cm="1">
        <f t="array" ref="F96">_xlfn.XLOOKUP(TRUE,A$2:A96&lt;&gt;"",A$2:A96,,,-1)</f>
        <v>Development</v>
      </c>
      <c r="G96" s="19" t="str" cm="1">
        <f t="array" ref="G96">_xlfn.XLOOKUP(TRUE,B$2:B96&lt;&gt;"",B$2:B96,,,-1)</f>
        <v>Database design</v>
      </c>
      <c r="H96" s="19" t="str">
        <f>IF(CLASSIFICATION[[#This Row],[Classification (Generalized keyword)]]="",CLASSIFICATION[[#This Row],[Keyword]],CLASSIFICATION[[#This Row],[Classification (Generalized keyword)]])</f>
        <v>+References</v>
      </c>
      <c r="I96" s="19" t="str">
        <f>_xlfn.CONCAT(CLASSIFICATION[[#This Row],[Project Stage Aggr]],",",CLASSIFICATION[[#This Row],[Functional Scope Aggr]],",",CLASSIFICATION[[#This Row],[Keyword]])</f>
        <v>Development,Database design,+References</v>
      </c>
      <c r="J96" s="19" t="str">
        <f>_xlfn.CONCAT(CLASSIFICATION[[#This Row],[Project Stage Aggr]],",",CLASSIFICATION[[#This Row],[Functional Scope Aggr]],",",CLASSIFICATION[[#This Row],[Keyword Aggr]])</f>
        <v>Development,Database design,+References</v>
      </c>
      <c r="K96" s="19" t="str">
        <f>_xlfn.CONCAT(CLASSIFICATION[[#This Row],[Project Stage Aggr]],",",CLASSIFICATION[[#This Row],[Functional Scope Aggr]],",",CLASSIFICATION[[#This Row],[Keyword Aggr]],",",CLASSIFICATION[[#This Row],[Importance]])</f>
        <v>Development,Database design,+References,4</v>
      </c>
    </row>
    <row r="97" spans="3:11" x14ac:dyDescent="0.25">
      <c r="C97" t="s">
        <v>235</v>
      </c>
      <c r="D97" s="6" t="s">
        <v>357</v>
      </c>
      <c r="E97" s="39">
        <v>4</v>
      </c>
      <c r="F97" s="19" t="str" cm="1">
        <f t="array" ref="F97">_xlfn.XLOOKUP(TRUE,A$2:A97&lt;&gt;"",A$2:A97,,,-1)</f>
        <v>Development</v>
      </c>
      <c r="G97" s="19" t="str" cm="1">
        <f t="array" ref="G97">_xlfn.XLOOKUP(TRUE,B$2:B97&lt;&gt;"",B$2:B97,,,-1)</f>
        <v>Database design</v>
      </c>
      <c r="H97" s="19" t="str">
        <f>IF(CLASSIFICATION[[#This Row],[Classification (Generalized keyword)]]="",CLASSIFICATION[[#This Row],[Keyword]],CLASSIFICATION[[#This Row],[Classification (Generalized keyword)]])</f>
        <v>+Slices</v>
      </c>
      <c r="I97" s="19" t="str">
        <f>_xlfn.CONCAT(CLASSIFICATION[[#This Row],[Project Stage Aggr]],",",CLASSIFICATION[[#This Row],[Functional Scope Aggr]],",",CLASSIFICATION[[#This Row],[Keyword]])</f>
        <v>Development,Database design,+Slices (Subset od data; columns and actions)</v>
      </c>
      <c r="J97" s="19" t="str">
        <f>_xlfn.CONCAT(CLASSIFICATION[[#This Row],[Project Stage Aggr]],",",CLASSIFICATION[[#This Row],[Functional Scope Aggr]],",",CLASSIFICATION[[#This Row],[Keyword Aggr]])</f>
        <v>Development,Database design,+Slices</v>
      </c>
      <c r="K97" s="19" t="str">
        <f>_xlfn.CONCAT(CLASSIFICATION[[#This Row],[Project Stage Aggr]],",",CLASSIFICATION[[#This Row],[Functional Scope Aggr]],",",CLASSIFICATION[[#This Row],[Keyword Aggr]],",",CLASSIFICATION[[#This Row],[Importance]])</f>
        <v>Development,Database design,+Slices,4</v>
      </c>
    </row>
    <row r="98" spans="3:11" x14ac:dyDescent="0.25">
      <c r="C98" t="s">
        <v>236</v>
      </c>
      <c r="E98" s="38">
        <v>-3</v>
      </c>
      <c r="F98" s="19" t="str" cm="1">
        <f t="array" ref="F98">_xlfn.XLOOKUP(TRUE,A$2:A98&lt;&gt;"",A$2:A98,,,-1)</f>
        <v>Development</v>
      </c>
      <c r="G98" s="19" t="str" cm="1">
        <f t="array" ref="G98">_xlfn.XLOOKUP(TRUE,B$2:B98&lt;&gt;"",B$2:B98,,,-1)</f>
        <v>Database design</v>
      </c>
      <c r="H98" s="19" t="str">
        <f>IF(CLASSIFICATION[[#This Row],[Classification (Generalized keyword)]]="",CLASSIFICATION[[#This Row],[Keyword]],CLASSIFICATION[[#This Row],[Classification (Generalized keyword)]])</f>
        <v>Actions</v>
      </c>
      <c r="I98" s="19" t="str">
        <f>_xlfn.CONCAT(CLASSIFICATION[[#This Row],[Project Stage Aggr]],",",CLASSIFICATION[[#This Row],[Functional Scope Aggr]],",",CLASSIFICATION[[#This Row],[Keyword]])</f>
        <v>Development,Database design,Actions</v>
      </c>
      <c r="J98" s="19" t="str">
        <f>_xlfn.CONCAT(CLASSIFICATION[[#This Row],[Project Stage Aggr]],",",CLASSIFICATION[[#This Row],[Functional Scope Aggr]],",",CLASSIFICATION[[#This Row],[Keyword Aggr]])</f>
        <v>Development,Database design,Actions</v>
      </c>
      <c r="K98" s="19" t="str">
        <f>_xlfn.CONCAT(CLASSIFICATION[[#This Row],[Project Stage Aggr]],",",CLASSIFICATION[[#This Row],[Functional Scope Aggr]],",",CLASSIFICATION[[#This Row],[Keyword Aggr]],",",CLASSIFICATION[[#This Row],[Importance]])</f>
        <v>Development,Database design,Actions,-3</v>
      </c>
    </row>
    <row r="99" spans="3:11" x14ac:dyDescent="0.25">
      <c r="C99" t="s">
        <v>172</v>
      </c>
      <c r="D99" t="s">
        <v>181</v>
      </c>
      <c r="E99" s="38">
        <v>-1</v>
      </c>
      <c r="F99" s="19" t="str" cm="1">
        <f t="array" ref="F99">_xlfn.XLOOKUP(TRUE,A$2:A99&lt;&gt;"",A$2:A99,,,-1)</f>
        <v>Development</v>
      </c>
      <c r="G99" s="19" t="str" cm="1">
        <f t="array" ref="G99">_xlfn.XLOOKUP(TRUE,B$2:B99&lt;&gt;"",B$2:B99,,,-1)</f>
        <v>Database design</v>
      </c>
      <c r="H99" s="19" t="str">
        <f>IF(CLASSIFICATION[[#This Row],[Classification (Generalized keyword)]]="",CLASSIFICATION[[#This Row],[Keyword]],CLASSIFICATION[[#This Row],[Classification (Generalized keyword)]])</f>
        <v>Expressions</v>
      </c>
      <c r="I99" s="19" t="str">
        <f>_xlfn.CONCAT(CLASSIFICATION[[#This Row],[Project Stage Aggr]],",",CLASSIFICATION[[#This Row],[Functional Scope Aggr]],",",CLASSIFICATION[[#This Row],[Keyword]])</f>
        <v>Development,Database design,Conditional Expressions</v>
      </c>
      <c r="J99" s="19" t="str">
        <f>_xlfn.CONCAT(CLASSIFICATION[[#This Row],[Project Stage Aggr]],",",CLASSIFICATION[[#This Row],[Functional Scope Aggr]],",",CLASSIFICATION[[#This Row],[Keyword Aggr]])</f>
        <v>Development,Database design,Expressions</v>
      </c>
      <c r="K99" s="19" t="str">
        <f>_xlfn.CONCAT(CLASSIFICATION[[#This Row],[Project Stage Aggr]],",",CLASSIFICATION[[#This Row],[Functional Scope Aggr]],",",CLASSIFICATION[[#This Row],[Keyword Aggr]],",",CLASSIFICATION[[#This Row],[Importance]])</f>
        <v>Development,Database design,Expressions,-1</v>
      </c>
    </row>
    <row r="100" spans="3:11" x14ac:dyDescent="0.25">
      <c r="C100" t="s">
        <v>176</v>
      </c>
      <c r="D100" t="s">
        <v>239</v>
      </c>
      <c r="E100" s="38">
        <v>-4</v>
      </c>
      <c r="F100" s="19" t="str" cm="1">
        <f t="array" ref="F100">_xlfn.XLOOKUP(TRUE,A$2:A100&lt;&gt;"",A$2:A100,,,-1)</f>
        <v>Development</v>
      </c>
      <c r="G100" s="19" t="str" cm="1">
        <f t="array" ref="G100">_xlfn.XLOOKUP(TRUE,B$2:B100&lt;&gt;"",B$2:B100,,,-1)</f>
        <v>Database design</v>
      </c>
      <c r="H100" s="19" t="str">
        <f>IF(CLASSIFICATION[[#This Row],[Classification (Generalized keyword)]]="",CLASSIFICATION[[#This Row],[Keyword]],CLASSIFICATION[[#This Row],[Classification (Generalized keyword)]])</f>
        <v>Relational Database</v>
      </c>
      <c r="I100" s="19" t="str">
        <f>_xlfn.CONCAT(CLASSIFICATION[[#This Row],[Project Stage Aggr]],",",CLASSIFICATION[[#This Row],[Functional Scope Aggr]],",",CLASSIFICATION[[#This Row],[Keyword]])</f>
        <v>Development,Database design,Denormalization</v>
      </c>
      <c r="J100" s="19" t="str">
        <f>_xlfn.CONCAT(CLASSIFICATION[[#This Row],[Project Stage Aggr]],",",CLASSIFICATION[[#This Row],[Functional Scope Aggr]],",",CLASSIFICATION[[#This Row],[Keyword Aggr]])</f>
        <v>Development,Database design,Relational Database</v>
      </c>
      <c r="K100" s="19" t="str">
        <f>_xlfn.CONCAT(CLASSIFICATION[[#This Row],[Project Stage Aggr]],",",CLASSIFICATION[[#This Row],[Functional Scope Aggr]],",",CLASSIFICATION[[#This Row],[Keyword Aggr]],",",CLASSIFICATION[[#This Row],[Importance]])</f>
        <v>Development,Database design,Relational Database,-4</v>
      </c>
    </row>
    <row r="101" spans="3:11" x14ac:dyDescent="0.25">
      <c r="C101" t="s">
        <v>178</v>
      </c>
      <c r="E101" s="38">
        <v>-2</v>
      </c>
      <c r="F101" s="19" t="str" cm="1">
        <f t="array" ref="F101">_xlfn.XLOOKUP(TRUE,A$2:A101&lt;&gt;"",A$2:A101,,,-1)</f>
        <v>Development</v>
      </c>
      <c r="G101" s="19" t="str" cm="1">
        <f t="array" ref="G101">_xlfn.XLOOKUP(TRUE,B$2:B101&lt;&gt;"",B$2:B101,,,-1)</f>
        <v>Database design</v>
      </c>
      <c r="H101" s="19" t="str">
        <f>IF(CLASSIFICATION[[#This Row],[Classification (Generalized keyword)]]="",CLASSIFICATION[[#This Row],[Keyword]],CLASSIFICATION[[#This Row],[Classification (Generalized keyword)]])</f>
        <v>Entity Diagrams</v>
      </c>
      <c r="I101" s="19" t="str">
        <f>_xlfn.CONCAT(CLASSIFICATION[[#This Row],[Project Stage Aggr]],",",CLASSIFICATION[[#This Row],[Functional Scope Aggr]],",",CLASSIFICATION[[#This Row],[Keyword]])</f>
        <v>Development,Database design,Entity Diagrams</v>
      </c>
      <c r="J101" s="19" t="str">
        <f>_xlfn.CONCAT(CLASSIFICATION[[#This Row],[Project Stage Aggr]],",",CLASSIFICATION[[#This Row],[Functional Scope Aggr]],",",CLASSIFICATION[[#This Row],[Keyword Aggr]])</f>
        <v>Development,Database design,Entity Diagrams</v>
      </c>
      <c r="K101" s="19" t="str">
        <f>_xlfn.CONCAT(CLASSIFICATION[[#This Row],[Project Stage Aggr]],",",CLASSIFICATION[[#This Row],[Functional Scope Aggr]],",",CLASSIFICATION[[#This Row],[Keyword Aggr]],",",CLASSIFICATION[[#This Row],[Importance]])</f>
        <v>Development,Database design,Entity Diagrams,-2</v>
      </c>
    </row>
    <row r="102" spans="3:11" x14ac:dyDescent="0.25">
      <c r="C102" t="s">
        <v>359</v>
      </c>
      <c r="D102" t="s">
        <v>181</v>
      </c>
      <c r="E102" s="38">
        <v>-1</v>
      </c>
      <c r="F102" s="19" t="str" cm="1">
        <f t="array" ref="F102">_xlfn.XLOOKUP(TRUE,A$2:A102&lt;&gt;"",A$2:A102,,,-1)</f>
        <v>Development</v>
      </c>
      <c r="G102" s="19" t="str" cm="1">
        <f t="array" ref="G102">_xlfn.XLOOKUP(TRUE,B$2:B102&lt;&gt;"",B$2:B102,,,-1)</f>
        <v>Database design</v>
      </c>
      <c r="H102" s="19" t="str">
        <f>IF(CLASSIFICATION[[#This Row],[Classification (Generalized keyword)]]="",CLASSIFICATION[[#This Row],[Keyword]],CLASSIFICATION[[#This Row],[Classification (Generalized keyword)]])</f>
        <v>Expressions</v>
      </c>
      <c r="I102" s="19" t="str">
        <f>_xlfn.CONCAT(CLASSIFICATION[[#This Row],[Project Stage Aggr]],",",CLASSIFICATION[[#This Row],[Functional Scope Aggr]],",",CLASSIFICATION[[#This Row],[Keyword]])</f>
        <v>Development,Database design,Expressions (App Formula Expression; Initial Value Expression)</v>
      </c>
      <c r="J102" s="19" t="str">
        <f>_xlfn.CONCAT(CLASSIFICATION[[#This Row],[Project Stage Aggr]],",",CLASSIFICATION[[#This Row],[Functional Scope Aggr]],",",CLASSIFICATION[[#This Row],[Keyword Aggr]])</f>
        <v>Development,Database design,Expressions</v>
      </c>
      <c r="K102" s="19" t="str">
        <f>_xlfn.CONCAT(CLASSIFICATION[[#This Row],[Project Stage Aggr]],",",CLASSIFICATION[[#This Row],[Functional Scope Aggr]],",",CLASSIFICATION[[#This Row],[Keyword Aggr]],",",CLASSIFICATION[[#This Row],[Importance]])</f>
        <v>Development,Database design,Expressions,-1</v>
      </c>
    </row>
    <row r="103" spans="3:11" x14ac:dyDescent="0.25">
      <c r="C103" t="s">
        <v>197</v>
      </c>
      <c r="D103" t="s">
        <v>197</v>
      </c>
      <c r="E103" s="38">
        <v>-4</v>
      </c>
      <c r="F103" s="19" t="str" cm="1">
        <f t="array" ref="F103">_xlfn.XLOOKUP(TRUE,A$2:A103&lt;&gt;"",A$2:A103,,,-1)</f>
        <v>Development</v>
      </c>
      <c r="G103" s="19" t="str" cm="1">
        <f t="array" ref="G103">_xlfn.XLOOKUP(TRUE,B$2:B103&lt;&gt;"",B$2:B103,,,-1)</f>
        <v>Database design</v>
      </c>
      <c r="H103" s="19" t="str">
        <f>IF(CLASSIFICATION[[#This Row],[Classification (Generalized keyword)]]="",CLASSIFICATION[[#This Row],[Keyword]],CLASSIFICATION[[#This Row],[Classification (Generalized keyword)]])</f>
        <v>Functions</v>
      </c>
      <c r="I103" s="19" t="str">
        <f>_xlfn.CONCAT(CLASSIFICATION[[#This Row],[Project Stage Aggr]],",",CLASSIFICATION[[#This Row],[Functional Scope Aggr]],",",CLASSIFICATION[[#This Row],[Keyword]])</f>
        <v>Development,Database design,Functions</v>
      </c>
      <c r="J103" s="19" t="str">
        <f>_xlfn.CONCAT(CLASSIFICATION[[#This Row],[Project Stage Aggr]],",",CLASSIFICATION[[#This Row],[Functional Scope Aggr]],",",CLASSIFICATION[[#This Row],[Keyword Aggr]])</f>
        <v>Development,Database design,Functions</v>
      </c>
      <c r="K103" s="19" t="str">
        <f>_xlfn.CONCAT(CLASSIFICATION[[#This Row],[Project Stage Aggr]],",",CLASSIFICATION[[#This Row],[Functional Scope Aggr]],",",CLASSIFICATION[[#This Row],[Keyword Aggr]],",",CLASSIFICATION[[#This Row],[Importance]])</f>
        <v>Development,Database design,Functions,-4</v>
      </c>
    </row>
    <row r="104" spans="3:11" x14ac:dyDescent="0.25">
      <c r="C104" t="s">
        <v>237</v>
      </c>
      <c r="D104" t="s">
        <v>197</v>
      </c>
      <c r="E104" s="38">
        <v>-4</v>
      </c>
      <c r="F104" s="19" t="str" cm="1">
        <f t="array" ref="F104">_xlfn.XLOOKUP(TRUE,A$2:A104&lt;&gt;"",A$2:A104,,,-1)</f>
        <v>Development</v>
      </c>
      <c r="G104" s="19" t="str" cm="1">
        <f t="array" ref="G104">_xlfn.XLOOKUP(TRUE,B$2:B104&lt;&gt;"",B$2:B104,,,-1)</f>
        <v>Database design</v>
      </c>
      <c r="H104" s="19" t="str">
        <f>IF(CLASSIFICATION[[#This Row],[Classification (Generalized keyword)]]="",CLASSIFICATION[[#This Row],[Keyword]],CLASSIFICATION[[#This Row],[Classification (Generalized keyword)]])</f>
        <v>Functions</v>
      </c>
      <c r="I104" s="19" t="str">
        <f>_xlfn.CONCAT(CLASSIFICATION[[#This Row],[Project Stage Aggr]],",",CLASSIFICATION[[#This Row],[Functional Scope Aggr]],",",CLASSIFICATION[[#This Row],[Keyword]])</f>
        <v>Development,Database design,Functions (Deep Link)</v>
      </c>
      <c r="J104" s="19" t="str">
        <f>_xlfn.CONCAT(CLASSIFICATION[[#This Row],[Project Stage Aggr]],",",CLASSIFICATION[[#This Row],[Functional Scope Aggr]],",",CLASSIFICATION[[#This Row],[Keyword Aggr]])</f>
        <v>Development,Database design,Functions</v>
      </c>
      <c r="K104" s="19" t="str">
        <f>_xlfn.CONCAT(CLASSIFICATION[[#This Row],[Project Stage Aggr]],",",CLASSIFICATION[[#This Row],[Functional Scope Aggr]],",",CLASSIFICATION[[#This Row],[Keyword Aggr]],",",CLASSIFICATION[[#This Row],[Importance]])</f>
        <v>Development,Database design,Functions,-4</v>
      </c>
    </row>
    <row r="105" spans="3:11" x14ac:dyDescent="0.25">
      <c r="C105" t="s">
        <v>238</v>
      </c>
      <c r="D105" t="s">
        <v>239</v>
      </c>
      <c r="E105" s="38">
        <v>-5</v>
      </c>
      <c r="F105" s="19" t="str" cm="1">
        <f t="array" ref="F105">_xlfn.XLOOKUP(TRUE,A$2:A105&lt;&gt;"",A$2:A105,,,-1)</f>
        <v>Development</v>
      </c>
      <c r="G105" s="19" t="str" cm="1">
        <f t="array" ref="G105">_xlfn.XLOOKUP(TRUE,B$2:B105&lt;&gt;"",B$2:B105,,,-1)</f>
        <v>Database design</v>
      </c>
      <c r="H105" s="19" t="str">
        <f>IF(CLASSIFICATION[[#This Row],[Classification (Generalized keyword)]]="",CLASSIFICATION[[#This Row],[Keyword]],CLASSIFICATION[[#This Row],[Classification (Generalized keyword)]])</f>
        <v>Relational Database</v>
      </c>
      <c r="I105" s="19" t="str">
        <f>_xlfn.CONCAT(CLASSIFICATION[[#This Row],[Project Stage Aggr]],",",CLASSIFICATION[[#This Row],[Functional Scope Aggr]],",",CLASSIFICATION[[#This Row],[Keyword]])</f>
        <v>Development,Database design,Keys</v>
      </c>
      <c r="J105" s="19" t="str">
        <f>_xlfn.CONCAT(CLASSIFICATION[[#This Row],[Project Stage Aggr]],",",CLASSIFICATION[[#This Row],[Functional Scope Aggr]],",",CLASSIFICATION[[#This Row],[Keyword Aggr]])</f>
        <v>Development,Database design,Relational Database</v>
      </c>
      <c r="K105" s="19" t="str">
        <f>_xlfn.CONCAT(CLASSIFICATION[[#This Row],[Project Stage Aggr]],",",CLASSIFICATION[[#This Row],[Functional Scope Aggr]],",",CLASSIFICATION[[#This Row],[Keyword Aggr]],",",CLASSIFICATION[[#This Row],[Importance]])</f>
        <v>Development,Database design,Relational Database,-5</v>
      </c>
    </row>
    <row r="106" spans="3:11" x14ac:dyDescent="0.25">
      <c r="C106" t="s">
        <v>184</v>
      </c>
      <c r="D106" t="s">
        <v>239</v>
      </c>
      <c r="E106" s="38">
        <v>-5</v>
      </c>
      <c r="F106" s="19" t="str" cm="1">
        <f t="array" ref="F106">_xlfn.XLOOKUP(TRUE,A$2:A106&lt;&gt;"",A$2:A106,,,-1)</f>
        <v>Development</v>
      </c>
      <c r="G106" s="19" t="str" cm="1">
        <f t="array" ref="G106">_xlfn.XLOOKUP(TRUE,B$2:B106&lt;&gt;"",B$2:B106,,,-1)</f>
        <v>Database design</v>
      </c>
      <c r="H106" s="19" t="str">
        <f>IF(CLASSIFICATION[[#This Row],[Classification (Generalized keyword)]]="",CLASSIFICATION[[#This Row],[Keyword]],CLASSIFICATION[[#This Row],[Classification (Generalized keyword)]])</f>
        <v>Relational Database</v>
      </c>
      <c r="I106" s="19" t="str">
        <f>_xlfn.CONCAT(CLASSIFICATION[[#This Row],[Project Stage Aggr]],",",CLASSIFICATION[[#This Row],[Functional Scope Aggr]],",",CLASSIFICATION[[#This Row],[Keyword]])</f>
        <v>Development,Database design,Many-to-Many</v>
      </c>
      <c r="J106" s="19" t="str">
        <f>_xlfn.CONCAT(CLASSIFICATION[[#This Row],[Project Stage Aggr]],",",CLASSIFICATION[[#This Row],[Functional Scope Aggr]],",",CLASSIFICATION[[#This Row],[Keyword Aggr]])</f>
        <v>Development,Database design,Relational Database</v>
      </c>
      <c r="K106" s="19" t="str">
        <f>_xlfn.CONCAT(CLASSIFICATION[[#This Row],[Project Stage Aggr]],",",CLASSIFICATION[[#This Row],[Functional Scope Aggr]],",",CLASSIFICATION[[#This Row],[Keyword Aggr]],",",CLASSIFICATION[[#This Row],[Importance]])</f>
        <v>Development,Database design,Relational Database,-5</v>
      </c>
    </row>
    <row r="107" spans="3:11" x14ac:dyDescent="0.25">
      <c r="C107" t="s">
        <v>185</v>
      </c>
      <c r="D107" t="s">
        <v>239</v>
      </c>
      <c r="E107" s="38">
        <v>-5</v>
      </c>
      <c r="F107" s="19" t="str" cm="1">
        <f t="array" ref="F107">_xlfn.XLOOKUP(TRUE,A$2:A107&lt;&gt;"",A$2:A107,,,-1)</f>
        <v>Development</v>
      </c>
      <c r="G107" s="19" t="str" cm="1">
        <f t="array" ref="G107">_xlfn.XLOOKUP(TRUE,B$2:B107&lt;&gt;"",B$2:B107,,,-1)</f>
        <v>Database design</v>
      </c>
      <c r="H107" s="19" t="str">
        <f>IF(CLASSIFICATION[[#This Row],[Classification (Generalized keyword)]]="",CLASSIFICATION[[#This Row],[Keyword]],CLASSIFICATION[[#This Row],[Classification (Generalized keyword)]])</f>
        <v>Relational Database</v>
      </c>
      <c r="I107" s="19" t="str">
        <f>_xlfn.CONCAT(CLASSIFICATION[[#This Row],[Project Stage Aggr]],",",CLASSIFICATION[[#This Row],[Functional Scope Aggr]],",",CLASSIFICATION[[#This Row],[Keyword]])</f>
        <v>Development,Database design,One-to-Many</v>
      </c>
      <c r="J107" s="19" t="str">
        <f>_xlfn.CONCAT(CLASSIFICATION[[#This Row],[Project Stage Aggr]],",",CLASSIFICATION[[#This Row],[Functional Scope Aggr]],",",CLASSIFICATION[[#This Row],[Keyword Aggr]])</f>
        <v>Development,Database design,Relational Database</v>
      </c>
      <c r="K107" s="19" t="str">
        <f>_xlfn.CONCAT(CLASSIFICATION[[#This Row],[Project Stage Aggr]],",",CLASSIFICATION[[#This Row],[Functional Scope Aggr]],",",CLASSIFICATION[[#This Row],[Keyword Aggr]],",",CLASSIFICATION[[#This Row],[Importance]])</f>
        <v>Development,Database design,Relational Database,-5</v>
      </c>
    </row>
    <row r="108" spans="3:11" x14ac:dyDescent="0.25">
      <c r="C108" t="s">
        <v>186</v>
      </c>
      <c r="D108" t="s">
        <v>239</v>
      </c>
      <c r="E108" s="38">
        <v>-5</v>
      </c>
      <c r="F108" s="19" t="str" cm="1">
        <f t="array" ref="F108">_xlfn.XLOOKUP(TRUE,A$2:A108&lt;&gt;"",A$2:A108,,,-1)</f>
        <v>Development</v>
      </c>
      <c r="G108" s="19" t="str" cm="1">
        <f t="array" ref="G108">_xlfn.XLOOKUP(TRUE,B$2:B108&lt;&gt;"",B$2:B108,,,-1)</f>
        <v>Database design</v>
      </c>
      <c r="H108" s="19" t="str">
        <f>IF(CLASSIFICATION[[#This Row],[Classification (Generalized keyword)]]="",CLASSIFICATION[[#This Row],[Keyword]],CLASSIFICATION[[#This Row],[Classification (Generalized keyword)]])</f>
        <v>Relational Database</v>
      </c>
      <c r="I108" s="19" t="str">
        <f>_xlfn.CONCAT(CLASSIFICATION[[#This Row],[Project Stage Aggr]],",",CLASSIFICATION[[#This Row],[Functional Scope Aggr]],",",CLASSIFICATION[[#This Row],[Keyword]])</f>
        <v>Development,Database design,One-to-One</v>
      </c>
      <c r="J108" s="19" t="str">
        <f>_xlfn.CONCAT(CLASSIFICATION[[#This Row],[Project Stage Aggr]],",",CLASSIFICATION[[#This Row],[Functional Scope Aggr]],",",CLASSIFICATION[[#This Row],[Keyword Aggr]])</f>
        <v>Development,Database design,Relational Database</v>
      </c>
      <c r="K108" s="19" t="str">
        <f>_xlfn.CONCAT(CLASSIFICATION[[#This Row],[Project Stage Aggr]],",",CLASSIFICATION[[#This Row],[Functional Scope Aggr]],",",CLASSIFICATION[[#This Row],[Keyword Aggr]],",",CLASSIFICATION[[#This Row],[Importance]])</f>
        <v>Development,Database design,Relational Database,-5</v>
      </c>
    </row>
    <row r="109" spans="3:11" x14ac:dyDescent="0.25">
      <c r="C109" t="s">
        <v>240</v>
      </c>
      <c r="D109" t="s">
        <v>239</v>
      </c>
      <c r="E109" s="38">
        <v>-5</v>
      </c>
      <c r="F109" s="19" t="str" cm="1">
        <f t="array" ref="F109">_xlfn.XLOOKUP(TRUE,A$2:A109&lt;&gt;"",A$2:A109,,,-1)</f>
        <v>Development</v>
      </c>
      <c r="G109" s="19" t="str" cm="1">
        <f t="array" ref="G109">_xlfn.XLOOKUP(TRUE,B$2:B109&lt;&gt;"",B$2:B109,,,-1)</f>
        <v>Database design</v>
      </c>
      <c r="H109" s="19" t="str">
        <f>IF(CLASSIFICATION[[#This Row],[Classification (Generalized keyword)]]="",CLASSIFICATION[[#This Row],[Keyword]],CLASSIFICATION[[#This Row],[Classification (Generalized keyword)]])</f>
        <v>Relational Database</v>
      </c>
      <c r="I109" s="19" t="str">
        <f>_xlfn.CONCAT(CLASSIFICATION[[#This Row],[Project Stage Aggr]],",",CLASSIFICATION[[#This Row],[Functional Scope Aggr]],",",CLASSIFICATION[[#This Row],[Keyword]])</f>
        <v>Development,Database design,Relational Database Concept</v>
      </c>
      <c r="J109" s="19" t="str">
        <f>_xlfn.CONCAT(CLASSIFICATION[[#This Row],[Project Stage Aggr]],",",CLASSIFICATION[[#This Row],[Functional Scope Aggr]],",",CLASSIFICATION[[#This Row],[Keyword Aggr]])</f>
        <v>Development,Database design,Relational Database</v>
      </c>
      <c r="K109" s="19" t="str">
        <f>_xlfn.CONCAT(CLASSIFICATION[[#This Row],[Project Stage Aggr]],",",CLASSIFICATION[[#This Row],[Functional Scope Aggr]],",",CLASSIFICATION[[#This Row],[Keyword Aggr]],",",CLASSIFICATION[[#This Row],[Importance]])</f>
        <v>Development,Database design,Relational Database,-5</v>
      </c>
    </row>
    <row r="110" spans="3:11" x14ac:dyDescent="0.25">
      <c r="C110" t="s">
        <v>239</v>
      </c>
      <c r="D110" t="s">
        <v>239</v>
      </c>
      <c r="E110" s="38">
        <v>-5</v>
      </c>
      <c r="F110" s="19" t="str" cm="1">
        <f t="array" ref="F110">_xlfn.XLOOKUP(TRUE,A$2:A110&lt;&gt;"",A$2:A110,,,-1)</f>
        <v>Development</v>
      </c>
      <c r="G110" s="19" t="str" cm="1">
        <f t="array" ref="G110">_xlfn.XLOOKUP(TRUE,B$2:B110&lt;&gt;"",B$2:B110,,,-1)</f>
        <v>Database design</v>
      </c>
      <c r="H110" s="19" t="str">
        <f>IF(CLASSIFICATION[[#This Row],[Classification (Generalized keyword)]]="",CLASSIFICATION[[#This Row],[Keyword]],CLASSIFICATION[[#This Row],[Classification (Generalized keyword)]])</f>
        <v>Relational Database</v>
      </c>
      <c r="I110" s="19" t="str">
        <f>_xlfn.CONCAT(CLASSIFICATION[[#This Row],[Project Stage Aggr]],",",CLASSIFICATION[[#This Row],[Functional Scope Aggr]],",",CLASSIFICATION[[#This Row],[Keyword]])</f>
        <v>Development,Database design,Relational Database</v>
      </c>
      <c r="J110" s="19" t="str">
        <f>_xlfn.CONCAT(CLASSIFICATION[[#This Row],[Project Stage Aggr]],",",CLASSIFICATION[[#This Row],[Functional Scope Aggr]],",",CLASSIFICATION[[#This Row],[Keyword Aggr]])</f>
        <v>Development,Database design,Relational Database</v>
      </c>
      <c r="K110" s="19" t="str">
        <f>_xlfn.CONCAT(CLASSIFICATION[[#This Row],[Project Stage Aggr]],",",CLASSIFICATION[[#This Row],[Functional Scope Aggr]],",",CLASSIFICATION[[#This Row],[Keyword Aggr]],",",CLASSIFICATION[[#This Row],[Importance]])</f>
        <v>Development,Database design,Relational Database,-5</v>
      </c>
    </row>
    <row r="111" spans="3:11" x14ac:dyDescent="0.25">
      <c r="C111" t="s">
        <v>241</v>
      </c>
      <c r="E111" s="38">
        <v>-5</v>
      </c>
      <c r="F111" s="19" t="str" cm="1">
        <f t="array" ref="F111">_xlfn.XLOOKUP(TRUE,A$2:A111&lt;&gt;"",A$2:A111,,,-1)</f>
        <v>Development</v>
      </c>
      <c r="G111" s="19" t="str" cm="1">
        <f t="array" ref="G111">_xlfn.XLOOKUP(TRUE,B$2:B111&lt;&gt;"",B$2:B111,,,-1)</f>
        <v>Database design</v>
      </c>
      <c r="H111" s="19" t="str">
        <f>IF(CLASSIFICATION[[#This Row],[Classification (Generalized keyword)]]="",CLASSIFICATION[[#This Row],[Keyword]],CLASSIFICATION[[#This Row],[Classification (Generalized keyword)]])</f>
        <v>SQL</v>
      </c>
      <c r="I111" s="19" t="str">
        <f>_xlfn.CONCAT(CLASSIFICATION[[#This Row],[Project Stage Aggr]],",",CLASSIFICATION[[#This Row],[Functional Scope Aggr]],",",CLASSIFICATION[[#This Row],[Keyword]])</f>
        <v>Development,Database design,SQL</v>
      </c>
      <c r="J111" s="19" t="str">
        <f>_xlfn.CONCAT(CLASSIFICATION[[#This Row],[Project Stage Aggr]],",",CLASSIFICATION[[#This Row],[Functional Scope Aggr]],",",CLASSIFICATION[[#This Row],[Keyword Aggr]])</f>
        <v>Development,Database design,SQL</v>
      </c>
      <c r="K111" s="19" t="str">
        <f>_xlfn.CONCAT(CLASSIFICATION[[#This Row],[Project Stage Aggr]],",",CLASSIFICATION[[#This Row],[Functional Scope Aggr]],",",CLASSIFICATION[[#This Row],[Keyword Aggr]],",",CLASSIFICATION[[#This Row],[Importance]])</f>
        <v>Development,Database design,SQL,-5</v>
      </c>
    </row>
    <row r="112" spans="3:11" x14ac:dyDescent="0.25">
      <c r="C112" t="s">
        <v>242</v>
      </c>
      <c r="D112" t="s">
        <v>269</v>
      </c>
      <c r="E112" s="38">
        <v>-4</v>
      </c>
      <c r="F112" s="19" t="str" cm="1">
        <f t="array" ref="F112">_xlfn.XLOOKUP(TRUE,A$2:A112&lt;&gt;"",A$2:A112,,,-1)</f>
        <v>Development</v>
      </c>
      <c r="G112" s="19" t="str" cm="1">
        <f t="array" ref="G112">_xlfn.XLOOKUP(TRUE,B$2:B112&lt;&gt;"",B$2:B112,,,-1)</f>
        <v>Database design</v>
      </c>
      <c r="H112" s="19" t="str">
        <f>IF(CLASSIFICATION[[#This Row],[Classification (Generalized keyword)]]="",CLASSIFICATION[[#This Row],[Keyword]],CLASSIFICATION[[#This Row],[Classification (Generalized keyword)]])</f>
        <v>IT Data Types</v>
      </c>
      <c r="I112" s="19" t="str">
        <f>_xlfn.CONCAT(CLASSIFICATION[[#This Row],[Project Stage Aggr]],",",CLASSIFICATION[[#This Row],[Functional Scope Aggr]],",",CLASSIFICATION[[#This Row],[Keyword]])</f>
        <v>Development,Database design,Types</v>
      </c>
      <c r="J112" s="19" t="str">
        <f>_xlfn.CONCAT(CLASSIFICATION[[#This Row],[Project Stage Aggr]],",",CLASSIFICATION[[#This Row],[Functional Scope Aggr]],",",CLASSIFICATION[[#This Row],[Keyword Aggr]])</f>
        <v>Development,Database design,IT Data Types</v>
      </c>
      <c r="K112" s="19" t="str">
        <f>_xlfn.CONCAT(CLASSIFICATION[[#This Row],[Project Stage Aggr]],",",CLASSIFICATION[[#This Row],[Functional Scope Aggr]],",",CLASSIFICATION[[#This Row],[Keyword Aggr]],",",CLASSIFICATION[[#This Row],[Importance]])</f>
        <v>Development,Database design,IT Data Types,-4</v>
      </c>
    </row>
    <row r="113" spans="2:11" x14ac:dyDescent="0.25">
      <c r="C113" t="s">
        <v>243</v>
      </c>
      <c r="D113" t="s">
        <v>259</v>
      </c>
      <c r="E113" s="38">
        <v>-4</v>
      </c>
      <c r="F113" s="19" t="str" cm="1">
        <f t="array" ref="F113">_xlfn.XLOOKUP(TRUE,A$2:A113&lt;&gt;"",A$2:A113,,,-1)</f>
        <v>Development</v>
      </c>
      <c r="G113" s="19" t="str" cm="1">
        <f t="array" ref="G113">_xlfn.XLOOKUP(TRUE,B$2:B113&lt;&gt;"",B$2:B113,,,-1)</f>
        <v>Database design</v>
      </c>
      <c r="H113" s="19" t="str">
        <f>IF(CLASSIFICATION[[#This Row],[Classification (Generalized keyword)]]="",CLASSIFICATION[[#This Row],[Keyword]],CLASSIFICATION[[#This Row],[Classification (Generalized keyword)]])</f>
        <v>Web API</v>
      </c>
      <c r="I113" s="19" t="str">
        <f>_xlfn.CONCAT(CLASSIFICATION[[#This Row],[Project Stage Aggr]],",",CLASSIFICATION[[#This Row],[Functional Scope Aggr]],",",CLASSIFICATION[[#This Row],[Keyword]])</f>
        <v>Development,Database design,Web API (Microsoft Dataverse)</v>
      </c>
      <c r="J113" s="19" t="str">
        <f>_xlfn.CONCAT(CLASSIFICATION[[#This Row],[Project Stage Aggr]],",",CLASSIFICATION[[#This Row],[Functional Scope Aggr]],",",CLASSIFICATION[[#This Row],[Keyword Aggr]])</f>
        <v>Development,Database design,Web API</v>
      </c>
      <c r="K113" s="19" t="str">
        <f>_xlfn.CONCAT(CLASSIFICATION[[#This Row],[Project Stage Aggr]],",",CLASSIFICATION[[#This Row],[Functional Scope Aggr]],",",CLASSIFICATION[[#This Row],[Keyword Aggr]],",",CLASSIFICATION[[#This Row],[Importance]])</f>
        <v>Development,Database design,Web API,-4</v>
      </c>
    </row>
    <row r="114" spans="2:11" x14ac:dyDescent="0.25">
      <c r="B114" t="s">
        <v>45</v>
      </c>
      <c r="C114" t="s">
        <v>244</v>
      </c>
      <c r="E114" s="38">
        <v>-4</v>
      </c>
      <c r="F114" s="19" t="str" cm="1">
        <f t="array" ref="F114">_xlfn.XLOOKUP(TRUE,A$2:A114&lt;&gt;"",A$2:A114,,,-1)</f>
        <v>Development</v>
      </c>
      <c r="G114" s="19" t="str" cm="1">
        <f t="array" ref="G114">_xlfn.XLOOKUP(TRUE,B$2:B114&lt;&gt;"",B$2:B114,,,-1)</f>
        <v>Fetching data</v>
      </c>
      <c r="H114" s="19" t="str">
        <f>IF(CLASSIFICATION[[#This Row],[Classification (Generalized keyword)]]="",CLASSIFICATION[[#This Row],[Keyword]],CLASSIFICATION[[#This Row],[Classification (Generalized keyword)]])</f>
        <v>.NET</v>
      </c>
      <c r="I114" s="19" t="str">
        <f>_xlfn.CONCAT(CLASSIFICATION[[#This Row],[Project Stage Aggr]],",",CLASSIFICATION[[#This Row],[Functional Scope Aggr]],",",CLASSIFICATION[[#This Row],[Keyword]])</f>
        <v>Development,Fetching data,.NET</v>
      </c>
      <c r="J114" s="19" t="str">
        <f>_xlfn.CONCAT(CLASSIFICATION[[#This Row],[Project Stage Aggr]],",",CLASSIFICATION[[#This Row],[Functional Scope Aggr]],",",CLASSIFICATION[[#This Row],[Keyword Aggr]])</f>
        <v>Development,Fetching data,.NET</v>
      </c>
      <c r="K114" s="19" t="str">
        <f>_xlfn.CONCAT(CLASSIFICATION[[#This Row],[Project Stage Aggr]],",",CLASSIFICATION[[#This Row],[Functional Scope Aggr]],",",CLASSIFICATION[[#This Row],[Keyword Aggr]],",",CLASSIFICATION[[#This Row],[Importance]])</f>
        <v>Development,Fetching data,.NET,-4</v>
      </c>
    </row>
    <row r="115" spans="2:11" x14ac:dyDescent="0.25">
      <c r="C115" t="s">
        <v>245</v>
      </c>
      <c r="E115" s="38">
        <v>4</v>
      </c>
      <c r="F115" s="19" t="str" cm="1">
        <f t="array" ref="F115">_xlfn.XLOOKUP(TRUE,A$2:A115&lt;&gt;"",A$2:A115,,,-1)</f>
        <v>Development</v>
      </c>
      <c r="G115" s="19" t="str" cm="1">
        <f t="array" ref="G115">_xlfn.XLOOKUP(TRUE,B$2:B115&lt;&gt;"",B$2:B115,,,-1)</f>
        <v>Fetching data</v>
      </c>
      <c r="H115" s="19" t="str">
        <f>IF(CLASSIFICATION[[#This Row],[Classification (Generalized keyword)]]="",CLASSIFICATION[[#This Row],[Keyword]],CLASSIFICATION[[#This Row],[Classification (Generalized keyword)]])</f>
        <v>+Cloud-based Spreadsheets</v>
      </c>
      <c r="I115" s="19" t="str">
        <f>_xlfn.CONCAT(CLASSIFICATION[[#This Row],[Project Stage Aggr]],",",CLASSIFICATION[[#This Row],[Functional Scope Aggr]],",",CLASSIFICATION[[#This Row],[Keyword]])</f>
        <v>Development,Fetching data,+Cloud-based Spreadsheets</v>
      </c>
      <c r="J115" s="19" t="str">
        <f>_xlfn.CONCAT(CLASSIFICATION[[#This Row],[Project Stage Aggr]],",",CLASSIFICATION[[#This Row],[Functional Scope Aggr]],",",CLASSIFICATION[[#This Row],[Keyword Aggr]])</f>
        <v>Development,Fetching data,+Cloud-based Spreadsheets</v>
      </c>
      <c r="K115" s="19" t="str">
        <f>_xlfn.CONCAT(CLASSIFICATION[[#This Row],[Project Stage Aggr]],",",CLASSIFICATION[[#This Row],[Functional Scope Aggr]],",",CLASSIFICATION[[#This Row],[Keyword Aggr]],",",CLASSIFICATION[[#This Row],[Importance]])</f>
        <v>Development,Fetching data,+Cloud-based Spreadsheets,4</v>
      </c>
    </row>
    <row r="116" spans="2:11" x14ac:dyDescent="0.25">
      <c r="C116" t="s">
        <v>246</v>
      </c>
      <c r="E116" s="38">
        <v>4</v>
      </c>
      <c r="F116" s="19" t="str" cm="1">
        <f t="array" ref="F116">_xlfn.XLOOKUP(TRUE,A$2:A116&lt;&gt;"",A$2:A116,,,-1)</f>
        <v>Development</v>
      </c>
      <c r="G116" s="19" t="str" cm="1">
        <f t="array" ref="G116">_xlfn.XLOOKUP(TRUE,B$2:B116&lt;&gt;"",B$2:B116,,,-1)</f>
        <v>Fetching data</v>
      </c>
      <c r="H116" s="19" t="str">
        <f>IF(CLASSIFICATION[[#This Row],[Classification (Generalized keyword)]]="",CLASSIFICATION[[#This Row],[Keyword]],CLASSIFICATION[[#This Row],[Classification (Generalized keyword)]])</f>
        <v>+GUI Queries</v>
      </c>
      <c r="I116" s="19" t="str">
        <f>_xlfn.CONCAT(CLASSIFICATION[[#This Row],[Project Stage Aggr]],",",CLASSIFICATION[[#This Row],[Functional Scope Aggr]],",",CLASSIFICATION[[#This Row],[Keyword]])</f>
        <v>Development,Fetching data,+GUI Queries</v>
      </c>
      <c r="J116" s="19" t="str">
        <f>_xlfn.CONCAT(CLASSIFICATION[[#This Row],[Project Stage Aggr]],",",CLASSIFICATION[[#This Row],[Functional Scope Aggr]],",",CLASSIFICATION[[#This Row],[Keyword Aggr]])</f>
        <v>Development,Fetching data,+GUI Queries</v>
      </c>
      <c r="K116" s="19" t="str">
        <f>_xlfn.CONCAT(CLASSIFICATION[[#This Row],[Project Stage Aggr]],",",CLASSIFICATION[[#This Row],[Functional Scope Aggr]],",",CLASSIFICATION[[#This Row],[Keyword Aggr]],",",CLASSIFICATION[[#This Row],[Importance]])</f>
        <v>Development,Fetching data,+GUI Queries,4</v>
      </c>
    </row>
    <row r="117" spans="2:11" x14ac:dyDescent="0.25">
      <c r="C117" t="s">
        <v>247</v>
      </c>
      <c r="E117" s="38">
        <v>5</v>
      </c>
      <c r="F117" s="19" t="str" cm="1">
        <f t="array" ref="F117">_xlfn.XLOOKUP(TRUE,A$2:A117&lt;&gt;"",A$2:A117,,,-1)</f>
        <v>Development</v>
      </c>
      <c r="G117" s="19" t="str" cm="1">
        <f t="array" ref="G117">_xlfn.XLOOKUP(TRUE,B$2:B117&lt;&gt;"",B$2:B117,,,-1)</f>
        <v>Fetching data</v>
      </c>
      <c r="H117" s="19" t="str">
        <f>IF(CLASSIFICATION[[#This Row],[Classification (Generalized keyword)]]="",CLASSIFICATION[[#This Row],[Keyword]],CLASSIFICATION[[#This Row],[Classification (Generalized keyword)]])</f>
        <v>+Human Language</v>
      </c>
      <c r="I117" s="19" t="str">
        <f>_xlfn.CONCAT(CLASSIFICATION[[#This Row],[Project Stage Aggr]],",",CLASSIFICATION[[#This Row],[Functional Scope Aggr]],",",CLASSIFICATION[[#This Row],[Keyword]])</f>
        <v>Development,Fetching data,+Human Language</v>
      </c>
      <c r="J117" s="19" t="str">
        <f>_xlfn.CONCAT(CLASSIFICATION[[#This Row],[Project Stage Aggr]],",",CLASSIFICATION[[#This Row],[Functional Scope Aggr]],",",CLASSIFICATION[[#This Row],[Keyword Aggr]])</f>
        <v>Development,Fetching data,+Human Language</v>
      </c>
      <c r="K117" s="19" t="str">
        <f>_xlfn.CONCAT(CLASSIFICATION[[#This Row],[Project Stage Aggr]],",",CLASSIFICATION[[#This Row],[Functional Scope Aggr]],",",CLASSIFICATION[[#This Row],[Keyword Aggr]],",",CLASSIFICATION[[#This Row],[Importance]])</f>
        <v>Development,Fetching data,+Human Language,5</v>
      </c>
    </row>
    <row r="118" spans="2:11" x14ac:dyDescent="0.25">
      <c r="C118" t="s">
        <v>248</v>
      </c>
      <c r="E118" s="38">
        <v>4</v>
      </c>
      <c r="F118" s="19" t="str" cm="1">
        <f t="array" ref="F118">_xlfn.XLOOKUP(TRUE,A$2:A118&lt;&gt;"",A$2:A118,,,-1)</f>
        <v>Development</v>
      </c>
      <c r="G118" s="19" t="str" cm="1">
        <f t="array" ref="G118">_xlfn.XLOOKUP(TRUE,B$2:B118&lt;&gt;"",B$2:B118,,,-1)</f>
        <v>Fetching data</v>
      </c>
      <c r="H118" s="19" t="str">
        <f>IF(CLASSIFICATION[[#This Row],[Classification (Generalized keyword)]]="",CLASSIFICATION[[#This Row],[Keyword]],CLASSIFICATION[[#This Row],[Classification (Generalized keyword)]])</f>
        <v>+Integrated Data Sources</v>
      </c>
      <c r="I118" s="19" t="str">
        <f>_xlfn.CONCAT(CLASSIFICATION[[#This Row],[Project Stage Aggr]],",",CLASSIFICATION[[#This Row],[Functional Scope Aggr]],",",CLASSIFICATION[[#This Row],[Keyword]])</f>
        <v>Development,Fetching data,+Integrated Data Sources</v>
      </c>
      <c r="J118" s="19" t="str">
        <f>_xlfn.CONCAT(CLASSIFICATION[[#This Row],[Project Stage Aggr]],",",CLASSIFICATION[[#This Row],[Functional Scope Aggr]],",",CLASSIFICATION[[#This Row],[Keyword Aggr]])</f>
        <v>Development,Fetching data,+Integrated Data Sources</v>
      </c>
      <c r="K118" s="19" t="str">
        <f>_xlfn.CONCAT(CLASSIFICATION[[#This Row],[Project Stage Aggr]],",",CLASSIFICATION[[#This Row],[Functional Scope Aggr]],",",CLASSIFICATION[[#This Row],[Keyword Aggr]],",",CLASSIFICATION[[#This Row],[Importance]])</f>
        <v>Development,Fetching data,+Integrated Data Sources,4</v>
      </c>
    </row>
    <row r="119" spans="2:11" x14ac:dyDescent="0.25">
      <c r="C119" t="s">
        <v>249</v>
      </c>
      <c r="E119" s="38">
        <v>-3</v>
      </c>
      <c r="F119" s="19" t="str" cm="1">
        <f t="array" ref="F119">_xlfn.XLOOKUP(TRUE,A$2:A119&lt;&gt;"",A$2:A119,,,-1)</f>
        <v>Development</v>
      </c>
      <c r="G119" s="19" t="str" cm="1">
        <f t="array" ref="G119">_xlfn.XLOOKUP(TRUE,B$2:B119&lt;&gt;"",B$2:B119,,,-1)</f>
        <v>Fetching data</v>
      </c>
      <c r="H119" s="19" t="str">
        <f>IF(CLASSIFICATION[[#This Row],[Classification (Generalized keyword)]]="",CLASSIFICATION[[#This Row],[Keyword]],CLASSIFICATION[[#This Row],[Classification (Generalized keyword)]])</f>
        <v>Cloud Services</v>
      </c>
      <c r="I119" s="19" t="str">
        <f>_xlfn.CONCAT(CLASSIFICATION[[#This Row],[Project Stage Aggr]],",",CLASSIFICATION[[#This Row],[Functional Scope Aggr]],",",CLASSIFICATION[[#This Row],[Keyword]])</f>
        <v>Development,Fetching data,Cloud Services</v>
      </c>
      <c r="J119" s="19" t="str">
        <f>_xlfn.CONCAT(CLASSIFICATION[[#This Row],[Project Stage Aggr]],",",CLASSIFICATION[[#This Row],[Functional Scope Aggr]],",",CLASSIFICATION[[#This Row],[Keyword Aggr]])</f>
        <v>Development,Fetching data,Cloud Services</v>
      </c>
      <c r="K119" s="19" t="str">
        <f>_xlfn.CONCAT(CLASSIFICATION[[#This Row],[Project Stage Aggr]],",",CLASSIFICATION[[#This Row],[Functional Scope Aggr]],",",CLASSIFICATION[[#This Row],[Keyword Aggr]],",",CLASSIFICATION[[#This Row],[Importance]])</f>
        <v>Development,Fetching data,Cloud Services,-3</v>
      </c>
    </row>
    <row r="120" spans="2:11" x14ac:dyDescent="0.25">
      <c r="C120" t="s">
        <v>362</v>
      </c>
      <c r="D120" t="s">
        <v>360</v>
      </c>
      <c r="E120" s="38">
        <v>-4</v>
      </c>
      <c r="F120" s="19" t="str" cm="1">
        <f t="array" ref="F120">_xlfn.XLOOKUP(TRUE,A$2:A120&lt;&gt;"",A$2:A120,,,-1)</f>
        <v>Development</v>
      </c>
      <c r="G120" s="19" t="str" cm="1">
        <f t="array" ref="G120">_xlfn.XLOOKUP(TRUE,B$2:B120&lt;&gt;"",B$2:B120,,,-1)</f>
        <v>Fetching data</v>
      </c>
      <c r="H120" s="19" t="str">
        <f>IF(CLASSIFICATION[[#This Row],[Classification (Generalized keyword)]]="",CLASSIFICATION[[#This Row],[Keyword]],CLASSIFICATION[[#This Row],[Classification (Generalized keyword)]])</f>
        <v>Custom Query Language</v>
      </c>
      <c r="I120" s="19" t="str">
        <f>_xlfn.CONCAT(CLASSIFICATION[[#This Row],[Project Stage Aggr]],",",CLASSIFICATION[[#This Row],[Functional Scope Aggr]],",",CLASSIFICATION[[#This Row],[Keyword]])</f>
        <v>Development,Fetching data,Custom Query Language (Power Query M formula)</v>
      </c>
      <c r="J120" s="19" t="str">
        <f>_xlfn.CONCAT(CLASSIFICATION[[#This Row],[Project Stage Aggr]],",",CLASSIFICATION[[#This Row],[Functional Scope Aggr]],",",CLASSIFICATION[[#This Row],[Keyword Aggr]])</f>
        <v>Development,Fetching data,Custom Query Language</v>
      </c>
      <c r="K120" s="19" t="str">
        <f>_xlfn.CONCAT(CLASSIFICATION[[#This Row],[Project Stage Aggr]],",",CLASSIFICATION[[#This Row],[Functional Scope Aggr]],",",CLASSIFICATION[[#This Row],[Keyword Aggr]],",",CLASSIFICATION[[#This Row],[Importance]])</f>
        <v>Development,Fetching data,Custom Query Language,-4</v>
      </c>
    </row>
    <row r="121" spans="2:11" x14ac:dyDescent="0.25">
      <c r="C121" t="s">
        <v>250</v>
      </c>
      <c r="E121" s="38">
        <v>-3</v>
      </c>
      <c r="F121" s="19" t="str" cm="1">
        <f t="array" ref="F121">_xlfn.XLOOKUP(TRUE,A$2:A121&lt;&gt;"",A$2:A121,,,-1)</f>
        <v>Development</v>
      </c>
      <c r="G121" s="19" t="str" cm="1">
        <f t="array" ref="G121">_xlfn.XLOOKUP(TRUE,B$2:B121&lt;&gt;"",B$2:B121,,,-1)</f>
        <v>Fetching data</v>
      </c>
      <c r="H121" s="19" t="str">
        <f>IF(CLASSIFICATION[[#This Row],[Classification (Generalized keyword)]]="",CLASSIFICATION[[#This Row],[Keyword]],CLASSIFICATION[[#This Row],[Classification (Generalized keyword)]])</f>
        <v>Data Source Integration</v>
      </c>
      <c r="I121" s="19" t="str">
        <f>_xlfn.CONCAT(CLASSIFICATION[[#This Row],[Project Stage Aggr]],",",CLASSIFICATION[[#This Row],[Functional Scope Aggr]],",",CLASSIFICATION[[#This Row],[Keyword]])</f>
        <v>Development,Fetching data,Data Source Integration</v>
      </c>
      <c r="J121" s="19" t="str">
        <f>_xlfn.CONCAT(CLASSIFICATION[[#This Row],[Project Stage Aggr]],",",CLASSIFICATION[[#This Row],[Functional Scope Aggr]],",",CLASSIFICATION[[#This Row],[Keyword Aggr]])</f>
        <v>Development,Fetching data,Data Source Integration</v>
      </c>
      <c r="K121" s="19" t="str">
        <f>_xlfn.CONCAT(CLASSIFICATION[[#This Row],[Project Stage Aggr]],",",CLASSIFICATION[[#This Row],[Functional Scope Aggr]],",",CLASSIFICATION[[#This Row],[Keyword Aggr]],",",CLASSIFICATION[[#This Row],[Importance]])</f>
        <v>Development,Fetching data,Data Source Integration,-3</v>
      </c>
    </row>
    <row r="122" spans="2:11" x14ac:dyDescent="0.25">
      <c r="C122" t="s">
        <v>220</v>
      </c>
      <c r="E122" s="38">
        <v>-3</v>
      </c>
      <c r="F122" s="19" t="str" cm="1">
        <f t="array" ref="F122">_xlfn.XLOOKUP(TRUE,A$2:A122&lt;&gt;"",A$2:A122,,,-1)</f>
        <v>Development</v>
      </c>
      <c r="G122" s="19" t="str" cm="1">
        <f t="array" ref="G122">_xlfn.XLOOKUP(TRUE,B$2:B122&lt;&gt;"",B$2:B122,,,-1)</f>
        <v>Fetching data</v>
      </c>
      <c r="H122" s="19" t="str">
        <f>IF(CLASSIFICATION[[#This Row],[Classification (Generalized keyword)]]="",CLASSIFICATION[[#This Row],[Keyword]],CLASSIFICATION[[#This Row],[Classification (Generalized keyword)]])</f>
        <v>Formulas</v>
      </c>
      <c r="I122" s="19" t="str">
        <f>_xlfn.CONCAT(CLASSIFICATION[[#This Row],[Project Stage Aggr]],",",CLASSIFICATION[[#This Row],[Functional Scope Aggr]],",",CLASSIFICATION[[#This Row],[Keyword]])</f>
        <v>Development,Fetching data,Formulas</v>
      </c>
      <c r="J122" s="19" t="str">
        <f>_xlfn.CONCAT(CLASSIFICATION[[#This Row],[Project Stage Aggr]],",",CLASSIFICATION[[#This Row],[Functional Scope Aggr]],",",CLASSIFICATION[[#This Row],[Keyword Aggr]])</f>
        <v>Development,Fetching data,Formulas</v>
      </c>
      <c r="K122" s="19" t="str">
        <f>_xlfn.CONCAT(CLASSIFICATION[[#This Row],[Project Stage Aggr]],",",CLASSIFICATION[[#This Row],[Functional Scope Aggr]],",",CLASSIFICATION[[#This Row],[Keyword Aggr]],",",CLASSIFICATION[[#This Row],[Importance]])</f>
        <v>Development,Fetching data,Formulas,-3</v>
      </c>
    </row>
    <row r="123" spans="2:11" x14ac:dyDescent="0.25">
      <c r="C123" t="s">
        <v>251</v>
      </c>
      <c r="E123" s="38">
        <v>-3</v>
      </c>
      <c r="F123" s="19" t="str" cm="1">
        <f t="array" ref="F123">_xlfn.XLOOKUP(TRUE,A$2:A123&lt;&gt;"",A$2:A123,,,-1)</f>
        <v>Development</v>
      </c>
      <c r="G123" s="19" t="str" cm="1">
        <f t="array" ref="G123">_xlfn.XLOOKUP(TRUE,B$2:B123&lt;&gt;"",B$2:B123,,,-1)</f>
        <v>Fetching data</v>
      </c>
      <c r="H123" s="19" t="str">
        <f>IF(CLASSIFICATION[[#This Row],[Classification (Generalized keyword)]]="",CLASSIFICATION[[#This Row],[Keyword]],CLASSIFICATION[[#This Row],[Classification (Generalized keyword)]])</f>
        <v>Local Storage</v>
      </c>
      <c r="I123" s="19" t="str">
        <f>_xlfn.CONCAT(CLASSIFICATION[[#This Row],[Project Stage Aggr]],",",CLASSIFICATION[[#This Row],[Functional Scope Aggr]],",",CLASSIFICATION[[#This Row],[Keyword]])</f>
        <v>Development,Fetching data,Local Storage</v>
      </c>
      <c r="J123" s="19" t="str">
        <f>_xlfn.CONCAT(CLASSIFICATION[[#This Row],[Project Stage Aggr]],",",CLASSIFICATION[[#This Row],[Functional Scope Aggr]],",",CLASSIFICATION[[#This Row],[Keyword Aggr]])</f>
        <v>Development,Fetching data,Local Storage</v>
      </c>
      <c r="K123" s="19" t="str">
        <f>_xlfn.CONCAT(CLASSIFICATION[[#This Row],[Project Stage Aggr]],",",CLASSIFICATION[[#This Row],[Functional Scope Aggr]],",",CLASSIFICATION[[#This Row],[Keyword Aggr]],",",CLASSIFICATION[[#This Row],[Importance]])</f>
        <v>Development,Fetching data,Local Storage,-3</v>
      </c>
    </row>
    <row r="124" spans="2:11" x14ac:dyDescent="0.25">
      <c r="C124" t="s">
        <v>252</v>
      </c>
      <c r="E124" s="38">
        <v>-4</v>
      </c>
      <c r="F124" s="19" t="str" cm="1">
        <f t="array" ref="F124">_xlfn.XLOOKUP(TRUE,A$2:A124&lt;&gt;"",A$2:A124,,,-1)</f>
        <v>Development</v>
      </c>
      <c r="G124" s="19" t="str" cm="1">
        <f t="array" ref="G124">_xlfn.XLOOKUP(TRUE,B$2:B124&lt;&gt;"",B$2:B124,,,-1)</f>
        <v>Fetching data</v>
      </c>
      <c r="H124" s="19" t="str">
        <f>IF(CLASSIFICATION[[#This Row],[Classification (Generalized keyword)]]="",CLASSIFICATION[[#This Row],[Keyword]],CLASSIFICATION[[#This Row],[Classification (Generalized keyword)]])</f>
        <v>OAuth</v>
      </c>
      <c r="I124" s="19" t="str">
        <f>_xlfn.CONCAT(CLASSIFICATION[[#This Row],[Project Stage Aggr]],",",CLASSIFICATION[[#This Row],[Functional Scope Aggr]],",",CLASSIFICATION[[#This Row],[Keyword]])</f>
        <v>Development,Fetching data,OAuth</v>
      </c>
      <c r="J124" s="19" t="str">
        <f>_xlfn.CONCAT(CLASSIFICATION[[#This Row],[Project Stage Aggr]],",",CLASSIFICATION[[#This Row],[Functional Scope Aggr]],",",CLASSIFICATION[[#This Row],[Keyword Aggr]])</f>
        <v>Development,Fetching data,OAuth</v>
      </c>
      <c r="K124" s="19" t="str">
        <f>_xlfn.CONCAT(CLASSIFICATION[[#This Row],[Project Stage Aggr]],",",CLASSIFICATION[[#This Row],[Functional Scope Aggr]],",",CLASSIFICATION[[#This Row],[Keyword Aggr]],",",CLASSIFICATION[[#This Row],[Importance]])</f>
        <v>Development,Fetching data,OAuth,-4</v>
      </c>
    </row>
    <row r="125" spans="2:11" x14ac:dyDescent="0.25">
      <c r="C125" t="s">
        <v>253</v>
      </c>
      <c r="D125" t="s">
        <v>229</v>
      </c>
      <c r="E125" s="38">
        <v>-4</v>
      </c>
      <c r="F125" s="19" t="str" cm="1">
        <f t="array" ref="F125">_xlfn.XLOOKUP(TRUE,A$2:A125&lt;&gt;"",A$2:A125,,,-1)</f>
        <v>Development</v>
      </c>
      <c r="G125" s="19" t="str" cm="1">
        <f t="array" ref="G125">_xlfn.XLOOKUP(TRUE,B$2:B125&lt;&gt;"",B$2:B125,,,-1)</f>
        <v>Fetching data</v>
      </c>
      <c r="H125" s="19" t="str">
        <f>IF(CLASSIFICATION[[#This Row],[Classification (Generalized keyword)]]="",CLASSIFICATION[[#This Row],[Keyword]],CLASSIFICATION[[#This Row],[Classification (Generalized keyword)]])</f>
        <v>REST API</v>
      </c>
      <c r="I125" s="19" t="str">
        <f>_xlfn.CONCAT(CLASSIFICATION[[#This Row],[Project Stage Aggr]],",",CLASSIFICATION[[#This Row],[Functional Scope Aggr]],",",CLASSIFICATION[[#This Row],[Keyword]])</f>
        <v>Development,Fetching data,REST API (Custom Connectors)</v>
      </c>
      <c r="J125" s="19" t="str">
        <f>_xlfn.CONCAT(CLASSIFICATION[[#This Row],[Project Stage Aggr]],",",CLASSIFICATION[[#This Row],[Functional Scope Aggr]],",",CLASSIFICATION[[#This Row],[Keyword Aggr]])</f>
        <v>Development,Fetching data,REST API</v>
      </c>
      <c r="K125" s="19" t="str">
        <f>_xlfn.CONCAT(CLASSIFICATION[[#This Row],[Project Stage Aggr]],",",CLASSIFICATION[[#This Row],[Functional Scope Aggr]],",",CLASSIFICATION[[#This Row],[Keyword Aggr]],",",CLASSIFICATION[[#This Row],[Importance]])</f>
        <v>Development,Fetching data,REST API,-4</v>
      </c>
    </row>
    <row r="126" spans="2:11" x14ac:dyDescent="0.25">
      <c r="C126" t="s">
        <v>254</v>
      </c>
      <c r="E126" s="38">
        <v>-4</v>
      </c>
      <c r="F126" s="19" t="str" cm="1">
        <f t="array" ref="F126">_xlfn.XLOOKUP(TRUE,A$2:A126&lt;&gt;"",A$2:A126,,,-1)</f>
        <v>Development</v>
      </c>
      <c r="G126" s="19" t="str" cm="1">
        <f t="array" ref="G126">_xlfn.XLOOKUP(TRUE,B$2:B126&lt;&gt;"",B$2:B126,,,-1)</f>
        <v>Fetching data</v>
      </c>
      <c r="H126" s="19" t="str">
        <f>IF(CLASSIFICATION[[#This Row],[Classification (Generalized keyword)]]="",CLASSIFICATION[[#This Row],[Keyword]],CLASSIFICATION[[#This Row],[Classification (Generalized keyword)]])</f>
        <v>SDK</v>
      </c>
      <c r="I126" s="19" t="str">
        <f>_xlfn.CONCAT(CLASSIFICATION[[#This Row],[Project Stage Aggr]],",",CLASSIFICATION[[#This Row],[Functional Scope Aggr]],",",CLASSIFICATION[[#This Row],[Keyword]])</f>
        <v>Development,Fetching data,SDK</v>
      </c>
      <c r="J126" s="19" t="str">
        <f>_xlfn.CONCAT(CLASSIFICATION[[#This Row],[Project Stage Aggr]],",",CLASSIFICATION[[#This Row],[Functional Scope Aggr]],",",CLASSIFICATION[[#This Row],[Keyword Aggr]])</f>
        <v>Development,Fetching data,SDK</v>
      </c>
      <c r="K126" s="19" t="str">
        <f>_xlfn.CONCAT(CLASSIFICATION[[#This Row],[Project Stage Aggr]],",",CLASSIFICATION[[#This Row],[Functional Scope Aggr]],",",CLASSIFICATION[[#This Row],[Keyword Aggr]],",",CLASSIFICATION[[#This Row],[Importance]])</f>
        <v>Development,Fetching data,SDK,-4</v>
      </c>
    </row>
    <row r="127" spans="2:11" x14ac:dyDescent="0.25">
      <c r="C127" t="s">
        <v>255</v>
      </c>
      <c r="D127" t="s">
        <v>241</v>
      </c>
      <c r="E127" s="38">
        <v>-4</v>
      </c>
      <c r="F127" s="19" t="str" cm="1">
        <f t="array" ref="F127">_xlfn.XLOOKUP(TRUE,A$2:A127&lt;&gt;"",A$2:A127,,,-1)</f>
        <v>Development</v>
      </c>
      <c r="G127" s="19" t="str" cm="1">
        <f t="array" ref="G127">_xlfn.XLOOKUP(TRUE,B$2:B127&lt;&gt;"",B$2:B127,,,-1)</f>
        <v>Fetching data</v>
      </c>
      <c r="H127" s="19" t="str">
        <f>IF(CLASSIFICATION[[#This Row],[Classification (Generalized keyword)]]="",CLASSIFICATION[[#This Row],[Keyword]],CLASSIFICATION[[#This Row],[Classification (Generalized keyword)]])</f>
        <v>SQL</v>
      </c>
      <c r="I127" s="19" t="str">
        <f>_xlfn.CONCAT(CLASSIFICATION[[#This Row],[Project Stage Aggr]],",",CLASSIFICATION[[#This Row],[Functional Scope Aggr]],",",CLASSIFICATION[[#This Row],[Keyword]])</f>
        <v>Development,Fetching data,SQL (Azure SQL Database)</v>
      </c>
      <c r="J127" s="19" t="str">
        <f>_xlfn.CONCAT(CLASSIFICATION[[#This Row],[Project Stage Aggr]],",",CLASSIFICATION[[#This Row],[Functional Scope Aggr]],",",CLASSIFICATION[[#This Row],[Keyword Aggr]])</f>
        <v>Development,Fetching data,SQL</v>
      </c>
      <c r="K127" s="19" t="str">
        <f>_xlfn.CONCAT(CLASSIFICATION[[#This Row],[Project Stage Aggr]],",",CLASSIFICATION[[#This Row],[Functional Scope Aggr]],",",CLASSIFICATION[[#This Row],[Keyword Aggr]],",",CLASSIFICATION[[#This Row],[Importance]])</f>
        <v>Development,Fetching data,SQL,-4</v>
      </c>
    </row>
    <row r="128" spans="2:11" x14ac:dyDescent="0.25">
      <c r="C128" t="s">
        <v>256</v>
      </c>
      <c r="D128" t="s">
        <v>241</v>
      </c>
      <c r="E128" s="38">
        <v>-4</v>
      </c>
      <c r="F128" s="19" t="str" cm="1">
        <f t="array" ref="F128">_xlfn.XLOOKUP(TRUE,A$2:A128&lt;&gt;"",A$2:A128,,,-1)</f>
        <v>Development</v>
      </c>
      <c r="G128" s="19" t="str" cm="1">
        <f t="array" ref="G128">_xlfn.XLOOKUP(TRUE,B$2:B128&lt;&gt;"",B$2:B128,,,-1)</f>
        <v>Fetching data</v>
      </c>
      <c r="H128" s="19" t="str">
        <f>IF(CLASSIFICATION[[#This Row],[Classification (Generalized keyword)]]="",CLASSIFICATION[[#This Row],[Keyword]],CLASSIFICATION[[#This Row],[Classification (Generalized keyword)]])</f>
        <v>SQL</v>
      </c>
      <c r="I128" s="19" t="str">
        <f>_xlfn.CONCAT(CLASSIFICATION[[#This Row],[Project Stage Aggr]],",",CLASSIFICATION[[#This Row],[Functional Scope Aggr]],",",CLASSIFICATION[[#This Row],[Keyword]])</f>
        <v>Development,Fetching data,SQL Databases. JDBC</v>
      </c>
      <c r="J128" s="19" t="str">
        <f>_xlfn.CONCAT(CLASSIFICATION[[#This Row],[Project Stage Aggr]],",",CLASSIFICATION[[#This Row],[Functional Scope Aggr]],",",CLASSIFICATION[[#This Row],[Keyword Aggr]])</f>
        <v>Development,Fetching data,SQL</v>
      </c>
      <c r="K128" s="19" t="str">
        <f>_xlfn.CONCAT(CLASSIFICATION[[#This Row],[Project Stage Aggr]],",",CLASSIFICATION[[#This Row],[Functional Scope Aggr]],",",CLASSIFICATION[[#This Row],[Keyword Aggr]],",",CLASSIFICATION[[#This Row],[Importance]])</f>
        <v>Development,Fetching data,SQL,-4</v>
      </c>
    </row>
    <row r="129" spans="2:11" x14ac:dyDescent="0.25">
      <c r="C129" t="s">
        <v>257</v>
      </c>
      <c r="D129" t="s">
        <v>241</v>
      </c>
      <c r="E129" s="38">
        <v>-4</v>
      </c>
      <c r="F129" s="19" t="str" cm="1">
        <f t="array" ref="F129">_xlfn.XLOOKUP(TRUE,A$2:A129&lt;&gt;"",A$2:A129,,,-1)</f>
        <v>Development</v>
      </c>
      <c r="G129" s="19" t="str" cm="1">
        <f t="array" ref="G129">_xlfn.XLOOKUP(TRUE,B$2:B129&lt;&gt;"",B$2:B129,,,-1)</f>
        <v>Fetching data</v>
      </c>
      <c r="H129" s="19" t="str">
        <f>IF(CLASSIFICATION[[#This Row],[Classification (Generalized keyword)]]="",CLASSIFICATION[[#This Row],[Keyword]],CLASSIFICATION[[#This Row],[Classification (Generalized keyword)]])</f>
        <v>SQL</v>
      </c>
      <c r="I129" s="19" t="str">
        <f>_xlfn.CONCAT(CLASSIFICATION[[#This Row],[Project Stage Aggr]],",",CLASSIFICATION[[#This Row],[Functional Scope Aggr]],",",CLASSIFICATION[[#This Row],[Keyword]])</f>
        <v>Development,Fetching data,SQL Queries</v>
      </c>
      <c r="J129" s="19" t="str">
        <f>_xlfn.CONCAT(CLASSIFICATION[[#This Row],[Project Stage Aggr]],",",CLASSIFICATION[[#This Row],[Functional Scope Aggr]],",",CLASSIFICATION[[#This Row],[Keyword Aggr]])</f>
        <v>Development,Fetching data,SQL</v>
      </c>
      <c r="K129" s="19" t="str">
        <f>_xlfn.CONCAT(CLASSIFICATION[[#This Row],[Project Stage Aggr]],",",CLASSIFICATION[[#This Row],[Functional Scope Aggr]],",",CLASSIFICATION[[#This Row],[Keyword Aggr]],",",CLASSIFICATION[[#This Row],[Importance]])</f>
        <v>Development,Fetching data,SQL,-4</v>
      </c>
    </row>
    <row r="130" spans="2:11" x14ac:dyDescent="0.25">
      <c r="C130" t="s">
        <v>258</v>
      </c>
      <c r="E130" s="38">
        <v>-2</v>
      </c>
      <c r="F130" s="19" t="str" cm="1">
        <f t="array" ref="F130">_xlfn.XLOOKUP(TRUE,A$2:A130&lt;&gt;"",A$2:A130,,,-1)</f>
        <v>Development</v>
      </c>
      <c r="G130" s="19" t="str" cm="1">
        <f t="array" ref="G130">_xlfn.XLOOKUP(TRUE,B$2:B130&lt;&gt;"",B$2:B130,,,-1)</f>
        <v>Fetching data</v>
      </c>
      <c r="H130" s="19" t="str">
        <f>IF(CLASSIFICATION[[#This Row],[Classification (Generalized keyword)]]="",CLASSIFICATION[[#This Row],[Keyword]],CLASSIFICATION[[#This Row],[Classification (Generalized keyword)]])</f>
        <v>URL</v>
      </c>
      <c r="I130" s="19" t="str">
        <f>_xlfn.CONCAT(CLASSIFICATION[[#This Row],[Project Stage Aggr]],",",CLASSIFICATION[[#This Row],[Functional Scope Aggr]],",",CLASSIFICATION[[#This Row],[Keyword]])</f>
        <v>Development,Fetching data,URL</v>
      </c>
      <c r="J130" s="19" t="str">
        <f>_xlfn.CONCAT(CLASSIFICATION[[#This Row],[Project Stage Aggr]],",",CLASSIFICATION[[#This Row],[Functional Scope Aggr]],",",CLASSIFICATION[[#This Row],[Keyword Aggr]])</f>
        <v>Development,Fetching data,URL</v>
      </c>
      <c r="K130" s="19" t="str">
        <f>_xlfn.CONCAT(CLASSIFICATION[[#This Row],[Project Stage Aggr]],",",CLASSIFICATION[[#This Row],[Functional Scope Aggr]],",",CLASSIFICATION[[#This Row],[Keyword Aggr]],",",CLASSIFICATION[[#This Row],[Importance]])</f>
        <v>Development,Fetching data,URL,-2</v>
      </c>
    </row>
    <row r="131" spans="2:11" x14ac:dyDescent="0.25">
      <c r="C131" t="s">
        <v>259</v>
      </c>
      <c r="E131" s="38">
        <v>-4</v>
      </c>
      <c r="F131" s="19" t="str" cm="1">
        <f t="array" ref="F131">_xlfn.XLOOKUP(TRUE,A$2:A131&lt;&gt;"",A$2:A131,,,-1)</f>
        <v>Development</v>
      </c>
      <c r="G131" s="19" t="str" cm="1">
        <f t="array" ref="G131">_xlfn.XLOOKUP(TRUE,B$2:B131&lt;&gt;"",B$2:B131,,,-1)</f>
        <v>Fetching data</v>
      </c>
      <c r="H131" s="19" t="str">
        <f>IF(CLASSIFICATION[[#This Row],[Classification (Generalized keyword)]]="",CLASSIFICATION[[#This Row],[Keyword]],CLASSIFICATION[[#This Row],[Classification (Generalized keyword)]])</f>
        <v>Web API</v>
      </c>
      <c r="I131" s="19" t="str">
        <f>_xlfn.CONCAT(CLASSIFICATION[[#This Row],[Project Stage Aggr]],",",CLASSIFICATION[[#This Row],[Functional Scope Aggr]],",",CLASSIFICATION[[#This Row],[Keyword]])</f>
        <v>Development,Fetching data,Web API</v>
      </c>
      <c r="J131" s="19" t="str">
        <f>_xlfn.CONCAT(CLASSIFICATION[[#This Row],[Project Stage Aggr]],",",CLASSIFICATION[[#This Row],[Functional Scope Aggr]],",",CLASSIFICATION[[#This Row],[Keyword Aggr]])</f>
        <v>Development,Fetching data,Web API</v>
      </c>
      <c r="K131" s="19" t="str">
        <f>_xlfn.CONCAT(CLASSIFICATION[[#This Row],[Project Stage Aggr]],",",CLASSIFICATION[[#This Row],[Functional Scope Aggr]],",",CLASSIFICATION[[#This Row],[Keyword Aggr]],",",CLASSIFICATION[[#This Row],[Importance]])</f>
        <v>Development,Fetching data,Web API,-4</v>
      </c>
    </row>
    <row r="132" spans="2:11" x14ac:dyDescent="0.25">
      <c r="C132" t="s">
        <v>243</v>
      </c>
      <c r="D132" t="s">
        <v>259</v>
      </c>
      <c r="E132" s="38">
        <v>-4</v>
      </c>
      <c r="F132" s="19" t="str" cm="1">
        <f t="array" ref="F132">_xlfn.XLOOKUP(TRUE,A$2:A132&lt;&gt;"",A$2:A132,,,-1)</f>
        <v>Development</v>
      </c>
      <c r="G132" s="19" t="str" cm="1">
        <f t="array" ref="G132">_xlfn.XLOOKUP(TRUE,B$2:B132&lt;&gt;"",B$2:B132,,,-1)</f>
        <v>Fetching data</v>
      </c>
      <c r="H132" s="19" t="str">
        <f>IF(CLASSIFICATION[[#This Row],[Classification (Generalized keyword)]]="",CLASSIFICATION[[#This Row],[Keyword]],CLASSIFICATION[[#This Row],[Classification (Generalized keyword)]])</f>
        <v>Web API</v>
      </c>
      <c r="I132" s="19" t="str">
        <f>_xlfn.CONCAT(CLASSIFICATION[[#This Row],[Project Stage Aggr]],",",CLASSIFICATION[[#This Row],[Functional Scope Aggr]],",",CLASSIFICATION[[#This Row],[Keyword]])</f>
        <v>Development,Fetching data,Web API (Microsoft Dataverse)</v>
      </c>
      <c r="J132" s="19" t="str">
        <f>_xlfn.CONCAT(CLASSIFICATION[[#This Row],[Project Stage Aggr]],",",CLASSIFICATION[[#This Row],[Functional Scope Aggr]],",",CLASSIFICATION[[#This Row],[Keyword Aggr]])</f>
        <v>Development,Fetching data,Web API</v>
      </c>
      <c r="K132" s="19" t="str">
        <f>_xlfn.CONCAT(CLASSIFICATION[[#This Row],[Project Stage Aggr]],",",CLASSIFICATION[[#This Row],[Functional Scope Aggr]],",",CLASSIFICATION[[#This Row],[Keyword Aggr]],",",CLASSIFICATION[[#This Row],[Importance]])</f>
        <v>Development,Fetching data,Web API,-4</v>
      </c>
    </row>
    <row r="133" spans="2:11" x14ac:dyDescent="0.25">
      <c r="B133" t="s">
        <v>33</v>
      </c>
      <c r="C133" s="6" t="s">
        <v>420</v>
      </c>
      <c r="D133" s="6" t="s">
        <v>364</v>
      </c>
      <c r="E133" s="39">
        <v>5</v>
      </c>
      <c r="F133" s="19" t="str" cm="1">
        <f t="array" ref="F133">_xlfn.XLOOKUP(TRUE,A$2:A133&lt;&gt;"",A$2:A133,,,-1)</f>
        <v>Development</v>
      </c>
      <c r="G133" s="19" t="str" cm="1">
        <f t="array" ref="G133">_xlfn.XLOOKUP(TRUE,B$2:B133&lt;&gt;"",B$2:B133,,,-1)</f>
        <v>GUI design and development</v>
      </c>
      <c r="H133" s="19" t="str">
        <f>IF(CLASSIFICATION[[#This Row],[Classification (Generalized keyword)]]="",CLASSIFICATION[[#This Row],[Keyword]],CLASSIFICATION[[#This Row],[Classification (Generalized keyword)]])</f>
        <v>+AI Support</v>
      </c>
      <c r="I133" s="19" t="str">
        <f>_xlfn.CONCAT(CLASSIFICATION[[#This Row],[Project Stage Aggr]],",",CLASSIFICATION[[#This Row],[Functional Scope Aggr]],",",CLASSIFICATION[[#This Row],[Keyword]])</f>
        <v>Development,GUI design and development,+AI Support (Copilot - Build apps through conversation)</v>
      </c>
      <c r="J133" s="19" t="str">
        <f>_xlfn.CONCAT(CLASSIFICATION[[#This Row],[Project Stage Aggr]],",",CLASSIFICATION[[#This Row],[Functional Scope Aggr]],",",CLASSIFICATION[[#This Row],[Keyword Aggr]])</f>
        <v>Development,GUI design and development,+AI Support</v>
      </c>
      <c r="K133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development,+AI Support,5</v>
      </c>
    </row>
    <row r="134" spans="2:11" x14ac:dyDescent="0.25">
      <c r="C134" t="s">
        <v>166</v>
      </c>
      <c r="E134" s="38">
        <v>5</v>
      </c>
      <c r="F134" s="19" t="str" cm="1">
        <f t="array" ref="F134">_xlfn.XLOOKUP(TRUE,A$2:A134&lt;&gt;"",A$2:A134,,,-1)</f>
        <v>Development</v>
      </c>
      <c r="G134" s="19" t="str" cm="1">
        <f t="array" ref="G134">_xlfn.XLOOKUP(TRUE,B$2:B134&lt;&gt;"",B$2:B134,,,-1)</f>
        <v>GUI design and development</v>
      </c>
      <c r="H134" s="19" t="str">
        <f>IF(CLASSIFICATION[[#This Row],[Classification (Generalized keyword)]]="",CLASSIFICATION[[#This Row],[Keyword]],CLASSIFICATION[[#This Row],[Classification (Generalized keyword)]])</f>
        <v>+Business Data Types</v>
      </c>
      <c r="I134" s="19" t="str">
        <f>_xlfn.CONCAT(CLASSIFICATION[[#This Row],[Project Stage Aggr]],",",CLASSIFICATION[[#This Row],[Functional Scope Aggr]],",",CLASSIFICATION[[#This Row],[Keyword]])</f>
        <v>Development,GUI design and development,+Business Data Types</v>
      </c>
      <c r="J134" s="19" t="str">
        <f>_xlfn.CONCAT(CLASSIFICATION[[#This Row],[Project Stage Aggr]],",",CLASSIFICATION[[#This Row],[Functional Scope Aggr]],",",CLASSIFICATION[[#This Row],[Keyword Aggr]])</f>
        <v>Development,GUI design and development,+Business Data Types</v>
      </c>
      <c r="K134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development,+Business Data Types,5</v>
      </c>
    </row>
    <row r="135" spans="2:11" x14ac:dyDescent="0.25">
      <c r="C135" t="s">
        <v>260</v>
      </c>
      <c r="E135" s="38">
        <v>4</v>
      </c>
      <c r="F135" s="19" t="str" cm="1">
        <f t="array" ref="F135">_xlfn.XLOOKUP(TRUE,A$2:A135&lt;&gt;"",A$2:A135,,,-1)</f>
        <v>Development</v>
      </c>
      <c r="G135" s="19" t="str" cm="1">
        <f t="array" ref="G135">_xlfn.XLOOKUP(TRUE,B$2:B135&lt;&gt;"",B$2:B135,,,-1)</f>
        <v>GUI design and development</v>
      </c>
      <c r="H135" s="19" t="str">
        <f>IF(CLASSIFICATION[[#This Row],[Classification (Generalized keyword)]]="",CLASSIFICATION[[#This Row],[Keyword]],CLASSIFICATION[[#This Row],[Classification (Generalized keyword)]])</f>
        <v>+Conditional Formatting</v>
      </c>
      <c r="I135" s="19" t="str">
        <f>_xlfn.CONCAT(CLASSIFICATION[[#This Row],[Project Stage Aggr]],",",CLASSIFICATION[[#This Row],[Functional Scope Aggr]],",",CLASSIFICATION[[#This Row],[Keyword]])</f>
        <v>Development,GUI design and development,+Conditional Formatting</v>
      </c>
      <c r="J135" s="19" t="str">
        <f>_xlfn.CONCAT(CLASSIFICATION[[#This Row],[Project Stage Aggr]],",",CLASSIFICATION[[#This Row],[Functional Scope Aggr]],",",CLASSIFICATION[[#This Row],[Keyword Aggr]])</f>
        <v>Development,GUI design and development,+Conditional Formatting</v>
      </c>
      <c r="K135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development,+Conditional Formatting,4</v>
      </c>
    </row>
    <row r="136" spans="2:11" x14ac:dyDescent="0.25">
      <c r="C136" t="s">
        <v>261</v>
      </c>
      <c r="D136" s="6" t="s">
        <v>421</v>
      </c>
      <c r="E136" s="39">
        <v>4</v>
      </c>
      <c r="F136" s="19" t="str" cm="1">
        <f t="array" ref="F136">_xlfn.XLOOKUP(TRUE,A$2:A136&lt;&gt;"",A$2:A136,,,-1)</f>
        <v>Development</v>
      </c>
      <c r="G136" s="19" t="str" cm="1">
        <f t="array" ref="G136">_xlfn.XLOOKUP(TRUE,B$2:B136&lt;&gt;"",B$2:B136,,,-1)</f>
        <v>GUI design and development</v>
      </c>
      <c r="H136" s="19" t="str">
        <f>IF(CLASSIFICATION[[#This Row],[Classification (Generalized keyword)]]="",CLASSIFICATION[[#This Row],[Keyword]],CLASSIFICATION[[#This Row],[Classification (Generalized keyword)]])</f>
        <v>+GUI Style Editor</v>
      </c>
      <c r="I136" s="19" t="str">
        <f>_xlfn.CONCAT(CLASSIFICATION[[#This Row],[Project Stage Aggr]],",",CLASSIFICATION[[#This Row],[Functional Scope Aggr]],",",CLASSIFICATION[[#This Row],[Keyword]])</f>
        <v xml:space="preserve">Development,GUI design and development,+GUI Style Editor </v>
      </c>
      <c r="J136" s="19" t="str">
        <f>_xlfn.CONCAT(CLASSIFICATION[[#This Row],[Project Stage Aggr]],",",CLASSIFICATION[[#This Row],[Functional Scope Aggr]],",",CLASSIFICATION[[#This Row],[Keyword Aggr]])</f>
        <v>Development,GUI design and development,+GUI Style Editor</v>
      </c>
      <c r="K136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development,+GUI Style Editor,4</v>
      </c>
    </row>
    <row r="137" spans="2:11" x14ac:dyDescent="0.25">
      <c r="C137" t="s">
        <v>262</v>
      </c>
      <c r="E137" s="38">
        <v>3</v>
      </c>
      <c r="F137" s="19" t="str" cm="1">
        <f t="array" ref="F137">_xlfn.XLOOKUP(TRUE,A$2:A137&lt;&gt;"",A$2:A137,,,-1)</f>
        <v>Development</v>
      </c>
      <c r="G137" s="19" t="str" cm="1">
        <f t="array" ref="G137">_xlfn.XLOOKUP(TRUE,B$2:B137&lt;&gt;"",B$2:B137,,,-1)</f>
        <v>GUI design and development</v>
      </c>
      <c r="H137" s="19" t="str">
        <f>IF(CLASSIFICATION[[#This Row],[Classification (Generalized keyword)]]="",CLASSIFICATION[[#This Row],[Keyword]],CLASSIFICATION[[#This Row],[Classification (Generalized keyword)]])</f>
        <v>+Templatized Formulas</v>
      </c>
      <c r="I137" s="19" t="str">
        <f>_xlfn.CONCAT(CLASSIFICATION[[#This Row],[Project Stage Aggr]],",",CLASSIFICATION[[#This Row],[Functional Scope Aggr]],",",CLASSIFICATION[[#This Row],[Keyword]])</f>
        <v>Development,GUI design and development,+Templatized Formulas</v>
      </c>
      <c r="J137" s="19" t="str">
        <f>_xlfn.CONCAT(CLASSIFICATION[[#This Row],[Project Stage Aggr]],",",CLASSIFICATION[[#This Row],[Functional Scope Aggr]],",",CLASSIFICATION[[#This Row],[Keyword Aggr]])</f>
        <v>Development,GUI design and development,+Templatized Formulas</v>
      </c>
      <c r="K137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development,+Templatized Formulas,3</v>
      </c>
    </row>
    <row r="138" spans="2:11" x14ac:dyDescent="0.25">
      <c r="C138" t="s">
        <v>263</v>
      </c>
      <c r="E138" s="38">
        <v>3</v>
      </c>
      <c r="F138" s="19" t="str" cm="1">
        <f t="array" ref="F138">_xlfn.XLOOKUP(TRUE,A$2:A138&lt;&gt;"",A$2:A138,,,-1)</f>
        <v>Development</v>
      </c>
      <c r="G138" s="19" t="str" cm="1">
        <f t="array" ref="G138">_xlfn.XLOOKUP(TRUE,B$2:B138&lt;&gt;"",B$2:B138,,,-1)</f>
        <v>GUI design and development</v>
      </c>
      <c r="H138" s="19" t="str">
        <f>IF(CLASSIFICATION[[#This Row],[Classification (Generalized keyword)]]="",CLASSIFICATION[[#This Row],[Keyword]],CLASSIFICATION[[#This Row],[Classification (Generalized keyword)]])</f>
        <v>+UI Branding</v>
      </c>
      <c r="I138" s="19" t="str">
        <f>_xlfn.CONCAT(CLASSIFICATION[[#This Row],[Project Stage Aggr]],",",CLASSIFICATION[[#This Row],[Functional Scope Aggr]],",",CLASSIFICATION[[#This Row],[Keyword]])</f>
        <v>Development,GUI design and development,+UI Branding</v>
      </c>
      <c r="J138" s="19" t="str">
        <f>_xlfn.CONCAT(CLASSIFICATION[[#This Row],[Project Stage Aggr]],",",CLASSIFICATION[[#This Row],[Functional Scope Aggr]],",",CLASSIFICATION[[#This Row],[Keyword Aggr]])</f>
        <v>Development,GUI design and development,+UI Branding</v>
      </c>
      <c r="K138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development,+UI Branding,3</v>
      </c>
    </row>
    <row r="139" spans="2:11" x14ac:dyDescent="0.25">
      <c r="C139" t="s">
        <v>195</v>
      </c>
      <c r="E139" s="38">
        <v>5</v>
      </c>
      <c r="F139" s="19" t="str" cm="1">
        <f t="array" ref="F139">_xlfn.XLOOKUP(TRUE,A$2:A139&lt;&gt;"",A$2:A139,,,-1)</f>
        <v>Development</v>
      </c>
      <c r="G139" s="19" t="str" cm="1">
        <f t="array" ref="G139">_xlfn.XLOOKUP(TRUE,B$2:B139&lt;&gt;"",B$2:B139,,,-1)</f>
        <v>GUI design and development</v>
      </c>
      <c r="H139" s="19" t="str">
        <f>IF(CLASSIFICATION[[#This Row],[Classification (Generalized keyword)]]="",CLASSIFICATION[[#This Row],[Keyword]],CLASSIFICATION[[#This Row],[Classification (Generalized keyword)]])</f>
        <v>+View Types</v>
      </c>
      <c r="I139" s="19" t="str">
        <f>_xlfn.CONCAT(CLASSIFICATION[[#This Row],[Project Stage Aggr]],",",CLASSIFICATION[[#This Row],[Functional Scope Aggr]],",",CLASSIFICATION[[#This Row],[Keyword]])</f>
        <v>Development,GUI design and development,+View Types</v>
      </c>
      <c r="J139" s="19" t="str">
        <f>_xlfn.CONCAT(CLASSIFICATION[[#This Row],[Project Stage Aggr]],",",CLASSIFICATION[[#This Row],[Functional Scope Aggr]],",",CLASSIFICATION[[#This Row],[Keyword Aggr]])</f>
        <v>Development,GUI design and development,+View Types</v>
      </c>
      <c r="K139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development,+View Types,5</v>
      </c>
    </row>
    <row r="140" spans="2:11" x14ac:dyDescent="0.25">
      <c r="C140" t="s">
        <v>264</v>
      </c>
      <c r="E140" s="38">
        <v>5</v>
      </c>
      <c r="F140" s="19" t="str" cm="1">
        <f t="array" ref="F140">_xlfn.XLOOKUP(TRUE,A$2:A140&lt;&gt;"",A$2:A140,,,-1)</f>
        <v>Development</v>
      </c>
      <c r="G140" s="19" t="str" cm="1">
        <f t="array" ref="G140">_xlfn.XLOOKUP(TRUE,B$2:B140&lt;&gt;"",B$2:B140,,,-1)</f>
        <v>GUI design and development</v>
      </c>
      <c r="H140" s="19" t="str">
        <f>IF(CLASSIFICATION[[#This Row],[Classification (Generalized keyword)]]="",CLASSIFICATION[[#This Row],[Keyword]],CLASSIFICATION[[#This Row],[Classification (Generalized keyword)]])</f>
        <v>+WYSIWYG</v>
      </c>
      <c r="I140" s="19" t="str">
        <f>_xlfn.CONCAT(CLASSIFICATION[[#This Row],[Project Stage Aggr]],",",CLASSIFICATION[[#This Row],[Functional Scope Aggr]],",",CLASSIFICATION[[#This Row],[Keyword]])</f>
        <v>Development,GUI design and development,+WYSIWYG</v>
      </c>
      <c r="J140" s="19" t="str">
        <f>_xlfn.CONCAT(CLASSIFICATION[[#This Row],[Project Stage Aggr]],",",CLASSIFICATION[[#This Row],[Functional Scope Aggr]],",",CLASSIFICATION[[#This Row],[Keyword Aggr]])</f>
        <v>Development,GUI design and development,+WYSIWYG</v>
      </c>
      <c r="K140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development,+WYSIWYG,5</v>
      </c>
    </row>
    <row r="141" spans="2:11" x14ac:dyDescent="0.25">
      <c r="C141" t="s">
        <v>265</v>
      </c>
      <c r="D141" t="s">
        <v>365</v>
      </c>
      <c r="E141" s="38">
        <v>-4</v>
      </c>
      <c r="F141" s="19" t="str" cm="1">
        <f t="array" ref="F141">_xlfn.XLOOKUP(TRUE,A$2:A141&lt;&gt;"",A$2:A141,,,-1)</f>
        <v>Development</v>
      </c>
      <c r="G141" s="19" t="str" cm="1">
        <f t="array" ref="G141">_xlfn.XLOOKUP(TRUE,B$2:B141&lt;&gt;"",B$2:B141,,,-1)</f>
        <v>GUI design and development</v>
      </c>
      <c r="H141" s="19" t="str">
        <f>IF(CLASSIFICATION[[#This Row],[Classification (Generalized keyword)]]="",CLASSIFICATION[[#This Row],[Keyword]],CLASSIFICATION[[#This Row],[Classification (Generalized keyword)]])</f>
        <v>CSS/SCSS</v>
      </c>
      <c r="I141" s="19" t="str">
        <f>_xlfn.CONCAT(CLASSIFICATION[[#This Row],[Project Stage Aggr]],",",CLASSIFICATION[[#This Row],[Functional Scope Aggr]],",",CLASSIFICATION[[#This Row],[Keyword]])</f>
        <v>Development,GUI design and development,CSS</v>
      </c>
      <c r="J141" s="19" t="str">
        <f>_xlfn.CONCAT(CLASSIFICATION[[#This Row],[Project Stage Aggr]],",",CLASSIFICATION[[#This Row],[Functional Scope Aggr]],",",CLASSIFICATION[[#This Row],[Keyword Aggr]])</f>
        <v>Development,GUI design and development,CSS/SCSS</v>
      </c>
      <c r="K141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development,CSS/SCSS,-4</v>
      </c>
    </row>
    <row r="142" spans="2:11" x14ac:dyDescent="0.25">
      <c r="C142" t="s">
        <v>266</v>
      </c>
      <c r="E142" s="38">
        <v>-2</v>
      </c>
      <c r="F142" s="19" t="str" cm="1">
        <f t="array" ref="F142">_xlfn.XLOOKUP(TRUE,A$2:A142&lt;&gt;"",A$2:A142,,,-1)</f>
        <v>Development</v>
      </c>
      <c r="G142" s="19" t="str" cm="1">
        <f t="array" ref="G142">_xlfn.XLOOKUP(TRUE,B$2:B142&lt;&gt;"",B$2:B142,,,-1)</f>
        <v>GUI design and development</v>
      </c>
      <c r="H142" s="19" t="str">
        <f>IF(CLASSIFICATION[[#This Row],[Classification (Generalized keyword)]]="",CLASSIFICATION[[#This Row],[Keyword]],CLASSIFICATION[[#This Row],[Classification (Generalized keyword)]])</f>
        <v>Event Propagation</v>
      </c>
      <c r="I142" s="19" t="str">
        <f>_xlfn.CONCAT(CLASSIFICATION[[#This Row],[Project Stage Aggr]],",",CLASSIFICATION[[#This Row],[Functional Scope Aggr]],",",CLASSIFICATION[[#This Row],[Keyword]])</f>
        <v>Development,GUI design and development,Event Propagation</v>
      </c>
      <c r="J142" s="19" t="str">
        <f>_xlfn.CONCAT(CLASSIFICATION[[#This Row],[Project Stage Aggr]],",",CLASSIFICATION[[#This Row],[Functional Scope Aggr]],",",CLASSIFICATION[[#This Row],[Keyword Aggr]])</f>
        <v>Development,GUI design and development,Event Propagation</v>
      </c>
      <c r="K142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development,Event Propagation,-2</v>
      </c>
    </row>
    <row r="143" spans="2:11" x14ac:dyDescent="0.25">
      <c r="C143" t="s">
        <v>267</v>
      </c>
      <c r="D143" t="s">
        <v>200</v>
      </c>
      <c r="E143" s="38">
        <v>-4</v>
      </c>
      <c r="F143" s="19" t="str" cm="1">
        <f t="array" ref="F143">_xlfn.XLOOKUP(TRUE,A$2:A143&lt;&gt;"",A$2:A143,,,-1)</f>
        <v>Development</v>
      </c>
      <c r="G143" s="19" t="str" cm="1">
        <f t="array" ref="G143">_xlfn.XLOOKUP(TRUE,B$2:B143&lt;&gt;"",B$2:B143,,,-1)</f>
        <v>GUI design and development</v>
      </c>
      <c r="H143" s="19" t="str">
        <f>IF(CLASSIFICATION[[#This Row],[Classification (Generalized keyword)]]="",CLASSIFICATION[[#This Row],[Keyword]],CLASSIFICATION[[#This Row],[Classification (Generalized keyword)]])</f>
        <v>Responsive Web Design</v>
      </c>
      <c r="I143" s="19" t="str">
        <f>_xlfn.CONCAT(CLASSIFICATION[[#This Row],[Project Stage Aggr]],",",CLASSIFICATION[[#This Row],[Functional Scope Aggr]],",",CLASSIFICATION[[#This Row],[Keyword]])</f>
        <v>Development,GUI design and development,Grid</v>
      </c>
      <c r="J143" s="19" t="str">
        <f>_xlfn.CONCAT(CLASSIFICATION[[#This Row],[Project Stage Aggr]],",",CLASSIFICATION[[#This Row],[Functional Scope Aggr]],",",CLASSIFICATION[[#This Row],[Keyword Aggr]])</f>
        <v>Development,GUI design and development,Responsive Web Design</v>
      </c>
      <c r="K143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development,Responsive Web Design,-4</v>
      </c>
    </row>
    <row r="144" spans="2:11" x14ac:dyDescent="0.25">
      <c r="C144" t="s">
        <v>268</v>
      </c>
      <c r="E144" s="38">
        <v>-4</v>
      </c>
      <c r="F144" s="19" t="str" cm="1">
        <f t="array" ref="F144">_xlfn.XLOOKUP(TRUE,A$2:A144&lt;&gt;"",A$2:A144,,,-1)</f>
        <v>Development</v>
      </c>
      <c r="G144" s="19" t="str" cm="1">
        <f t="array" ref="G144">_xlfn.XLOOKUP(TRUE,B$2:B144&lt;&gt;"",B$2:B144,,,-1)</f>
        <v>GUI design and development</v>
      </c>
      <c r="H144" s="19" t="str">
        <f>IF(CLASSIFICATION[[#This Row],[Classification (Generalized keyword)]]="",CLASSIFICATION[[#This Row],[Keyword]],CLASSIFICATION[[#This Row],[Classification (Generalized keyword)]])</f>
        <v>HTML</v>
      </c>
      <c r="I144" s="19" t="str">
        <f>_xlfn.CONCAT(CLASSIFICATION[[#This Row],[Project Stage Aggr]],",",CLASSIFICATION[[#This Row],[Functional Scope Aggr]],",",CLASSIFICATION[[#This Row],[Keyword]])</f>
        <v>Development,GUI design and development,HTML</v>
      </c>
      <c r="J144" s="19" t="str">
        <f>_xlfn.CONCAT(CLASSIFICATION[[#This Row],[Project Stage Aggr]],",",CLASSIFICATION[[#This Row],[Functional Scope Aggr]],",",CLASSIFICATION[[#This Row],[Keyword Aggr]])</f>
        <v>Development,GUI design and development,HTML</v>
      </c>
      <c r="K144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development,HTML,-4</v>
      </c>
    </row>
    <row r="145" spans="2:11" x14ac:dyDescent="0.25">
      <c r="C145" t="s">
        <v>269</v>
      </c>
      <c r="D145" t="s">
        <v>269</v>
      </c>
      <c r="E145" s="38">
        <v>-4</v>
      </c>
      <c r="F145" s="19" t="str" cm="1">
        <f t="array" ref="F145">_xlfn.XLOOKUP(TRUE,A$2:A145&lt;&gt;"",A$2:A145,,,-1)</f>
        <v>Development</v>
      </c>
      <c r="G145" s="19" t="str" cm="1">
        <f t="array" ref="G145">_xlfn.XLOOKUP(TRUE,B$2:B145&lt;&gt;"",B$2:B145,,,-1)</f>
        <v>GUI design and development</v>
      </c>
      <c r="H145" s="19" t="str">
        <f>IF(CLASSIFICATION[[#This Row],[Classification (Generalized keyword)]]="",CLASSIFICATION[[#This Row],[Keyword]],CLASSIFICATION[[#This Row],[Classification (Generalized keyword)]])</f>
        <v>IT Data Types</v>
      </c>
      <c r="I145" s="19" t="str">
        <f>_xlfn.CONCAT(CLASSIFICATION[[#This Row],[Project Stage Aggr]],",",CLASSIFICATION[[#This Row],[Functional Scope Aggr]],",",CLASSIFICATION[[#This Row],[Keyword]])</f>
        <v>Development,GUI design and development,IT Data Types</v>
      </c>
      <c r="J145" s="19" t="str">
        <f>_xlfn.CONCAT(CLASSIFICATION[[#This Row],[Project Stage Aggr]],",",CLASSIFICATION[[#This Row],[Functional Scope Aggr]],",",CLASSIFICATION[[#This Row],[Keyword Aggr]])</f>
        <v>Development,GUI design and development,IT Data Types</v>
      </c>
      <c r="K145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development,IT Data Types,-4</v>
      </c>
    </row>
    <row r="146" spans="2:11" x14ac:dyDescent="0.25">
      <c r="C146" t="s">
        <v>206</v>
      </c>
      <c r="E146" s="38">
        <v>-4</v>
      </c>
      <c r="F146" s="19" t="str" cm="1">
        <f t="array" ref="F146">_xlfn.XLOOKUP(TRUE,A$2:A146&lt;&gt;"",A$2:A146,,,-1)</f>
        <v>Development</v>
      </c>
      <c r="G146" s="19" t="str" cm="1">
        <f t="array" ref="G146">_xlfn.XLOOKUP(TRUE,B$2:B146&lt;&gt;"",B$2:B146,,,-1)</f>
        <v>GUI design and development</v>
      </c>
      <c r="H146" s="19" t="str">
        <f>IF(CLASSIFICATION[[#This Row],[Classification (Generalized keyword)]]="",CLASSIFICATION[[#This Row],[Keyword]],CLASSIFICATION[[#This Row],[Classification (Generalized keyword)]])</f>
        <v>JavaScript</v>
      </c>
      <c r="I146" s="19" t="str">
        <f>_xlfn.CONCAT(CLASSIFICATION[[#This Row],[Project Stage Aggr]],",",CLASSIFICATION[[#This Row],[Functional Scope Aggr]],",",CLASSIFICATION[[#This Row],[Keyword]])</f>
        <v>Development,GUI design and development,JavaScript</v>
      </c>
      <c r="J146" s="19" t="str">
        <f>_xlfn.CONCAT(CLASSIFICATION[[#This Row],[Project Stage Aggr]],",",CLASSIFICATION[[#This Row],[Functional Scope Aggr]],",",CLASSIFICATION[[#This Row],[Keyword Aggr]])</f>
        <v>Development,GUI design and development,JavaScript</v>
      </c>
      <c r="K146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development,JavaScript,-4</v>
      </c>
    </row>
    <row r="147" spans="2:11" x14ac:dyDescent="0.25">
      <c r="C147" t="s">
        <v>270</v>
      </c>
      <c r="E147" s="38">
        <v>-2</v>
      </c>
      <c r="F147" s="19" t="str" cm="1">
        <f t="array" ref="F147">_xlfn.XLOOKUP(TRUE,A$2:A147&lt;&gt;"",A$2:A147,,,-1)</f>
        <v>Development</v>
      </c>
      <c r="G147" s="19" t="str" cm="1">
        <f t="array" ref="G147">_xlfn.XLOOKUP(TRUE,B$2:B147&lt;&gt;"",B$2:B147,,,-1)</f>
        <v>GUI design and development</v>
      </c>
      <c r="H147" s="19" t="str">
        <f>IF(CLASSIFICATION[[#This Row],[Classification (Generalized keyword)]]="",CLASSIFICATION[[#This Row],[Keyword]],CLASSIFICATION[[#This Row],[Classification (Generalized keyword)]])</f>
        <v>Master Detail</v>
      </c>
      <c r="I147" s="19" t="str">
        <f>_xlfn.CONCAT(CLASSIFICATION[[#This Row],[Project Stage Aggr]],",",CLASSIFICATION[[#This Row],[Functional Scope Aggr]],",",CLASSIFICATION[[#This Row],[Keyword]])</f>
        <v>Development,GUI design and development,Master Detail</v>
      </c>
      <c r="J147" s="19" t="str">
        <f>_xlfn.CONCAT(CLASSIFICATION[[#This Row],[Project Stage Aggr]],",",CLASSIFICATION[[#This Row],[Functional Scope Aggr]],",",CLASSIFICATION[[#This Row],[Keyword Aggr]])</f>
        <v>Development,GUI design and development,Master Detail</v>
      </c>
      <c r="K147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development,Master Detail,-2</v>
      </c>
    </row>
    <row r="148" spans="2:11" x14ac:dyDescent="0.25">
      <c r="C148" t="s">
        <v>271</v>
      </c>
      <c r="E148" s="38">
        <v>-3</v>
      </c>
      <c r="F148" s="19" t="str" cm="1">
        <f t="array" ref="F148">_xlfn.XLOOKUP(TRUE,A$2:A148&lt;&gt;"",A$2:A148,,,-1)</f>
        <v>Development</v>
      </c>
      <c r="G148" s="19" t="str" cm="1">
        <f t="array" ref="G148">_xlfn.XLOOKUP(TRUE,B$2:B148&lt;&gt;"",B$2:B148,,,-1)</f>
        <v>GUI design and development</v>
      </c>
      <c r="H148" s="19" t="str">
        <f>IF(CLASSIFICATION[[#This Row],[Classification (Generalized keyword)]]="",CLASSIFICATION[[#This Row],[Keyword]],CLASSIFICATION[[#This Row],[Classification (Generalized keyword)]])</f>
        <v>Programming Functions</v>
      </c>
      <c r="I148" s="19" t="str">
        <f>_xlfn.CONCAT(CLASSIFICATION[[#This Row],[Project Stage Aggr]],",",CLASSIFICATION[[#This Row],[Functional Scope Aggr]],",",CLASSIFICATION[[#This Row],[Keyword]])</f>
        <v>Development,GUI design and development,Programming Functions</v>
      </c>
      <c r="J148" s="19" t="str">
        <f>_xlfn.CONCAT(CLASSIFICATION[[#This Row],[Project Stage Aggr]],",",CLASSIFICATION[[#This Row],[Functional Scope Aggr]],",",CLASSIFICATION[[#This Row],[Keyword Aggr]])</f>
        <v>Development,GUI design and development,Programming Functions</v>
      </c>
      <c r="K148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development,Programming Functions,-3</v>
      </c>
    </row>
    <row r="149" spans="2:11" x14ac:dyDescent="0.25">
      <c r="C149" t="s">
        <v>199</v>
      </c>
      <c r="D149" t="s">
        <v>200</v>
      </c>
      <c r="E149" s="38">
        <v>-4</v>
      </c>
      <c r="F149" s="19" t="str" cm="1">
        <f t="array" ref="F149">_xlfn.XLOOKUP(TRUE,A$2:A149&lt;&gt;"",A$2:A149,,,-1)</f>
        <v>Development</v>
      </c>
      <c r="G149" s="19" t="str" cm="1">
        <f t="array" ref="G149">_xlfn.XLOOKUP(TRUE,B$2:B149&lt;&gt;"",B$2:B149,,,-1)</f>
        <v>GUI design and development</v>
      </c>
      <c r="H149" s="19" t="str">
        <f>IF(CLASSIFICATION[[#This Row],[Classification (Generalized keyword)]]="",CLASSIFICATION[[#This Row],[Keyword]],CLASSIFICATION[[#This Row],[Classification (Generalized keyword)]])</f>
        <v>Responsive Web Design</v>
      </c>
      <c r="I149" s="19" t="str">
        <f>_xlfn.CONCAT(CLASSIFICATION[[#This Row],[Project Stage Aggr]],",",CLASSIFICATION[[#This Row],[Functional Scope Aggr]],",",CLASSIFICATION[[#This Row],[Keyword]])</f>
        <v>Development,GUI design and development,Reactive Web App</v>
      </c>
      <c r="J149" s="19" t="str">
        <f>_xlfn.CONCAT(CLASSIFICATION[[#This Row],[Project Stage Aggr]],",",CLASSIFICATION[[#This Row],[Functional Scope Aggr]],",",CLASSIFICATION[[#This Row],[Keyword Aggr]])</f>
        <v>Development,GUI design and development,Responsive Web Design</v>
      </c>
      <c r="K149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development,Responsive Web Design,-4</v>
      </c>
    </row>
    <row r="150" spans="2:11" x14ac:dyDescent="0.25">
      <c r="C150" t="s">
        <v>272</v>
      </c>
      <c r="D150" t="s">
        <v>200</v>
      </c>
      <c r="E150" s="38">
        <v>-4</v>
      </c>
      <c r="F150" s="19" t="str" cm="1">
        <f t="array" ref="F150">_xlfn.XLOOKUP(TRUE,A$2:A150&lt;&gt;"",A$2:A150,,,-1)</f>
        <v>Development</v>
      </c>
      <c r="G150" s="19" t="str" cm="1">
        <f t="array" ref="G150">_xlfn.XLOOKUP(TRUE,B$2:B150&lt;&gt;"",B$2:B150,,,-1)</f>
        <v>GUI design and development</v>
      </c>
      <c r="H150" s="19" t="str">
        <f>IF(CLASSIFICATION[[#This Row],[Classification (Generalized keyword)]]="",CLASSIFICATION[[#This Row],[Keyword]],CLASSIFICATION[[#This Row],[Classification (Generalized keyword)]])</f>
        <v>Responsive Web Design</v>
      </c>
      <c r="I150" s="19" t="str">
        <f>_xlfn.CONCAT(CLASSIFICATION[[#This Row],[Project Stage Aggr]],",",CLASSIFICATION[[#This Row],[Functional Scope Aggr]],",",CLASSIFICATION[[#This Row],[Keyword]])</f>
        <v>Development,GUI design and development,Responsive Breakpoints</v>
      </c>
      <c r="J150" s="19" t="str">
        <f>_xlfn.CONCAT(CLASSIFICATION[[#This Row],[Project Stage Aggr]],",",CLASSIFICATION[[#This Row],[Functional Scope Aggr]],",",CLASSIFICATION[[#This Row],[Keyword Aggr]])</f>
        <v>Development,GUI design and development,Responsive Web Design</v>
      </c>
      <c r="K150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development,Responsive Web Design,-4</v>
      </c>
    </row>
    <row r="151" spans="2:11" x14ac:dyDescent="0.25">
      <c r="C151" t="s">
        <v>200</v>
      </c>
      <c r="D151" t="s">
        <v>200</v>
      </c>
      <c r="E151" s="38">
        <v>-4</v>
      </c>
      <c r="F151" s="19" t="str" cm="1">
        <f t="array" ref="F151">_xlfn.XLOOKUP(TRUE,A$2:A151&lt;&gt;"",A$2:A151,,,-1)</f>
        <v>Development</v>
      </c>
      <c r="G151" s="19" t="str" cm="1">
        <f t="array" ref="G151">_xlfn.XLOOKUP(TRUE,B$2:B151&lt;&gt;"",B$2:B151,,,-1)</f>
        <v>GUI design and development</v>
      </c>
      <c r="H151" s="19" t="str">
        <f>IF(CLASSIFICATION[[#This Row],[Classification (Generalized keyword)]]="",CLASSIFICATION[[#This Row],[Keyword]],CLASSIFICATION[[#This Row],[Classification (Generalized keyword)]])</f>
        <v>Responsive Web Design</v>
      </c>
      <c r="I151" s="19" t="str">
        <f>_xlfn.CONCAT(CLASSIFICATION[[#This Row],[Project Stage Aggr]],",",CLASSIFICATION[[#This Row],[Functional Scope Aggr]],",",CLASSIFICATION[[#This Row],[Keyword]])</f>
        <v>Development,GUI design and development,Responsive Web Design</v>
      </c>
      <c r="J151" s="19" t="str">
        <f>_xlfn.CONCAT(CLASSIFICATION[[#This Row],[Project Stage Aggr]],",",CLASSIFICATION[[#This Row],[Functional Scope Aggr]],",",CLASSIFICATION[[#This Row],[Keyword Aggr]])</f>
        <v>Development,GUI design and development,Responsive Web Design</v>
      </c>
      <c r="K151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development,Responsive Web Design,-4</v>
      </c>
    </row>
    <row r="152" spans="2:11" x14ac:dyDescent="0.25">
      <c r="C152" t="s">
        <v>273</v>
      </c>
      <c r="D152" t="s">
        <v>365</v>
      </c>
      <c r="E152" s="38">
        <v>-4</v>
      </c>
      <c r="F152" s="19" t="str" cm="1">
        <f t="array" ref="F152">_xlfn.XLOOKUP(TRUE,A$2:A152&lt;&gt;"",A$2:A152,,,-1)</f>
        <v>Development</v>
      </c>
      <c r="G152" s="19" t="str" cm="1">
        <f t="array" ref="G152">_xlfn.XLOOKUP(TRUE,B$2:B152&lt;&gt;"",B$2:B152,,,-1)</f>
        <v>GUI design and development</v>
      </c>
      <c r="H152" s="19" t="str">
        <f>IF(CLASSIFICATION[[#This Row],[Classification (Generalized keyword)]]="",CLASSIFICATION[[#This Row],[Keyword]],CLASSIFICATION[[#This Row],[Classification (Generalized keyword)]])</f>
        <v>CSS/SCSS</v>
      </c>
      <c r="I152" s="19" t="str">
        <f>_xlfn.CONCAT(CLASSIFICATION[[#This Row],[Project Stage Aggr]],",",CLASSIFICATION[[#This Row],[Functional Scope Aggr]],",",CLASSIFICATION[[#This Row],[Keyword]])</f>
        <v>Development,GUI design and development,SASS (SCSS)</v>
      </c>
      <c r="J152" s="19" t="str">
        <f>_xlfn.CONCAT(CLASSIFICATION[[#This Row],[Project Stage Aggr]],",",CLASSIFICATION[[#This Row],[Functional Scope Aggr]],",",CLASSIFICATION[[#This Row],[Keyword Aggr]])</f>
        <v>Development,GUI design and development,CSS/SCSS</v>
      </c>
      <c r="K152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development,CSS/SCSS,-4</v>
      </c>
    </row>
    <row r="153" spans="2:11" x14ac:dyDescent="0.25">
      <c r="C153" t="s">
        <v>274</v>
      </c>
      <c r="E153" s="38">
        <v>-4</v>
      </c>
      <c r="F153" s="19" t="str" cm="1">
        <f t="array" ref="F153">_xlfn.XLOOKUP(TRUE,A$2:A153&lt;&gt;"",A$2:A153,,,-1)</f>
        <v>Development</v>
      </c>
      <c r="G153" s="19" t="str" cm="1">
        <f t="array" ref="G153">_xlfn.XLOOKUP(TRUE,B$2:B153&lt;&gt;"",B$2:B153,,,-1)</f>
        <v>GUI design and development</v>
      </c>
      <c r="H153" s="19" t="str">
        <f>IF(CLASSIFICATION[[#This Row],[Classification (Generalized keyword)]]="",CLASSIFICATION[[#This Row],[Keyword]],CLASSIFICATION[[#This Row],[Classification (Generalized keyword)]])</f>
        <v>Scripts</v>
      </c>
      <c r="I153" s="19" t="str">
        <f>_xlfn.CONCAT(CLASSIFICATION[[#This Row],[Project Stage Aggr]],",",CLASSIFICATION[[#This Row],[Functional Scope Aggr]],",",CLASSIFICATION[[#This Row],[Keyword]])</f>
        <v>Development,GUI design and development,Scripts</v>
      </c>
      <c r="J153" s="19" t="str">
        <f>_xlfn.CONCAT(CLASSIFICATION[[#This Row],[Project Stage Aggr]],",",CLASSIFICATION[[#This Row],[Functional Scope Aggr]],",",CLASSIFICATION[[#This Row],[Keyword Aggr]])</f>
        <v>Development,GUI design and development,Scripts</v>
      </c>
      <c r="K153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development,Scripts,-4</v>
      </c>
    </row>
    <row r="154" spans="2:11" x14ac:dyDescent="0.25">
      <c r="C154" t="s">
        <v>275</v>
      </c>
      <c r="E154" s="38">
        <v>-3</v>
      </c>
      <c r="F154" s="19" t="str" cm="1">
        <f t="array" ref="F154">_xlfn.XLOOKUP(TRUE,A$2:A154&lt;&gt;"",A$2:A154,,,-1)</f>
        <v>Development</v>
      </c>
      <c r="G154" s="19" t="str" cm="1">
        <f t="array" ref="G154">_xlfn.XLOOKUP(TRUE,B$2:B154&lt;&gt;"",B$2:B154,,,-1)</f>
        <v>GUI design and development</v>
      </c>
      <c r="H154" s="19" t="str">
        <f>IF(CLASSIFICATION[[#This Row],[Classification (Generalized keyword)]]="",CLASSIFICATION[[#This Row],[Keyword]],CLASSIFICATION[[#This Row],[Classification (Generalized keyword)]])</f>
        <v>Snippets</v>
      </c>
      <c r="I154" s="19" t="str">
        <f>_xlfn.CONCAT(CLASSIFICATION[[#This Row],[Project Stage Aggr]],",",CLASSIFICATION[[#This Row],[Functional Scope Aggr]],",",CLASSIFICATION[[#This Row],[Keyword]])</f>
        <v>Development,GUI design and development,Snippets</v>
      </c>
      <c r="J154" s="19" t="str">
        <f>_xlfn.CONCAT(CLASSIFICATION[[#This Row],[Project Stage Aggr]],",",CLASSIFICATION[[#This Row],[Functional Scope Aggr]],",",CLASSIFICATION[[#This Row],[Keyword Aggr]])</f>
        <v>Development,GUI design and development,Snippets</v>
      </c>
      <c r="K154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development,Snippets,-3</v>
      </c>
    </row>
    <row r="155" spans="2:11" x14ac:dyDescent="0.25">
      <c r="C155" t="s">
        <v>276</v>
      </c>
      <c r="D155" t="s">
        <v>365</v>
      </c>
      <c r="E155" s="38">
        <v>-4</v>
      </c>
      <c r="F155" s="19" t="str" cm="1">
        <f t="array" ref="F155">_xlfn.XLOOKUP(TRUE,A$2:A155&lt;&gt;"",A$2:A155,,,-1)</f>
        <v>Development</v>
      </c>
      <c r="G155" s="19" t="str" cm="1">
        <f t="array" ref="G155">_xlfn.XLOOKUP(TRUE,B$2:B155&lt;&gt;"",B$2:B155,,,-1)</f>
        <v>GUI design and development</v>
      </c>
      <c r="H155" s="19" t="str">
        <f>IF(CLASSIFICATION[[#This Row],[Classification (Generalized keyword)]]="",CLASSIFICATION[[#This Row],[Keyword]],CLASSIFICATION[[#This Row],[Classification (Generalized keyword)]])</f>
        <v>CSS/SCSS</v>
      </c>
      <c r="I155" s="19" t="str">
        <f>_xlfn.CONCAT(CLASSIFICATION[[#This Row],[Project Stage Aggr]],",",CLASSIFICATION[[#This Row],[Functional Scope Aggr]],",",CLASSIFICATION[[#This Row],[Keyword]])</f>
        <v>Development,GUI design and development,Style Classes</v>
      </c>
      <c r="J155" s="19" t="str">
        <f>_xlfn.CONCAT(CLASSIFICATION[[#This Row],[Project Stage Aggr]],",",CLASSIFICATION[[#This Row],[Functional Scope Aggr]],",",CLASSIFICATION[[#This Row],[Keyword Aggr]])</f>
        <v>Development,GUI design and development,CSS/SCSS</v>
      </c>
      <c r="K155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development,CSS/SCSS,-4</v>
      </c>
    </row>
    <row r="156" spans="2:11" x14ac:dyDescent="0.25">
      <c r="C156" t="s">
        <v>277</v>
      </c>
      <c r="D156" s="6" t="s">
        <v>421</v>
      </c>
      <c r="E156" s="39">
        <v>4</v>
      </c>
      <c r="F156" s="19" t="str" cm="1">
        <f t="array" ref="F156">_xlfn.XLOOKUP(TRUE,A$2:A156&lt;&gt;"",A$2:A156,,,-1)</f>
        <v>Development</v>
      </c>
      <c r="G156" s="19" t="str" cm="1">
        <f t="array" ref="G156">_xlfn.XLOOKUP(TRUE,B$2:B156&lt;&gt;"",B$2:B156,,,-1)</f>
        <v>GUI design and development</v>
      </c>
      <c r="H156" s="19" t="str">
        <f>IF(CLASSIFICATION[[#This Row],[Classification (Generalized keyword)]]="",CLASSIFICATION[[#This Row],[Keyword]],CLASSIFICATION[[#This Row],[Classification (Generalized keyword)]])</f>
        <v>+GUI Style Editor</v>
      </c>
      <c r="I156" s="19" t="str">
        <f>_xlfn.CONCAT(CLASSIFICATION[[#This Row],[Project Stage Aggr]],",",CLASSIFICATION[[#This Row],[Functional Scope Aggr]],",",CLASSIFICATION[[#This Row],[Keyword]])</f>
        <v>Development,GUI design and development,Themes</v>
      </c>
      <c r="J156" s="19" t="str">
        <f>_xlfn.CONCAT(CLASSIFICATION[[#This Row],[Project Stage Aggr]],",",CLASSIFICATION[[#This Row],[Functional Scope Aggr]],",",CLASSIFICATION[[#This Row],[Keyword Aggr]])</f>
        <v>Development,GUI design and development,+GUI Style Editor</v>
      </c>
      <c r="K156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development,+GUI Style Editor,4</v>
      </c>
    </row>
    <row r="157" spans="2:11" x14ac:dyDescent="0.25">
      <c r="C157" t="s">
        <v>201</v>
      </c>
      <c r="E157" s="38">
        <v>-4</v>
      </c>
      <c r="F157" s="19" t="str" cm="1">
        <f t="array" ref="F157">_xlfn.XLOOKUP(TRUE,A$2:A157&lt;&gt;"",A$2:A157,,,-1)</f>
        <v>Development</v>
      </c>
      <c r="G157" s="19" t="str" cm="1">
        <f t="array" ref="G157">_xlfn.XLOOKUP(TRUE,B$2:B157&lt;&gt;"",B$2:B157,,,-1)</f>
        <v>GUI design and development</v>
      </c>
      <c r="H157" s="19" t="str">
        <f>IF(CLASSIFICATION[[#This Row],[Classification (Generalized keyword)]]="",CLASSIFICATION[[#This Row],[Keyword]],CLASSIFICATION[[#This Row],[Classification (Generalized keyword)]])</f>
        <v>Variables</v>
      </c>
      <c r="I157" s="19" t="str">
        <f>_xlfn.CONCAT(CLASSIFICATION[[#This Row],[Project Stage Aggr]],",",CLASSIFICATION[[#This Row],[Functional Scope Aggr]],",",CLASSIFICATION[[#This Row],[Keyword]])</f>
        <v>Development,GUI design and development,Variables</v>
      </c>
      <c r="J157" s="19" t="str">
        <f>_xlfn.CONCAT(CLASSIFICATION[[#This Row],[Project Stage Aggr]],",",CLASSIFICATION[[#This Row],[Functional Scope Aggr]],",",CLASSIFICATION[[#This Row],[Keyword Aggr]])</f>
        <v>Development,GUI design and development,Variables</v>
      </c>
      <c r="K157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development,Variables,-4</v>
      </c>
    </row>
    <row r="158" spans="2:11" x14ac:dyDescent="0.25">
      <c r="C158" t="s">
        <v>187</v>
      </c>
      <c r="E158" s="38">
        <v>-4</v>
      </c>
      <c r="F158" s="19" t="str" cm="1">
        <f t="array" ref="F158">_xlfn.XLOOKUP(TRUE,A$2:A158&lt;&gt;"",A$2:A158,,,-1)</f>
        <v>Development</v>
      </c>
      <c r="G158" s="19" t="str" cm="1">
        <f t="array" ref="G158">_xlfn.XLOOKUP(TRUE,B$2:B158&lt;&gt;"",B$2:B158,,,-1)</f>
        <v>GUI design and development</v>
      </c>
      <c r="H158" s="19" t="str">
        <f>IF(CLASSIFICATION[[#This Row],[Classification (Generalized keyword)]]="",CLASSIFICATION[[#This Row],[Keyword]],CLASSIFICATION[[#This Row],[Classification (Generalized keyword)]])</f>
        <v>XML</v>
      </c>
      <c r="I158" s="19" t="str">
        <f>_xlfn.CONCAT(CLASSIFICATION[[#This Row],[Project Stage Aggr]],",",CLASSIFICATION[[#This Row],[Functional Scope Aggr]],",",CLASSIFICATION[[#This Row],[Keyword]])</f>
        <v>Development,GUI design and development,XML</v>
      </c>
      <c r="J158" s="19" t="str">
        <f>_xlfn.CONCAT(CLASSIFICATION[[#This Row],[Project Stage Aggr]],",",CLASSIFICATION[[#This Row],[Functional Scope Aggr]],",",CLASSIFICATION[[#This Row],[Keyword Aggr]])</f>
        <v>Development,GUI design and development,XML</v>
      </c>
      <c r="K158" s="19" t="str">
        <f>_xlfn.CONCAT(CLASSIFICATION[[#This Row],[Project Stage Aggr]],",",CLASSIFICATION[[#This Row],[Functional Scope Aggr]],",",CLASSIFICATION[[#This Row],[Keyword Aggr]],",",CLASSIFICATION[[#This Row],[Importance]])</f>
        <v>Development,GUI design and development,XML,-4</v>
      </c>
    </row>
    <row r="159" spans="2:11" x14ac:dyDescent="0.25">
      <c r="B159" t="s">
        <v>34</v>
      </c>
      <c r="C159" t="s">
        <v>202</v>
      </c>
      <c r="D159" s="6" t="s">
        <v>354</v>
      </c>
      <c r="E159" s="39">
        <v>5</v>
      </c>
      <c r="F159" s="19" t="str" cm="1">
        <f t="array" ref="F159">_xlfn.XLOOKUP(TRUE,A$2:A159&lt;&gt;"",A$2:A159,,,-1)</f>
        <v>Development</v>
      </c>
      <c r="G159" s="19" t="str" cm="1">
        <f t="array" ref="G159">_xlfn.XLOOKUP(TRUE,B$2:B159&lt;&gt;"",B$2:B159,,,-1)</f>
        <v>Data validation development</v>
      </c>
      <c r="H159" s="19" t="str">
        <f>IF(CLASSIFICATION[[#This Row],[Classification (Generalized keyword)]]="",CLASSIFICATION[[#This Row],[Keyword]],CLASSIFICATION[[#This Row],[Classification (Generalized keyword)]])</f>
        <v>+Business Rules</v>
      </c>
      <c r="I159" s="19" t="str">
        <f>_xlfn.CONCAT(CLASSIFICATION[[#This Row],[Project Stage Aggr]],",",CLASSIFICATION[[#This Row],[Functional Scope Aggr]],",",CLASSIFICATION[[#This Row],[Keyword]])</f>
        <v>Development,Data validation development,+Business Rules (graphical)</v>
      </c>
      <c r="J159" s="19" t="str">
        <f>_xlfn.CONCAT(CLASSIFICATION[[#This Row],[Project Stage Aggr]],",",CLASSIFICATION[[#This Row],[Functional Scope Aggr]],",",CLASSIFICATION[[#This Row],[Keyword Aggr]])</f>
        <v>Development,Data validation development,+Business Rules</v>
      </c>
      <c r="K159" s="19" t="str">
        <f>_xlfn.CONCAT(CLASSIFICATION[[#This Row],[Project Stage Aggr]],",",CLASSIFICATION[[#This Row],[Functional Scope Aggr]],",",CLASSIFICATION[[#This Row],[Keyword Aggr]],",",CLASSIFICATION[[#This Row],[Importance]])</f>
        <v>Development,Data validation development,+Business Rules,5</v>
      </c>
    </row>
    <row r="160" spans="2:11" x14ac:dyDescent="0.25">
      <c r="C160" t="s">
        <v>278</v>
      </c>
      <c r="E160" s="38">
        <v>4</v>
      </c>
      <c r="F160" s="19" t="str" cm="1">
        <f t="array" ref="F160">_xlfn.XLOOKUP(TRUE,A$2:A160&lt;&gt;"",A$2:A160,,,-1)</f>
        <v>Development</v>
      </c>
      <c r="G160" s="19" t="str" cm="1">
        <f t="array" ref="G160">_xlfn.XLOOKUP(TRUE,B$2:B160&lt;&gt;"",B$2:B160,,,-1)</f>
        <v>Data validation development</v>
      </c>
      <c r="H160" s="19" t="str">
        <f>IF(CLASSIFICATION[[#This Row],[Classification (Generalized keyword)]]="",CLASSIFICATION[[#This Row],[Keyword]],CLASSIFICATION[[#This Row],[Classification (Generalized keyword)]])</f>
        <v>+Column Expressions</v>
      </c>
      <c r="I160" s="19" t="str">
        <f>_xlfn.CONCAT(CLASSIFICATION[[#This Row],[Project Stage Aggr]],",",CLASSIFICATION[[#This Row],[Functional Scope Aggr]],",",CLASSIFICATION[[#This Row],[Keyword]])</f>
        <v>Development,Data validation development,+Column Expressions</v>
      </c>
      <c r="J160" s="19" t="str">
        <f>_xlfn.CONCAT(CLASSIFICATION[[#This Row],[Project Stage Aggr]],",",CLASSIFICATION[[#This Row],[Functional Scope Aggr]],",",CLASSIFICATION[[#This Row],[Keyword Aggr]])</f>
        <v>Development,Data validation development,+Column Expressions</v>
      </c>
      <c r="K160" s="19" t="str">
        <f>_xlfn.CONCAT(CLASSIFICATION[[#This Row],[Project Stage Aggr]],",",CLASSIFICATION[[#This Row],[Functional Scope Aggr]],",",CLASSIFICATION[[#This Row],[Keyword Aggr]],",",CLASSIFICATION[[#This Row],[Importance]])</f>
        <v>Development,Data validation development,+Column Expressions,4</v>
      </c>
    </row>
    <row r="161" spans="2:11" x14ac:dyDescent="0.25">
      <c r="C161" t="s">
        <v>196</v>
      </c>
      <c r="D161" t="s">
        <v>181</v>
      </c>
      <c r="E161" s="38">
        <v>-1</v>
      </c>
      <c r="F161" s="19" t="str" cm="1">
        <f t="array" ref="F161">_xlfn.XLOOKUP(TRUE,A$2:A161&lt;&gt;"",A$2:A161,,,-1)</f>
        <v>Development</v>
      </c>
      <c r="G161" s="19" t="str" cm="1">
        <f t="array" ref="G161">_xlfn.XLOOKUP(TRUE,B$2:B161&lt;&gt;"",B$2:B161,,,-1)</f>
        <v>Data validation development</v>
      </c>
      <c r="H161" s="19" t="str">
        <f>IF(CLASSIFICATION[[#This Row],[Classification (Generalized keyword)]]="",CLASSIFICATION[[#This Row],[Keyword]],CLASSIFICATION[[#This Row],[Classification (Generalized keyword)]])</f>
        <v>Expressions</v>
      </c>
      <c r="I161" s="19" t="str">
        <f>_xlfn.CONCAT(CLASSIFICATION[[#This Row],[Project Stage Aggr]],",",CLASSIFICATION[[#This Row],[Functional Scope Aggr]],",",CLASSIFICATION[[#This Row],[Keyword]])</f>
        <v>Development,Data validation development,Boolean Expressions</v>
      </c>
      <c r="J161" s="19" t="str">
        <f>_xlfn.CONCAT(CLASSIFICATION[[#This Row],[Project Stage Aggr]],",",CLASSIFICATION[[#This Row],[Functional Scope Aggr]],",",CLASSIFICATION[[#This Row],[Keyword Aggr]])</f>
        <v>Development,Data validation development,Expressions</v>
      </c>
      <c r="K161" s="19" t="str">
        <f>_xlfn.CONCAT(CLASSIFICATION[[#This Row],[Project Stage Aggr]],",",CLASSIFICATION[[#This Row],[Functional Scope Aggr]],",",CLASSIFICATION[[#This Row],[Keyword Aggr]],",",CLASSIFICATION[[#This Row],[Importance]])</f>
        <v>Development,Data validation development,Expressions,-1</v>
      </c>
    </row>
    <row r="162" spans="2:11" x14ac:dyDescent="0.25">
      <c r="C162" t="s">
        <v>172</v>
      </c>
      <c r="D162" t="s">
        <v>181</v>
      </c>
      <c r="E162" s="38">
        <v>-1</v>
      </c>
      <c r="F162" s="19" t="str" cm="1">
        <f t="array" ref="F162">_xlfn.XLOOKUP(TRUE,A$2:A162&lt;&gt;"",A$2:A162,,,-1)</f>
        <v>Development</v>
      </c>
      <c r="G162" s="19" t="str" cm="1">
        <f t="array" ref="G162">_xlfn.XLOOKUP(TRUE,B$2:B162&lt;&gt;"",B$2:B162,,,-1)</f>
        <v>Data validation development</v>
      </c>
      <c r="H162" s="19" t="str">
        <f>IF(CLASSIFICATION[[#This Row],[Classification (Generalized keyword)]]="",CLASSIFICATION[[#This Row],[Keyword]],CLASSIFICATION[[#This Row],[Classification (Generalized keyword)]])</f>
        <v>Expressions</v>
      </c>
      <c r="I162" s="19" t="str">
        <f>_xlfn.CONCAT(CLASSIFICATION[[#This Row],[Project Stage Aggr]],",",CLASSIFICATION[[#This Row],[Functional Scope Aggr]],",",CLASSIFICATION[[#This Row],[Keyword]])</f>
        <v>Development,Data validation development,Conditional Expressions</v>
      </c>
      <c r="J162" s="19" t="str">
        <f>_xlfn.CONCAT(CLASSIFICATION[[#This Row],[Project Stage Aggr]],",",CLASSIFICATION[[#This Row],[Functional Scope Aggr]],",",CLASSIFICATION[[#This Row],[Keyword Aggr]])</f>
        <v>Development,Data validation development,Expressions</v>
      </c>
      <c r="K162" s="19" t="str">
        <f>_xlfn.CONCAT(CLASSIFICATION[[#This Row],[Project Stage Aggr]],",",CLASSIFICATION[[#This Row],[Functional Scope Aggr]],",",CLASSIFICATION[[#This Row],[Keyword Aggr]],",",CLASSIFICATION[[#This Row],[Importance]])</f>
        <v>Development,Data validation development,Expressions,-1</v>
      </c>
    </row>
    <row r="163" spans="2:11" x14ac:dyDescent="0.25">
      <c r="C163" t="s">
        <v>279</v>
      </c>
      <c r="E163" s="38">
        <v>-3</v>
      </c>
      <c r="F163" s="19" t="str" cm="1">
        <f t="array" ref="F163">_xlfn.XLOOKUP(TRUE,A$2:A163&lt;&gt;"",A$2:A163,,,-1)</f>
        <v>Development</v>
      </c>
      <c r="G163" s="19" t="str" cm="1">
        <f t="array" ref="G163">_xlfn.XLOOKUP(TRUE,B$2:B163&lt;&gt;"",B$2:B163,,,-1)</f>
        <v>Data validation development</v>
      </c>
      <c r="H163" s="19" t="str">
        <f>IF(CLASSIFICATION[[#This Row],[Classification (Generalized keyword)]]="",CLASSIFICATION[[#This Row],[Keyword]],CLASSIFICATION[[#This Row],[Classification (Generalized keyword)]])</f>
        <v>Data Fields</v>
      </c>
      <c r="I163" s="19" t="str">
        <f>_xlfn.CONCAT(CLASSIFICATION[[#This Row],[Project Stage Aggr]],",",CLASSIFICATION[[#This Row],[Functional Scope Aggr]],",",CLASSIFICATION[[#This Row],[Keyword]])</f>
        <v>Development,Data validation development,Data Fields</v>
      </c>
      <c r="J163" s="19" t="str">
        <f>_xlfn.CONCAT(CLASSIFICATION[[#This Row],[Project Stage Aggr]],",",CLASSIFICATION[[#This Row],[Functional Scope Aggr]],",",CLASSIFICATION[[#This Row],[Keyword Aggr]])</f>
        <v>Development,Data validation development,Data Fields</v>
      </c>
      <c r="K163" s="19" t="str">
        <f>_xlfn.CONCAT(CLASSIFICATION[[#This Row],[Project Stage Aggr]],",",CLASSIFICATION[[#This Row],[Functional Scope Aggr]],",",CLASSIFICATION[[#This Row],[Keyword Aggr]],",",CLASSIFICATION[[#This Row],[Importance]])</f>
        <v>Development,Data validation development,Data Fields,-3</v>
      </c>
    </row>
    <row r="164" spans="2:11" x14ac:dyDescent="0.25">
      <c r="C164" t="s">
        <v>177</v>
      </c>
      <c r="E164" s="38">
        <v>-4</v>
      </c>
      <c r="F164" s="19" t="str" cm="1">
        <f t="array" ref="F164">_xlfn.XLOOKUP(TRUE,A$2:A164&lt;&gt;"",A$2:A164,,,-1)</f>
        <v>Development</v>
      </c>
      <c r="G164" s="19" t="str" cm="1">
        <f t="array" ref="G164">_xlfn.XLOOKUP(TRUE,B$2:B164&lt;&gt;"",B$2:B164,,,-1)</f>
        <v>Data validation development</v>
      </c>
      <c r="H164" s="19" t="str">
        <f>IF(CLASSIFICATION[[#This Row],[Classification (Generalized keyword)]]="",CLASSIFICATION[[#This Row],[Keyword]],CLASSIFICATION[[#This Row],[Classification (Generalized keyword)]])</f>
        <v>Domain Model</v>
      </c>
      <c r="I164" s="19" t="str">
        <f>_xlfn.CONCAT(CLASSIFICATION[[#This Row],[Project Stage Aggr]],",",CLASSIFICATION[[#This Row],[Functional Scope Aggr]],",",CLASSIFICATION[[#This Row],[Keyword]])</f>
        <v>Development,Data validation development,Domain Model</v>
      </c>
      <c r="J164" s="19" t="str">
        <f>_xlfn.CONCAT(CLASSIFICATION[[#This Row],[Project Stage Aggr]],",",CLASSIFICATION[[#This Row],[Functional Scope Aggr]],",",CLASSIFICATION[[#This Row],[Keyword Aggr]])</f>
        <v>Development,Data validation development,Domain Model</v>
      </c>
      <c r="K164" s="19" t="str">
        <f>_xlfn.CONCAT(CLASSIFICATION[[#This Row],[Project Stage Aggr]],",",CLASSIFICATION[[#This Row],[Functional Scope Aggr]],",",CLASSIFICATION[[#This Row],[Keyword Aggr]],",",CLASSIFICATION[[#This Row],[Importance]])</f>
        <v>Development,Data validation development,Domain Model,-4</v>
      </c>
    </row>
    <row r="165" spans="2:11" x14ac:dyDescent="0.25">
      <c r="C165" t="s">
        <v>207</v>
      </c>
      <c r="D165" t="s">
        <v>274</v>
      </c>
      <c r="E165" s="38">
        <v>-4</v>
      </c>
      <c r="F165" s="19" t="str" cm="1">
        <f t="array" ref="F165">_xlfn.XLOOKUP(TRUE,A$2:A165&lt;&gt;"",A$2:A165,,,-1)</f>
        <v>Development</v>
      </c>
      <c r="G165" s="19" t="str" cm="1">
        <f t="array" ref="G165">_xlfn.XLOOKUP(TRUE,B$2:B165&lt;&gt;"",B$2:B165,,,-1)</f>
        <v>Data validation development</v>
      </c>
      <c r="H165" s="19" t="str">
        <f>IF(CLASSIFICATION[[#This Row],[Classification (Generalized keyword)]]="",CLASSIFICATION[[#This Row],[Keyword]],CLASSIFICATION[[#This Row],[Classification (Generalized keyword)]])</f>
        <v>Scripts</v>
      </c>
      <c r="I165" s="19" t="str">
        <f>_xlfn.CONCAT(CLASSIFICATION[[#This Row],[Project Stage Aggr]],",",CLASSIFICATION[[#This Row],[Functional Scope Aggr]],",",CLASSIFICATION[[#This Row],[Keyword]])</f>
        <v>Development,Data validation development,Scripts (Deluge)</v>
      </c>
      <c r="J165" s="19" t="str">
        <f>_xlfn.CONCAT(CLASSIFICATION[[#This Row],[Project Stage Aggr]],",",CLASSIFICATION[[#This Row],[Functional Scope Aggr]],",",CLASSIFICATION[[#This Row],[Keyword Aggr]])</f>
        <v>Development,Data validation development,Scripts</v>
      </c>
      <c r="K165" s="19" t="str">
        <f>_xlfn.CONCAT(CLASSIFICATION[[#This Row],[Project Stage Aggr]],",",CLASSIFICATION[[#This Row],[Functional Scope Aggr]],",",CLASSIFICATION[[#This Row],[Keyword Aggr]],",",CLASSIFICATION[[#This Row],[Importance]])</f>
        <v>Development,Data validation development,Scripts,-4</v>
      </c>
    </row>
    <row r="166" spans="2:11" x14ac:dyDescent="0.25">
      <c r="C166" t="s">
        <v>274</v>
      </c>
      <c r="D166" t="s">
        <v>274</v>
      </c>
      <c r="E166" s="38">
        <v>-4</v>
      </c>
      <c r="F166" s="19" t="str" cm="1">
        <f t="array" ref="F166">_xlfn.XLOOKUP(TRUE,A$2:A166&lt;&gt;"",A$2:A166,,,-1)</f>
        <v>Development</v>
      </c>
      <c r="G166" s="19" t="str" cm="1">
        <f t="array" ref="G166">_xlfn.XLOOKUP(TRUE,B$2:B166&lt;&gt;"",B$2:B166,,,-1)</f>
        <v>Data validation development</v>
      </c>
      <c r="H166" s="19" t="str">
        <f>IF(CLASSIFICATION[[#This Row],[Classification (Generalized keyword)]]="",CLASSIFICATION[[#This Row],[Keyword]],CLASSIFICATION[[#This Row],[Classification (Generalized keyword)]])</f>
        <v>Scripts</v>
      </c>
      <c r="I166" s="19" t="str">
        <f>_xlfn.CONCAT(CLASSIFICATION[[#This Row],[Project Stage Aggr]],",",CLASSIFICATION[[#This Row],[Functional Scope Aggr]],",",CLASSIFICATION[[#This Row],[Keyword]])</f>
        <v>Development,Data validation development,Scripts</v>
      </c>
      <c r="J166" s="19" t="str">
        <f>_xlfn.CONCAT(CLASSIFICATION[[#This Row],[Project Stage Aggr]],",",CLASSIFICATION[[#This Row],[Functional Scope Aggr]],",",CLASSIFICATION[[#This Row],[Keyword Aggr]])</f>
        <v>Development,Data validation development,Scripts</v>
      </c>
      <c r="K166" s="19" t="str">
        <f>_xlfn.CONCAT(CLASSIFICATION[[#This Row],[Project Stage Aggr]],",",CLASSIFICATION[[#This Row],[Functional Scope Aggr]],",",CLASSIFICATION[[#This Row],[Keyword Aggr]],",",CLASSIFICATION[[#This Row],[Importance]])</f>
        <v>Development,Data validation development,Scripts,-4</v>
      </c>
    </row>
    <row r="167" spans="2:11" x14ac:dyDescent="0.25">
      <c r="B167" t="s">
        <v>35</v>
      </c>
      <c r="C167" t="s">
        <v>282</v>
      </c>
      <c r="E167" s="38">
        <v>5</v>
      </c>
      <c r="F167" s="19" t="str" cm="1">
        <f t="array" ref="F167">_xlfn.XLOOKUP(TRUE,A$2:A167&lt;&gt;"",A$2:A167,,,-1)</f>
        <v>Development</v>
      </c>
      <c r="G167" s="19" t="str" cm="1">
        <f t="array" ref="G167">_xlfn.XLOOKUP(TRUE,B$2:B167&lt;&gt;"",B$2:B167,,,-1)</f>
        <v>Actions design and development</v>
      </c>
      <c r="H167" s="19" t="str">
        <f>IF(CLASSIFICATION[[#This Row],[Classification (Generalized keyword)]]="",CLASSIFICATION[[#This Row],[Keyword]],CLASSIFICATION[[#This Row],[Classification (Generalized keyword)]])</f>
        <v>+AI Assisted Development</v>
      </c>
      <c r="I167" s="19" t="str">
        <f>_xlfn.CONCAT(CLASSIFICATION[[#This Row],[Project Stage Aggr]],",",CLASSIFICATION[[#This Row],[Functional Scope Aggr]],",",CLASSIFICATION[[#This Row],[Keyword]])</f>
        <v>Development,Actions design and development,+AI Assisted Development</v>
      </c>
      <c r="J167" s="19" t="str">
        <f>_xlfn.CONCAT(CLASSIFICATION[[#This Row],[Project Stage Aggr]],",",CLASSIFICATION[[#This Row],[Functional Scope Aggr]],",",CLASSIFICATION[[#This Row],[Keyword Aggr]])</f>
        <v>Development,Actions design and development,+AI Assisted Development</v>
      </c>
      <c r="K167" s="19" t="str">
        <f>_xlfn.CONCAT(CLASSIFICATION[[#This Row],[Project Stage Aggr]],",",CLASSIFICATION[[#This Row],[Functional Scope Aggr]],",",CLASSIFICATION[[#This Row],[Keyword Aggr]],",",CLASSIFICATION[[#This Row],[Importance]])</f>
        <v>Development,Actions design and development,+AI Assisted Development,5</v>
      </c>
    </row>
    <row r="168" spans="2:11" x14ac:dyDescent="0.25">
      <c r="C168" t="s">
        <v>283</v>
      </c>
      <c r="E168" s="38">
        <v>5</v>
      </c>
      <c r="F168" s="19" t="str" cm="1">
        <f t="array" ref="F168">_xlfn.XLOOKUP(TRUE,A$2:A168&lt;&gt;"",A$2:A168,,,-1)</f>
        <v>Development</v>
      </c>
      <c r="G168" s="19" t="str" cm="1">
        <f t="array" ref="G168">_xlfn.XLOOKUP(TRUE,B$2:B168&lt;&gt;"",B$2:B168,,,-1)</f>
        <v>Actions design and development</v>
      </c>
      <c r="H168" s="19" t="str">
        <f>IF(CLASSIFICATION[[#This Row],[Classification (Generalized keyword)]]="",CLASSIFICATION[[#This Row],[Keyword]],CLASSIFICATION[[#This Row],[Classification (Generalized keyword)]])</f>
        <v>+Automations</v>
      </c>
      <c r="I168" s="19" t="str">
        <f>_xlfn.CONCAT(CLASSIFICATION[[#This Row],[Project Stage Aggr]],",",CLASSIFICATION[[#This Row],[Functional Scope Aggr]],",",CLASSIFICATION[[#This Row],[Keyword]])</f>
        <v>Development,Actions design and development,+Automations</v>
      </c>
      <c r="J168" s="19" t="str">
        <f>_xlfn.CONCAT(CLASSIFICATION[[#This Row],[Project Stage Aggr]],",",CLASSIFICATION[[#This Row],[Functional Scope Aggr]],",",CLASSIFICATION[[#This Row],[Keyword Aggr]])</f>
        <v>Development,Actions design and development,+Automations</v>
      </c>
      <c r="K168" s="19" t="str">
        <f>_xlfn.CONCAT(CLASSIFICATION[[#This Row],[Project Stage Aggr]],",",CLASSIFICATION[[#This Row],[Functional Scope Aggr]],",",CLASSIFICATION[[#This Row],[Keyword Aggr]],",",CLASSIFICATION[[#This Row],[Importance]])</f>
        <v>Development,Actions design and development,+Automations,5</v>
      </c>
    </row>
    <row r="169" spans="2:11" x14ac:dyDescent="0.25">
      <c r="C169" t="s">
        <v>284</v>
      </c>
      <c r="E169" s="38">
        <v>5</v>
      </c>
      <c r="F169" s="19" t="str" cm="1">
        <f t="array" ref="F169">_xlfn.XLOOKUP(TRUE,A$2:A169&lt;&gt;"",A$2:A169,,,-1)</f>
        <v>Development</v>
      </c>
      <c r="G169" s="19" t="str" cm="1">
        <f t="array" ref="G169">_xlfn.XLOOKUP(TRUE,B$2:B169&lt;&gt;"",B$2:B169,,,-1)</f>
        <v>Actions design and development</v>
      </c>
      <c r="H169" s="19" t="str">
        <f>IF(CLASSIFICATION[[#This Row],[Classification (Generalized keyword)]]="",CLASSIFICATION[[#This Row],[Keyword]],CLASSIFICATION[[#This Row],[Classification (Generalized keyword)]])</f>
        <v>+Built-in Connectors</v>
      </c>
      <c r="I169" s="19" t="str">
        <f>_xlfn.CONCAT(CLASSIFICATION[[#This Row],[Project Stage Aggr]],",",CLASSIFICATION[[#This Row],[Functional Scope Aggr]],",",CLASSIFICATION[[#This Row],[Keyword]])</f>
        <v>Development,Actions design and development,+Built-in Connectors</v>
      </c>
      <c r="J169" s="19" t="str">
        <f>_xlfn.CONCAT(CLASSIFICATION[[#This Row],[Project Stage Aggr]],",",CLASSIFICATION[[#This Row],[Functional Scope Aggr]],",",CLASSIFICATION[[#This Row],[Keyword Aggr]])</f>
        <v>Development,Actions design and development,+Built-in Connectors</v>
      </c>
      <c r="K169" s="19" t="str">
        <f>_xlfn.CONCAT(CLASSIFICATION[[#This Row],[Project Stage Aggr]],",",CLASSIFICATION[[#This Row],[Functional Scope Aggr]],",",CLASSIFICATION[[#This Row],[Keyword Aggr]],",",CLASSIFICATION[[#This Row],[Importance]])</f>
        <v>Development,Actions design and development,+Built-in Connectors,5</v>
      </c>
    </row>
    <row r="170" spans="2:11" x14ac:dyDescent="0.25">
      <c r="C170" t="s">
        <v>285</v>
      </c>
      <c r="D170" t="s">
        <v>285</v>
      </c>
      <c r="E170" s="38">
        <v>-4</v>
      </c>
      <c r="F170" s="19" t="str" cm="1">
        <f t="array" ref="F170">_xlfn.XLOOKUP(TRUE,A$2:A170&lt;&gt;"",A$2:A170,,,-1)</f>
        <v>Development</v>
      </c>
      <c r="G170" s="19" t="str" cm="1">
        <f t="array" ref="G170">_xlfn.XLOOKUP(TRUE,B$2:B170&lt;&gt;"",B$2:B170,,,-1)</f>
        <v>Actions design and development</v>
      </c>
      <c r="H170" s="19" t="str">
        <f>IF(CLASSIFICATION[[#This Row],[Classification (Generalized keyword)]]="",CLASSIFICATION[[#This Row],[Keyword]],CLASSIFICATION[[#This Row],[Classification (Generalized keyword)]])</f>
        <v>API</v>
      </c>
      <c r="I170" s="19" t="str">
        <f>_xlfn.CONCAT(CLASSIFICATION[[#This Row],[Project Stage Aggr]],",",CLASSIFICATION[[#This Row],[Functional Scope Aggr]],",",CLASSIFICATION[[#This Row],[Keyword]])</f>
        <v>Development,Actions design and development,API</v>
      </c>
      <c r="J170" s="19" t="str">
        <f>_xlfn.CONCAT(CLASSIFICATION[[#This Row],[Project Stage Aggr]],",",CLASSIFICATION[[#This Row],[Functional Scope Aggr]],",",CLASSIFICATION[[#This Row],[Keyword Aggr]])</f>
        <v>Development,Actions design and development,API</v>
      </c>
      <c r="K170" s="19" t="str">
        <f>_xlfn.CONCAT(CLASSIFICATION[[#This Row],[Project Stage Aggr]],",",CLASSIFICATION[[#This Row],[Functional Scope Aggr]],",",CLASSIFICATION[[#This Row],[Keyword Aggr]],",",CLASSIFICATION[[#This Row],[Importance]])</f>
        <v>Development,Actions design and development,API,-4</v>
      </c>
    </row>
    <row r="171" spans="2:11" x14ac:dyDescent="0.25">
      <c r="C171" t="s">
        <v>172</v>
      </c>
      <c r="D171" t="s">
        <v>181</v>
      </c>
      <c r="E171" s="38">
        <v>-1</v>
      </c>
      <c r="F171" s="19" t="str" cm="1">
        <f t="array" ref="F171">_xlfn.XLOOKUP(TRUE,A$2:A171&lt;&gt;"",A$2:A171,,,-1)</f>
        <v>Development</v>
      </c>
      <c r="G171" s="19" t="str" cm="1">
        <f t="array" ref="G171">_xlfn.XLOOKUP(TRUE,B$2:B171&lt;&gt;"",B$2:B171,,,-1)</f>
        <v>Actions design and development</v>
      </c>
      <c r="H171" s="19" t="str">
        <f>IF(CLASSIFICATION[[#This Row],[Classification (Generalized keyword)]]="",CLASSIFICATION[[#This Row],[Keyword]],CLASSIFICATION[[#This Row],[Classification (Generalized keyword)]])</f>
        <v>Expressions</v>
      </c>
      <c r="I171" s="19" t="str">
        <f>_xlfn.CONCAT(CLASSIFICATION[[#This Row],[Project Stage Aggr]],",",CLASSIFICATION[[#This Row],[Functional Scope Aggr]],",",CLASSIFICATION[[#This Row],[Keyword]])</f>
        <v>Development,Actions design and development,Conditional Expressions</v>
      </c>
      <c r="J171" s="19" t="str">
        <f>_xlfn.CONCAT(CLASSIFICATION[[#This Row],[Project Stage Aggr]],",",CLASSIFICATION[[#This Row],[Functional Scope Aggr]],",",CLASSIFICATION[[#This Row],[Keyword Aggr]])</f>
        <v>Development,Actions design and development,Expressions</v>
      </c>
      <c r="K171" s="19" t="str">
        <f>_xlfn.CONCAT(CLASSIFICATION[[#This Row],[Project Stage Aggr]],",",CLASSIFICATION[[#This Row],[Functional Scope Aggr]],",",CLASSIFICATION[[#This Row],[Keyword Aggr]],",",CLASSIFICATION[[#This Row],[Importance]])</f>
        <v>Development,Actions design and development,Expressions,-1</v>
      </c>
    </row>
    <row r="172" spans="2:11" x14ac:dyDescent="0.25">
      <c r="C172" t="s">
        <v>181</v>
      </c>
      <c r="D172" t="s">
        <v>181</v>
      </c>
      <c r="E172" s="38">
        <v>-1</v>
      </c>
      <c r="F172" s="19" t="str" cm="1">
        <f t="array" ref="F172">_xlfn.XLOOKUP(TRUE,A$2:A172&lt;&gt;"",A$2:A172,,,-1)</f>
        <v>Development</v>
      </c>
      <c r="G172" s="19" t="str" cm="1">
        <f t="array" ref="G172">_xlfn.XLOOKUP(TRUE,B$2:B172&lt;&gt;"",B$2:B172,,,-1)</f>
        <v>Actions design and development</v>
      </c>
      <c r="H172" s="19" t="str">
        <f>IF(CLASSIFICATION[[#This Row],[Classification (Generalized keyword)]]="",CLASSIFICATION[[#This Row],[Keyword]],CLASSIFICATION[[#This Row],[Classification (Generalized keyword)]])</f>
        <v>Expressions</v>
      </c>
      <c r="I172" s="19" t="str">
        <f>_xlfn.CONCAT(CLASSIFICATION[[#This Row],[Project Stage Aggr]],",",CLASSIFICATION[[#This Row],[Functional Scope Aggr]],",",CLASSIFICATION[[#This Row],[Keyword]])</f>
        <v>Development,Actions design and development,Expressions</v>
      </c>
      <c r="J172" s="19" t="str">
        <f>_xlfn.CONCAT(CLASSIFICATION[[#This Row],[Project Stage Aggr]],",",CLASSIFICATION[[#This Row],[Functional Scope Aggr]],",",CLASSIFICATION[[#This Row],[Keyword Aggr]])</f>
        <v>Development,Actions design and development,Expressions</v>
      </c>
      <c r="K172" s="19" t="str">
        <f>_xlfn.CONCAT(CLASSIFICATION[[#This Row],[Project Stage Aggr]],",",CLASSIFICATION[[#This Row],[Functional Scope Aggr]],",",CLASSIFICATION[[#This Row],[Keyword Aggr]],",",CLASSIFICATION[[#This Row],[Importance]])</f>
        <v>Development,Actions design and development,Expressions,-1</v>
      </c>
    </row>
    <row r="173" spans="2:11" x14ac:dyDescent="0.25">
      <c r="C173" t="s">
        <v>197</v>
      </c>
      <c r="E173" s="38">
        <v>-3</v>
      </c>
      <c r="F173" s="19" t="str" cm="1">
        <f t="array" ref="F173">_xlfn.XLOOKUP(TRUE,A$2:A173&lt;&gt;"",A$2:A173,,,-1)</f>
        <v>Development</v>
      </c>
      <c r="G173" s="19" t="str" cm="1">
        <f t="array" ref="G173">_xlfn.XLOOKUP(TRUE,B$2:B173&lt;&gt;"",B$2:B173,,,-1)</f>
        <v>Actions design and development</v>
      </c>
      <c r="H173" s="19" t="str">
        <f>IF(CLASSIFICATION[[#This Row],[Classification (Generalized keyword)]]="",CLASSIFICATION[[#This Row],[Keyword]],CLASSIFICATION[[#This Row],[Classification (Generalized keyword)]])</f>
        <v>Functions</v>
      </c>
      <c r="I173" s="19" t="str">
        <f>_xlfn.CONCAT(CLASSIFICATION[[#This Row],[Project Stage Aggr]],",",CLASSIFICATION[[#This Row],[Functional Scope Aggr]],",",CLASSIFICATION[[#This Row],[Keyword]])</f>
        <v>Development,Actions design and development,Functions</v>
      </c>
      <c r="J173" s="19" t="str">
        <f>_xlfn.CONCAT(CLASSIFICATION[[#This Row],[Project Stage Aggr]],",",CLASSIFICATION[[#This Row],[Functional Scope Aggr]],",",CLASSIFICATION[[#This Row],[Keyword Aggr]])</f>
        <v>Development,Actions design and development,Functions</v>
      </c>
      <c r="K173" s="19" t="str">
        <f>_xlfn.CONCAT(CLASSIFICATION[[#This Row],[Project Stage Aggr]],",",CLASSIFICATION[[#This Row],[Functional Scope Aggr]],",",CLASSIFICATION[[#This Row],[Keyword Aggr]],",",CLASSIFICATION[[#This Row],[Importance]])</f>
        <v>Development,Actions design and development,Functions,-3</v>
      </c>
    </row>
    <row r="174" spans="2:11" x14ac:dyDescent="0.25">
      <c r="C174" t="s">
        <v>221</v>
      </c>
      <c r="E174" s="38">
        <v>-4</v>
      </c>
      <c r="F174" s="19" t="str" cm="1">
        <f t="array" ref="F174">_xlfn.XLOOKUP(TRUE,A$2:A174&lt;&gt;"",A$2:A174,,,-1)</f>
        <v>Development</v>
      </c>
      <c r="G174" s="19" t="str" cm="1">
        <f t="array" ref="G174">_xlfn.XLOOKUP(TRUE,B$2:B174&lt;&gt;"",B$2:B174,,,-1)</f>
        <v>Actions design and development</v>
      </c>
      <c r="H174" s="19" t="str">
        <f>IF(CLASSIFICATION[[#This Row],[Classification (Generalized keyword)]]="",CLASSIFICATION[[#This Row],[Keyword]],CLASSIFICATION[[#This Row],[Classification (Generalized keyword)]])</f>
        <v>Java</v>
      </c>
      <c r="I174" s="19" t="str">
        <f>_xlfn.CONCAT(CLASSIFICATION[[#This Row],[Project Stage Aggr]],",",CLASSIFICATION[[#This Row],[Functional Scope Aggr]],",",CLASSIFICATION[[#This Row],[Keyword]])</f>
        <v>Development,Actions design and development,Java</v>
      </c>
      <c r="J174" s="19" t="str">
        <f>_xlfn.CONCAT(CLASSIFICATION[[#This Row],[Project Stage Aggr]],",",CLASSIFICATION[[#This Row],[Functional Scope Aggr]],",",CLASSIFICATION[[#This Row],[Keyword Aggr]])</f>
        <v>Development,Actions design and development,Java</v>
      </c>
      <c r="K174" s="19" t="str">
        <f>_xlfn.CONCAT(CLASSIFICATION[[#This Row],[Project Stage Aggr]],",",CLASSIFICATION[[#This Row],[Functional Scope Aggr]],",",CLASSIFICATION[[#This Row],[Keyword Aggr]],",",CLASSIFICATION[[#This Row],[Importance]])</f>
        <v>Development,Actions design and development,Java,-4</v>
      </c>
    </row>
    <row r="175" spans="2:11" x14ac:dyDescent="0.25">
      <c r="C175" t="s">
        <v>206</v>
      </c>
      <c r="E175" s="38">
        <v>-4</v>
      </c>
      <c r="F175" s="19" t="str" cm="1">
        <f t="array" ref="F175">_xlfn.XLOOKUP(TRUE,A$2:A175&lt;&gt;"",A$2:A175,,,-1)</f>
        <v>Development</v>
      </c>
      <c r="G175" s="19" t="str" cm="1">
        <f t="array" ref="G175">_xlfn.XLOOKUP(TRUE,B$2:B175&lt;&gt;"",B$2:B175,,,-1)</f>
        <v>Actions design and development</v>
      </c>
      <c r="H175" s="19" t="str">
        <f>IF(CLASSIFICATION[[#This Row],[Classification (Generalized keyword)]]="",CLASSIFICATION[[#This Row],[Keyword]],CLASSIFICATION[[#This Row],[Classification (Generalized keyword)]])</f>
        <v>JavaScript</v>
      </c>
      <c r="I175" s="19" t="str">
        <f>_xlfn.CONCAT(CLASSIFICATION[[#This Row],[Project Stage Aggr]],",",CLASSIFICATION[[#This Row],[Functional Scope Aggr]],",",CLASSIFICATION[[#This Row],[Keyword]])</f>
        <v>Development,Actions design and development,JavaScript</v>
      </c>
      <c r="J175" s="19" t="str">
        <f>_xlfn.CONCAT(CLASSIFICATION[[#This Row],[Project Stage Aggr]],",",CLASSIFICATION[[#This Row],[Functional Scope Aggr]],",",CLASSIFICATION[[#This Row],[Keyword Aggr]])</f>
        <v>Development,Actions design and development,JavaScript</v>
      </c>
      <c r="K175" s="19" t="str">
        <f>_xlfn.CONCAT(CLASSIFICATION[[#This Row],[Project Stage Aggr]],",",CLASSIFICATION[[#This Row],[Functional Scope Aggr]],",",CLASSIFICATION[[#This Row],[Keyword Aggr]],",",CLASSIFICATION[[#This Row],[Importance]])</f>
        <v>Development,Actions design and development,JavaScript,-4</v>
      </c>
    </row>
    <row r="176" spans="2:11" x14ac:dyDescent="0.25">
      <c r="C176" t="s">
        <v>286</v>
      </c>
      <c r="E176" s="38">
        <v>-4</v>
      </c>
      <c r="F176" s="19" t="str" cm="1">
        <f t="array" ref="F176">_xlfn.XLOOKUP(TRUE,A$2:A176&lt;&gt;"",A$2:A176,,,-1)</f>
        <v>Development</v>
      </c>
      <c r="G176" s="19" t="str" cm="1">
        <f t="array" ref="G176">_xlfn.XLOOKUP(TRUE,B$2:B176&lt;&gt;"",B$2:B176,,,-1)</f>
        <v>Actions design and development</v>
      </c>
      <c r="H176" s="19" t="str">
        <f>IF(CLASSIFICATION[[#This Row],[Classification (Generalized keyword)]]="",CLASSIFICATION[[#This Row],[Keyword]],CLASSIFICATION[[#This Row],[Classification (Generalized keyword)]])</f>
        <v>Object Model</v>
      </c>
      <c r="I176" s="19" t="str">
        <f>_xlfn.CONCAT(CLASSIFICATION[[#This Row],[Project Stage Aggr]],",",CLASSIFICATION[[#This Row],[Functional Scope Aggr]],",",CLASSIFICATION[[#This Row],[Keyword]])</f>
        <v>Development,Actions design and development,Object Model</v>
      </c>
      <c r="J176" s="19" t="str">
        <f>_xlfn.CONCAT(CLASSIFICATION[[#This Row],[Project Stage Aggr]],",",CLASSIFICATION[[#This Row],[Functional Scope Aggr]],",",CLASSIFICATION[[#This Row],[Keyword Aggr]])</f>
        <v>Development,Actions design and development,Object Model</v>
      </c>
      <c r="K176" s="19" t="str">
        <f>_xlfn.CONCAT(CLASSIFICATION[[#This Row],[Project Stage Aggr]],",",CLASSIFICATION[[#This Row],[Functional Scope Aggr]],",",CLASSIFICATION[[#This Row],[Keyword Aggr]],",",CLASSIFICATION[[#This Row],[Importance]])</f>
        <v>Development,Actions design and development,Object Model,-4</v>
      </c>
    </row>
    <row r="177" spans="2:11" x14ac:dyDescent="0.25">
      <c r="C177" t="s">
        <v>229</v>
      </c>
      <c r="D177" t="s">
        <v>285</v>
      </c>
      <c r="E177" s="38">
        <v>-4</v>
      </c>
      <c r="F177" s="19" t="str" cm="1">
        <f t="array" ref="F177">_xlfn.XLOOKUP(TRUE,A$2:A177&lt;&gt;"",A$2:A177,,,-1)</f>
        <v>Development</v>
      </c>
      <c r="G177" s="19" t="str" cm="1">
        <f t="array" ref="G177">_xlfn.XLOOKUP(TRUE,B$2:B177&lt;&gt;"",B$2:B177,,,-1)</f>
        <v>Actions design and development</v>
      </c>
      <c r="H177" s="19" t="str">
        <f>IF(CLASSIFICATION[[#This Row],[Classification (Generalized keyword)]]="",CLASSIFICATION[[#This Row],[Keyword]],CLASSIFICATION[[#This Row],[Classification (Generalized keyword)]])</f>
        <v>API</v>
      </c>
      <c r="I177" s="19" t="str">
        <f>_xlfn.CONCAT(CLASSIFICATION[[#This Row],[Project Stage Aggr]],",",CLASSIFICATION[[#This Row],[Functional Scope Aggr]],",",CLASSIFICATION[[#This Row],[Keyword]])</f>
        <v>Development,Actions design and development,REST API</v>
      </c>
      <c r="J177" s="19" t="str">
        <f>_xlfn.CONCAT(CLASSIFICATION[[#This Row],[Project Stage Aggr]],",",CLASSIFICATION[[#This Row],[Functional Scope Aggr]],",",CLASSIFICATION[[#This Row],[Keyword Aggr]])</f>
        <v>Development,Actions design and development,API</v>
      </c>
      <c r="K177" s="19" t="str">
        <f>_xlfn.CONCAT(CLASSIFICATION[[#This Row],[Project Stage Aggr]],",",CLASSIFICATION[[#This Row],[Functional Scope Aggr]],",",CLASSIFICATION[[#This Row],[Keyword Aggr]],",",CLASSIFICATION[[#This Row],[Importance]])</f>
        <v>Development,Actions design and development,API,-4</v>
      </c>
    </row>
    <row r="178" spans="2:11" x14ac:dyDescent="0.25">
      <c r="C178" t="s">
        <v>207</v>
      </c>
      <c r="D178" t="s">
        <v>274</v>
      </c>
      <c r="E178" s="38">
        <v>-4</v>
      </c>
      <c r="F178" s="19" t="str" cm="1">
        <f t="array" ref="F178">_xlfn.XLOOKUP(TRUE,A$2:A178&lt;&gt;"",A$2:A178,,,-1)</f>
        <v>Development</v>
      </c>
      <c r="G178" s="19" t="str" cm="1">
        <f t="array" ref="G178">_xlfn.XLOOKUP(TRUE,B$2:B178&lt;&gt;"",B$2:B178,,,-1)</f>
        <v>Actions design and development</v>
      </c>
      <c r="H178" s="19" t="str">
        <f>IF(CLASSIFICATION[[#This Row],[Classification (Generalized keyword)]]="",CLASSIFICATION[[#This Row],[Keyword]],CLASSIFICATION[[#This Row],[Classification (Generalized keyword)]])</f>
        <v>Scripts</v>
      </c>
      <c r="I178" s="19" t="str">
        <f>_xlfn.CONCAT(CLASSIFICATION[[#This Row],[Project Stage Aggr]],",",CLASSIFICATION[[#This Row],[Functional Scope Aggr]],",",CLASSIFICATION[[#This Row],[Keyword]])</f>
        <v>Development,Actions design and development,Scripts (Deluge)</v>
      </c>
      <c r="J178" s="19" t="str">
        <f>_xlfn.CONCAT(CLASSIFICATION[[#This Row],[Project Stage Aggr]],",",CLASSIFICATION[[#This Row],[Functional Scope Aggr]],",",CLASSIFICATION[[#This Row],[Keyword Aggr]])</f>
        <v>Development,Actions design and development,Scripts</v>
      </c>
      <c r="K178" s="19" t="str">
        <f>_xlfn.CONCAT(CLASSIFICATION[[#This Row],[Project Stage Aggr]],",",CLASSIFICATION[[#This Row],[Functional Scope Aggr]],",",CLASSIFICATION[[#This Row],[Keyword Aggr]],",",CLASSIFICATION[[#This Row],[Importance]])</f>
        <v>Development,Actions design and development,Scripts,-4</v>
      </c>
    </row>
    <row r="179" spans="2:11" x14ac:dyDescent="0.25">
      <c r="C179" t="s">
        <v>274</v>
      </c>
      <c r="D179" t="s">
        <v>274</v>
      </c>
      <c r="E179" s="38">
        <v>-4</v>
      </c>
      <c r="F179" s="19" t="str" cm="1">
        <f t="array" ref="F179">_xlfn.XLOOKUP(TRUE,A$2:A179&lt;&gt;"",A$2:A179,,,-1)</f>
        <v>Development</v>
      </c>
      <c r="G179" s="19" t="str" cm="1">
        <f t="array" ref="G179">_xlfn.XLOOKUP(TRUE,B$2:B179&lt;&gt;"",B$2:B179,,,-1)</f>
        <v>Actions design and development</v>
      </c>
      <c r="H179" s="19" t="str">
        <f>IF(CLASSIFICATION[[#This Row],[Classification (Generalized keyword)]]="",CLASSIFICATION[[#This Row],[Keyword]],CLASSIFICATION[[#This Row],[Classification (Generalized keyword)]])</f>
        <v>Scripts</v>
      </c>
      <c r="I179" s="19" t="str">
        <f>_xlfn.CONCAT(CLASSIFICATION[[#This Row],[Project Stage Aggr]],",",CLASSIFICATION[[#This Row],[Functional Scope Aggr]],",",CLASSIFICATION[[#This Row],[Keyword]])</f>
        <v>Development,Actions design and development,Scripts</v>
      </c>
      <c r="J179" s="19" t="str">
        <f>_xlfn.CONCAT(CLASSIFICATION[[#This Row],[Project Stage Aggr]],",",CLASSIFICATION[[#This Row],[Functional Scope Aggr]],",",CLASSIFICATION[[#This Row],[Keyword Aggr]])</f>
        <v>Development,Actions design and development,Scripts</v>
      </c>
      <c r="K179" s="19" t="str">
        <f>_xlfn.CONCAT(CLASSIFICATION[[#This Row],[Project Stage Aggr]],",",CLASSIFICATION[[#This Row],[Functional Scope Aggr]],",",CLASSIFICATION[[#This Row],[Keyword Aggr]],",",CLASSIFICATION[[#This Row],[Importance]])</f>
        <v>Development,Actions design and development,Scripts,-4</v>
      </c>
    </row>
    <row r="180" spans="2:11" x14ac:dyDescent="0.25">
      <c r="C180" t="s">
        <v>287</v>
      </c>
      <c r="E180" s="38">
        <v>-3</v>
      </c>
      <c r="F180" s="19" t="str" cm="1">
        <f t="array" ref="F180">_xlfn.XLOOKUP(TRUE,A$2:A180&lt;&gt;"",A$2:A180,,,-1)</f>
        <v>Development</v>
      </c>
      <c r="G180" s="19" t="str" cm="1">
        <f t="array" ref="G180">_xlfn.XLOOKUP(TRUE,B$2:B180&lt;&gt;"",B$2:B180,,,-1)</f>
        <v>Actions design and development</v>
      </c>
      <c r="H180" s="19" t="str">
        <f>IF(CLASSIFICATION[[#This Row],[Classification (Generalized keyword)]]="",CLASSIFICATION[[#This Row],[Keyword]],CLASSIFICATION[[#This Row],[Classification (Generalized keyword)]])</f>
        <v>SOAP</v>
      </c>
      <c r="I180" s="19" t="str">
        <f>_xlfn.CONCAT(CLASSIFICATION[[#This Row],[Project Stage Aggr]],",",CLASSIFICATION[[#This Row],[Functional Scope Aggr]],",",CLASSIFICATION[[#This Row],[Keyword]])</f>
        <v>Development,Actions design and development,SOAP</v>
      </c>
      <c r="J180" s="19" t="str">
        <f>_xlfn.CONCAT(CLASSIFICATION[[#This Row],[Project Stage Aggr]],",",CLASSIFICATION[[#This Row],[Functional Scope Aggr]],",",CLASSIFICATION[[#This Row],[Keyword Aggr]])</f>
        <v>Development,Actions design and development,SOAP</v>
      </c>
      <c r="K180" s="19" t="str">
        <f>_xlfn.CONCAT(CLASSIFICATION[[#This Row],[Project Stage Aggr]],",",CLASSIFICATION[[#This Row],[Functional Scope Aggr]],",",CLASSIFICATION[[#This Row],[Keyword Aggr]],",",CLASSIFICATION[[#This Row],[Importance]])</f>
        <v>Development,Actions design and development,SOAP,-3</v>
      </c>
    </row>
    <row r="181" spans="2:11" x14ac:dyDescent="0.25">
      <c r="B181" t="s">
        <v>16</v>
      </c>
      <c r="C181" t="s">
        <v>244</v>
      </c>
      <c r="E181" s="38">
        <v>-3</v>
      </c>
      <c r="F181" s="19" t="str" cm="1">
        <f t="array" ref="F181">_xlfn.XLOOKUP(TRUE,A$2:A181&lt;&gt;"",A$2:A181,,,-1)</f>
        <v>Development</v>
      </c>
      <c r="G181" s="19" t="str" cm="1">
        <f t="array" ref="G181">_xlfn.XLOOKUP(TRUE,B$2:B181&lt;&gt;"",B$2:B181,,,-1)</f>
        <v>Programming</v>
      </c>
      <c r="H181" s="19" t="str">
        <f>IF(CLASSIFICATION[[#This Row],[Classification (Generalized keyword)]]="",CLASSIFICATION[[#This Row],[Keyword]],CLASSIFICATION[[#This Row],[Classification (Generalized keyword)]])</f>
        <v>.NET</v>
      </c>
      <c r="I181" s="19" t="str">
        <f>_xlfn.CONCAT(CLASSIFICATION[[#This Row],[Project Stage Aggr]],",",CLASSIFICATION[[#This Row],[Functional Scope Aggr]],",",CLASSIFICATION[[#This Row],[Keyword]])</f>
        <v>Development,Programming,.NET</v>
      </c>
      <c r="J181" s="19" t="str">
        <f>_xlfn.CONCAT(CLASSIFICATION[[#This Row],[Project Stage Aggr]],",",CLASSIFICATION[[#This Row],[Functional Scope Aggr]],",",CLASSIFICATION[[#This Row],[Keyword Aggr]])</f>
        <v>Development,Programming,.NET</v>
      </c>
      <c r="K181" s="19" t="str">
        <f>_xlfn.CONCAT(CLASSIFICATION[[#This Row],[Project Stage Aggr]],",",CLASSIFICATION[[#This Row],[Functional Scope Aggr]],",",CLASSIFICATION[[#This Row],[Keyword Aggr]],",",CLASSIFICATION[[#This Row],[Importance]])</f>
        <v>Development,Programming,.NET,-3</v>
      </c>
    </row>
    <row r="182" spans="2:11" x14ac:dyDescent="0.25">
      <c r="C182" t="s">
        <v>288</v>
      </c>
      <c r="E182" s="38">
        <v>4</v>
      </c>
      <c r="F182" s="19" t="str" cm="1">
        <f t="array" ref="F182">_xlfn.XLOOKUP(TRUE,A$2:A182&lt;&gt;"",A$2:A182,,,-1)</f>
        <v>Development</v>
      </c>
      <c r="G182" s="19" t="str" cm="1">
        <f t="array" ref="G182">_xlfn.XLOOKUP(TRUE,B$2:B182&lt;&gt;"",B$2:B182,,,-1)</f>
        <v>Programming</v>
      </c>
      <c r="H182" s="19" t="str">
        <f>IF(CLASSIFICATION[[#This Row],[Classification (Generalized keyword)]]="",CLASSIFICATION[[#This Row],[Keyword]],CLASSIFICATION[[#This Row],[Classification (Generalized keyword)]])</f>
        <v>+Visual Programming</v>
      </c>
      <c r="I182" s="19" t="str">
        <f>_xlfn.CONCAT(CLASSIFICATION[[#This Row],[Project Stage Aggr]],",",CLASSIFICATION[[#This Row],[Functional Scope Aggr]],",",CLASSIFICATION[[#This Row],[Keyword]])</f>
        <v>Development,Programming,+Visual Programming</v>
      </c>
      <c r="J182" s="19" t="str">
        <f>_xlfn.CONCAT(CLASSIFICATION[[#This Row],[Project Stage Aggr]],",",CLASSIFICATION[[#This Row],[Functional Scope Aggr]],",",CLASSIFICATION[[#This Row],[Keyword Aggr]])</f>
        <v>Development,Programming,+Visual Programming</v>
      </c>
      <c r="K182" s="19" t="str">
        <f>_xlfn.CONCAT(CLASSIFICATION[[#This Row],[Project Stage Aggr]],",",CLASSIFICATION[[#This Row],[Functional Scope Aggr]],",",CLASSIFICATION[[#This Row],[Keyword Aggr]],",",CLASSIFICATION[[#This Row],[Importance]])</f>
        <v>Development,Programming,+Visual Programming,4</v>
      </c>
    </row>
    <row r="183" spans="2:11" x14ac:dyDescent="0.25">
      <c r="C183" t="s">
        <v>196</v>
      </c>
      <c r="D183" t="s">
        <v>181</v>
      </c>
      <c r="E183" s="38">
        <v>-1</v>
      </c>
      <c r="F183" s="19" t="str" cm="1">
        <f t="array" ref="F183">_xlfn.XLOOKUP(TRUE,A$2:A183&lt;&gt;"",A$2:A183,,,-1)</f>
        <v>Development</v>
      </c>
      <c r="G183" s="19" t="str" cm="1">
        <f t="array" ref="G183">_xlfn.XLOOKUP(TRUE,B$2:B183&lt;&gt;"",B$2:B183,,,-1)</f>
        <v>Programming</v>
      </c>
      <c r="H183" s="19" t="str">
        <f>IF(CLASSIFICATION[[#This Row],[Classification (Generalized keyword)]]="",CLASSIFICATION[[#This Row],[Keyword]],CLASSIFICATION[[#This Row],[Classification (Generalized keyword)]])</f>
        <v>Expressions</v>
      </c>
      <c r="I183" s="19" t="str">
        <f>_xlfn.CONCAT(CLASSIFICATION[[#This Row],[Project Stage Aggr]],",",CLASSIFICATION[[#This Row],[Functional Scope Aggr]],",",CLASSIFICATION[[#This Row],[Keyword]])</f>
        <v>Development,Programming,Boolean Expressions</v>
      </c>
      <c r="J183" s="19" t="str">
        <f>_xlfn.CONCAT(CLASSIFICATION[[#This Row],[Project Stage Aggr]],",",CLASSIFICATION[[#This Row],[Functional Scope Aggr]],",",CLASSIFICATION[[#This Row],[Keyword Aggr]])</f>
        <v>Development,Programming,Expressions</v>
      </c>
      <c r="K183" s="19" t="str">
        <f>_xlfn.CONCAT(CLASSIFICATION[[#This Row],[Project Stage Aggr]],",",CLASSIFICATION[[#This Row],[Functional Scope Aggr]],",",CLASSIFICATION[[#This Row],[Keyword Aggr]],",",CLASSIFICATION[[#This Row],[Importance]])</f>
        <v>Development,Programming,Expressions,-1</v>
      </c>
    </row>
    <row r="184" spans="2:11" x14ac:dyDescent="0.25">
      <c r="C184" t="s">
        <v>289</v>
      </c>
      <c r="D184" t="s">
        <v>368</v>
      </c>
      <c r="E184" s="38">
        <v>-3</v>
      </c>
      <c r="F184" s="19" t="str" cm="1">
        <f t="array" ref="F184">_xlfn.XLOOKUP(TRUE,A$2:A184&lt;&gt;"",A$2:A184,,,-1)</f>
        <v>Development</v>
      </c>
      <c r="G184" s="19" t="str" cm="1">
        <f t="array" ref="G184">_xlfn.XLOOKUP(TRUE,B$2:B184&lt;&gt;"",B$2:B184,,,-1)</f>
        <v>Programming</v>
      </c>
      <c r="H184" s="19" t="str">
        <f>IF(CLASSIFICATION[[#This Row],[Classification (Generalized keyword)]]="",CLASSIFICATION[[#This Row],[Keyword]],CLASSIFICATION[[#This Row],[Classification (Generalized keyword)]])</f>
        <v>CLI</v>
      </c>
      <c r="I184" s="19" t="str">
        <f>_xlfn.CONCAT(CLASSIFICATION[[#This Row],[Project Stage Aggr]],",",CLASSIFICATION[[#This Row],[Functional Scope Aggr]],",",CLASSIFICATION[[#This Row],[Keyword]])</f>
        <v>Development,Programming,CLI (Microsoft Power Platform CLI)</v>
      </c>
      <c r="J184" s="19" t="str">
        <f>_xlfn.CONCAT(CLASSIFICATION[[#This Row],[Project Stage Aggr]],",",CLASSIFICATION[[#This Row],[Functional Scope Aggr]],",",CLASSIFICATION[[#This Row],[Keyword Aggr]])</f>
        <v>Development,Programming,CLI</v>
      </c>
      <c r="K184" s="19" t="str">
        <f>_xlfn.CONCAT(CLASSIFICATION[[#This Row],[Project Stage Aggr]],",",CLASSIFICATION[[#This Row],[Functional Scope Aggr]],",",CLASSIFICATION[[#This Row],[Keyword Aggr]],",",CLASSIFICATION[[#This Row],[Importance]])</f>
        <v>Development,Programming,CLI,-3</v>
      </c>
    </row>
    <row r="185" spans="2:11" x14ac:dyDescent="0.25">
      <c r="C185" t="s">
        <v>290</v>
      </c>
      <c r="D185" t="s">
        <v>269</v>
      </c>
      <c r="E185" s="38">
        <v>-3</v>
      </c>
      <c r="F185" s="19" t="str" cm="1">
        <f t="array" ref="F185">_xlfn.XLOOKUP(TRUE,A$2:A185&lt;&gt;"",A$2:A185,,,-1)</f>
        <v>Development</v>
      </c>
      <c r="G185" s="19" t="str" cm="1">
        <f t="array" ref="G185">_xlfn.XLOOKUP(TRUE,B$2:B185&lt;&gt;"",B$2:B185,,,-1)</f>
        <v>Programming</v>
      </c>
      <c r="H185" s="19" t="str">
        <f>IF(CLASSIFICATION[[#This Row],[Classification (Generalized keyword)]]="",CLASSIFICATION[[#This Row],[Keyword]],CLASSIFICATION[[#This Row],[Classification (Generalized keyword)]])</f>
        <v>IT Data Types</v>
      </c>
      <c r="I185" s="19" t="str">
        <f>_xlfn.CONCAT(CLASSIFICATION[[#This Row],[Project Stage Aggr]],",",CLASSIFICATION[[#This Row],[Functional Scope Aggr]],",",CLASSIFICATION[[#This Row],[Keyword]])</f>
        <v>Development,Programming,Complex Types</v>
      </c>
      <c r="J185" s="19" t="str">
        <f>_xlfn.CONCAT(CLASSIFICATION[[#This Row],[Project Stage Aggr]],",",CLASSIFICATION[[#This Row],[Functional Scope Aggr]],",",CLASSIFICATION[[#This Row],[Keyword Aggr]])</f>
        <v>Development,Programming,IT Data Types</v>
      </c>
      <c r="K185" s="19" t="str">
        <f>_xlfn.CONCAT(CLASSIFICATION[[#This Row],[Project Stage Aggr]],",",CLASSIFICATION[[#This Row],[Functional Scope Aggr]],",",CLASSIFICATION[[#This Row],[Keyword Aggr]],",",CLASSIFICATION[[#This Row],[Importance]])</f>
        <v>Development,Programming,IT Data Types,-3</v>
      </c>
    </row>
    <row r="186" spans="2:11" x14ac:dyDescent="0.25">
      <c r="C186" t="s">
        <v>172</v>
      </c>
      <c r="D186" t="s">
        <v>181</v>
      </c>
      <c r="E186" s="38">
        <v>-1</v>
      </c>
      <c r="F186" s="19" t="str" cm="1">
        <f t="array" ref="F186">_xlfn.XLOOKUP(TRUE,A$2:A186&lt;&gt;"",A$2:A186,,,-1)</f>
        <v>Development</v>
      </c>
      <c r="G186" s="19" t="str" cm="1">
        <f t="array" ref="G186">_xlfn.XLOOKUP(TRUE,B$2:B186&lt;&gt;"",B$2:B186,,,-1)</f>
        <v>Programming</v>
      </c>
      <c r="H186" s="19" t="str">
        <f>IF(CLASSIFICATION[[#This Row],[Classification (Generalized keyword)]]="",CLASSIFICATION[[#This Row],[Keyword]],CLASSIFICATION[[#This Row],[Classification (Generalized keyword)]])</f>
        <v>Expressions</v>
      </c>
      <c r="I186" s="19" t="str">
        <f>_xlfn.CONCAT(CLASSIFICATION[[#This Row],[Project Stage Aggr]],",",CLASSIFICATION[[#This Row],[Functional Scope Aggr]],",",CLASSIFICATION[[#This Row],[Keyword]])</f>
        <v>Development,Programming,Conditional Expressions</v>
      </c>
      <c r="J186" s="19" t="str">
        <f>_xlfn.CONCAT(CLASSIFICATION[[#This Row],[Project Stage Aggr]],",",CLASSIFICATION[[#This Row],[Functional Scope Aggr]],",",CLASSIFICATION[[#This Row],[Keyword Aggr]])</f>
        <v>Development,Programming,Expressions</v>
      </c>
      <c r="K186" s="19" t="str">
        <f>_xlfn.CONCAT(CLASSIFICATION[[#This Row],[Project Stage Aggr]],",",CLASSIFICATION[[#This Row],[Functional Scope Aggr]],",",CLASSIFICATION[[#This Row],[Keyword Aggr]],",",CLASSIFICATION[[#This Row],[Importance]])</f>
        <v>Development,Programming,Expressions,-1</v>
      </c>
    </row>
    <row r="187" spans="2:11" x14ac:dyDescent="0.25">
      <c r="C187" t="s">
        <v>291</v>
      </c>
      <c r="E187" s="38">
        <v>-4</v>
      </c>
      <c r="F187" s="19" t="str" cm="1">
        <f t="array" ref="F187">_xlfn.XLOOKUP(TRUE,A$2:A187&lt;&gt;"",A$2:A187,,,-1)</f>
        <v>Development</v>
      </c>
      <c r="G187" s="19" t="str" cm="1">
        <f t="array" ref="G187">_xlfn.XLOOKUP(TRUE,B$2:B187&lt;&gt;"",B$2:B187,,,-1)</f>
        <v>Programming</v>
      </c>
      <c r="H187" s="19" t="str">
        <f>IF(CLASSIFICATION[[#This Row],[Classification (Generalized keyword)]]="",CLASSIFICATION[[#This Row],[Keyword]],CLASSIFICATION[[#This Row],[Classification (Generalized keyword)]])</f>
        <v>Eclipse</v>
      </c>
      <c r="I187" s="19" t="str">
        <f>_xlfn.CONCAT(CLASSIFICATION[[#This Row],[Project Stage Aggr]],",",CLASSIFICATION[[#This Row],[Functional Scope Aggr]],",",CLASSIFICATION[[#This Row],[Keyword]])</f>
        <v>Development,Programming,Eclipse</v>
      </c>
      <c r="J187" s="19" t="str">
        <f>_xlfn.CONCAT(CLASSIFICATION[[#This Row],[Project Stage Aggr]],",",CLASSIFICATION[[#This Row],[Functional Scope Aggr]],",",CLASSIFICATION[[#This Row],[Keyword Aggr]])</f>
        <v>Development,Programming,Eclipse</v>
      </c>
      <c r="K187" s="19" t="str">
        <f>_xlfn.CONCAT(CLASSIFICATION[[#This Row],[Project Stage Aggr]],",",CLASSIFICATION[[#This Row],[Functional Scope Aggr]],",",CLASSIFICATION[[#This Row],[Keyword Aggr]],",",CLASSIFICATION[[#This Row],[Importance]])</f>
        <v>Development,Programming,Eclipse,-4</v>
      </c>
    </row>
    <row r="188" spans="2:11" x14ac:dyDescent="0.25">
      <c r="C188" t="s">
        <v>292</v>
      </c>
      <c r="D188" t="s">
        <v>369</v>
      </c>
      <c r="E188" s="38">
        <v>-3</v>
      </c>
      <c r="F188" s="19" t="str" cm="1">
        <f t="array" ref="F188">_xlfn.XLOOKUP(TRUE,A$2:A188&lt;&gt;"",A$2:A188,,,-1)</f>
        <v>Development</v>
      </c>
      <c r="G188" s="19" t="str" cm="1">
        <f t="array" ref="G188">_xlfn.XLOOKUP(TRUE,B$2:B188&lt;&gt;"",B$2:B188,,,-1)</f>
        <v>Programming</v>
      </c>
      <c r="H188" s="19" t="str">
        <f>IF(CLASSIFICATION[[#This Row],[Classification (Generalized keyword)]]="",CLASSIFICATION[[#This Row],[Keyword]],CLASSIFICATION[[#This Row],[Classification (Generalized keyword)]])</f>
        <v>Emulators</v>
      </c>
      <c r="I188" s="19" t="str">
        <f>_xlfn.CONCAT(CLASSIFICATION[[#This Row],[Project Stage Aggr]],",",CLASSIFICATION[[#This Row],[Functional Scope Aggr]],",",CLASSIFICATION[[#This Row],[Keyword]])</f>
        <v>Development,Programming,Emulators Andoid iOS</v>
      </c>
      <c r="J188" s="19" t="str">
        <f>_xlfn.CONCAT(CLASSIFICATION[[#This Row],[Project Stage Aggr]],",",CLASSIFICATION[[#This Row],[Functional Scope Aggr]],",",CLASSIFICATION[[#This Row],[Keyword Aggr]])</f>
        <v>Development,Programming,Emulators</v>
      </c>
      <c r="K188" s="19" t="str">
        <f>_xlfn.CONCAT(CLASSIFICATION[[#This Row],[Project Stage Aggr]],",",CLASSIFICATION[[#This Row],[Functional Scope Aggr]],",",CLASSIFICATION[[#This Row],[Keyword Aggr]],",",CLASSIFICATION[[#This Row],[Importance]])</f>
        <v>Development,Programming,Emulators,-3</v>
      </c>
    </row>
    <row r="189" spans="2:11" x14ac:dyDescent="0.25">
      <c r="C189" t="s">
        <v>293</v>
      </c>
      <c r="E189" s="38">
        <v>-4</v>
      </c>
      <c r="F189" s="19" t="str" cm="1">
        <f t="array" ref="F189">_xlfn.XLOOKUP(TRUE,A$2:A189&lt;&gt;"",A$2:A189,,,-1)</f>
        <v>Development</v>
      </c>
      <c r="G189" s="19" t="str" cm="1">
        <f t="array" ref="G189">_xlfn.XLOOKUP(TRUE,B$2:B189&lt;&gt;"",B$2:B189,,,-1)</f>
        <v>Programming</v>
      </c>
      <c r="H189" s="19" t="str">
        <f>IF(CLASSIFICATION[[#This Row],[Classification (Generalized keyword)]]="",CLASSIFICATION[[#This Row],[Keyword]],CLASSIFICATION[[#This Row],[Classification (Generalized keyword)]])</f>
        <v>Entity Types</v>
      </c>
      <c r="I189" s="19" t="str">
        <f>_xlfn.CONCAT(CLASSIFICATION[[#This Row],[Project Stage Aggr]],",",CLASSIFICATION[[#This Row],[Functional Scope Aggr]],",",CLASSIFICATION[[#This Row],[Keyword]])</f>
        <v>Development,Programming,Entity Types</v>
      </c>
      <c r="J189" s="19" t="str">
        <f>_xlfn.CONCAT(CLASSIFICATION[[#This Row],[Project Stage Aggr]],",",CLASSIFICATION[[#This Row],[Functional Scope Aggr]],",",CLASSIFICATION[[#This Row],[Keyword Aggr]])</f>
        <v>Development,Programming,Entity Types</v>
      </c>
      <c r="K189" s="19" t="str">
        <f>_xlfn.CONCAT(CLASSIFICATION[[#This Row],[Project Stage Aggr]],",",CLASSIFICATION[[#This Row],[Functional Scope Aggr]],",",CLASSIFICATION[[#This Row],[Keyword Aggr]],",",CLASSIFICATION[[#This Row],[Importance]])</f>
        <v>Development,Programming,Entity Types,-4</v>
      </c>
    </row>
    <row r="190" spans="2:11" x14ac:dyDescent="0.25">
      <c r="C190" t="s">
        <v>294</v>
      </c>
      <c r="D190" t="s">
        <v>205</v>
      </c>
      <c r="E190" s="38">
        <v>-1</v>
      </c>
      <c r="F190" s="19" t="str" cm="1">
        <f t="array" ref="F190">_xlfn.XLOOKUP(TRUE,A$2:A190&lt;&gt;"",A$2:A190,,,-1)</f>
        <v>Development</v>
      </c>
      <c r="G190" s="19" t="str" cm="1">
        <f t="array" ref="G190">_xlfn.XLOOKUP(TRUE,B$2:B190&lt;&gt;"",B$2:B190,,,-1)</f>
        <v>Programming</v>
      </c>
      <c r="H190" s="19" t="str">
        <f>IF(CLASSIFICATION[[#This Row],[Classification (Generalized keyword)]]="",CLASSIFICATION[[#This Row],[Keyword]],CLASSIFICATION[[#This Row],[Classification (Generalized keyword)]])</f>
        <v>Enumerations</v>
      </c>
      <c r="I190" s="19" t="str">
        <f>_xlfn.CONCAT(CLASSIFICATION[[#This Row],[Project Stage Aggr]],",",CLASSIFICATION[[#This Row],[Functional Scope Aggr]],",",CLASSIFICATION[[#This Row],[Keyword]])</f>
        <v>Development,Programming,EnumTypes</v>
      </c>
      <c r="J190" s="19" t="str">
        <f>_xlfn.CONCAT(CLASSIFICATION[[#This Row],[Project Stage Aggr]],",",CLASSIFICATION[[#This Row],[Functional Scope Aggr]],",",CLASSIFICATION[[#This Row],[Keyword Aggr]])</f>
        <v>Development,Programming,Enumerations</v>
      </c>
      <c r="K190" s="19" t="str">
        <f>_xlfn.CONCAT(CLASSIFICATION[[#This Row],[Project Stage Aggr]],",",CLASSIFICATION[[#This Row],[Functional Scope Aggr]],",",CLASSIFICATION[[#This Row],[Keyword Aggr]],",",CLASSIFICATION[[#This Row],[Importance]])</f>
        <v>Development,Programming,Enumerations,-1</v>
      </c>
    </row>
    <row r="191" spans="2:11" x14ac:dyDescent="0.25">
      <c r="C191" t="s">
        <v>181</v>
      </c>
      <c r="D191" t="s">
        <v>181</v>
      </c>
      <c r="E191" s="38">
        <v>-1</v>
      </c>
      <c r="F191" s="19" t="str" cm="1">
        <f t="array" ref="F191">_xlfn.XLOOKUP(TRUE,A$2:A191&lt;&gt;"",A$2:A191,,,-1)</f>
        <v>Development</v>
      </c>
      <c r="G191" s="19" t="str" cm="1">
        <f t="array" ref="G191">_xlfn.XLOOKUP(TRUE,B$2:B191&lt;&gt;"",B$2:B191,,,-1)</f>
        <v>Programming</v>
      </c>
      <c r="H191" s="19" t="str">
        <f>IF(CLASSIFICATION[[#This Row],[Classification (Generalized keyword)]]="",CLASSIFICATION[[#This Row],[Keyword]],CLASSIFICATION[[#This Row],[Classification (Generalized keyword)]])</f>
        <v>Expressions</v>
      </c>
      <c r="I191" s="19" t="str">
        <f>_xlfn.CONCAT(CLASSIFICATION[[#This Row],[Project Stage Aggr]],",",CLASSIFICATION[[#This Row],[Functional Scope Aggr]],",",CLASSIFICATION[[#This Row],[Keyword]])</f>
        <v>Development,Programming,Expressions</v>
      </c>
      <c r="J191" s="19" t="str">
        <f>_xlfn.CONCAT(CLASSIFICATION[[#This Row],[Project Stage Aggr]],",",CLASSIFICATION[[#This Row],[Functional Scope Aggr]],",",CLASSIFICATION[[#This Row],[Keyword Aggr]])</f>
        <v>Development,Programming,Expressions</v>
      </c>
      <c r="K191" s="19" t="str">
        <f>_xlfn.CONCAT(CLASSIFICATION[[#This Row],[Project Stage Aggr]],",",CLASSIFICATION[[#This Row],[Functional Scope Aggr]],",",CLASSIFICATION[[#This Row],[Keyword Aggr]],",",CLASSIFICATION[[#This Row],[Importance]])</f>
        <v>Development,Programming,Expressions,-1</v>
      </c>
    </row>
    <row r="192" spans="2:11" x14ac:dyDescent="0.25">
      <c r="C192" t="s">
        <v>197</v>
      </c>
      <c r="E192" s="38">
        <v>-4</v>
      </c>
      <c r="F192" s="19" t="str" cm="1">
        <f t="array" ref="F192">_xlfn.XLOOKUP(TRUE,A$2:A192&lt;&gt;"",A$2:A192,,,-1)</f>
        <v>Development</v>
      </c>
      <c r="G192" s="19" t="str" cm="1">
        <f t="array" ref="G192">_xlfn.XLOOKUP(TRUE,B$2:B192&lt;&gt;"",B$2:B192,,,-1)</f>
        <v>Programming</v>
      </c>
      <c r="H192" s="19" t="str">
        <f>IF(CLASSIFICATION[[#This Row],[Classification (Generalized keyword)]]="",CLASSIFICATION[[#This Row],[Keyword]],CLASSIFICATION[[#This Row],[Classification (Generalized keyword)]])</f>
        <v>Functions</v>
      </c>
      <c r="I192" s="19" t="str">
        <f>_xlfn.CONCAT(CLASSIFICATION[[#This Row],[Project Stage Aggr]],",",CLASSIFICATION[[#This Row],[Functional Scope Aggr]],",",CLASSIFICATION[[#This Row],[Keyword]])</f>
        <v>Development,Programming,Functions</v>
      </c>
      <c r="J192" s="19" t="str">
        <f>_xlfn.CONCAT(CLASSIFICATION[[#This Row],[Project Stage Aggr]],",",CLASSIFICATION[[#This Row],[Functional Scope Aggr]],",",CLASSIFICATION[[#This Row],[Keyword Aggr]])</f>
        <v>Development,Programming,Functions</v>
      </c>
      <c r="K192" s="19" t="str">
        <f>_xlfn.CONCAT(CLASSIFICATION[[#This Row],[Project Stage Aggr]],",",CLASSIFICATION[[#This Row],[Functional Scope Aggr]],",",CLASSIFICATION[[#This Row],[Keyword Aggr]],",",CLASSIFICATION[[#This Row],[Importance]])</f>
        <v>Development,Programming,Functions,-4</v>
      </c>
    </row>
    <row r="193" spans="3:11" x14ac:dyDescent="0.25">
      <c r="C193" t="s">
        <v>268</v>
      </c>
      <c r="D193" t="s">
        <v>268</v>
      </c>
      <c r="E193" s="38">
        <v>-4</v>
      </c>
      <c r="F193" s="19" t="str" cm="1">
        <f t="array" ref="F193">_xlfn.XLOOKUP(TRUE,A$2:A193&lt;&gt;"",A$2:A193,,,-1)</f>
        <v>Development</v>
      </c>
      <c r="G193" s="19" t="str" cm="1">
        <f t="array" ref="G193">_xlfn.XLOOKUP(TRUE,B$2:B193&lt;&gt;"",B$2:B193,,,-1)</f>
        <v>Programming</v>
      </c>
      <c r="H193" s="19" t="str">
        <f>IF(CLASSIFICATION[[#This Row],[Classification (Generalized keyword)]]="",CLASSIFICATION[[#This Row],[Keyword]],CLASSIFICATION[[#This Row],[Classification (Generalized keyword)]])</f>
        <v>HTML</v>
      </c>
      <c r="I193" s="19" t="str">
        <f>_xlfn.CONCAT(CLASSIFICATION[[#This Row],[Project Stage Aggr]],",",CLASSIFICATION[[#This Row],[Functional Scope Aggr]],",",CLASSIFICATION[[#This Row],[Keyword]])</f>
        <v>Development,Programming,HTML</v>
      </c>
      <c r="J193" s="19" t="str">
        <f>_xlfn.CONCAT(CLASSIFICATION[[#This Row],[Project Stage Aggr]],",",CLASSIFICATION[[#This Row],[Functional Scope Aggr]],",",CLASSIFICATION[[#This Row],[Keyword Aggr]])</f>
        <v>Development,Programming,HTML</v>
      </c>
      <c r="K193" s="19" t="str">
        <f>_xlfn.CONCAT(CLASSIFICATION[[#This Row],[Project Stage Aggr]],",",CLASSIFICATION[[#This Row],[Functional Scope Aggr]],",",CLASSIFICATION[[#This Row],[Keyword Aggr]],",",CLASSIFICATION[[#This Row],[Importance]])</f>
        <v>Development,Programming,HTML,-4</v>
      </c>
    </row>
    <row r="194" spans="3:11" x14ac:dyDescent="0.25">
      <c r="C194" t="s">
        <v>295</v>
      </c>
      <c r="D194" t="s">
        <v>268</v>
      </c>
      <c r="E194" s="38">
        <v>-4</v>
      </c>
      <c r="F194" s="19" t="str" cm="1">
        <f t="array" ref="F194">_xlfn.XLOOKUP(TRUE,A$2:A194&lt;&gt;"",A$2:A194,,,-1)</f>
        <v>Development</v>
      </c>
      <c r="G194" s="19" t="str" cm="1">
        <f t="array" ref="G194">_xlfn.XLOOKUP(TRUE,B$2:B194&lt;&gt;"",B$2:B194,,,-1)</f>
        <v>Programming</v>
      </c>
      <c r="H194" s="19" t="str">
        <f>IF(CLASSIFICATION[[#This Row],[Classification (Generalized keyword)]]="",CLASSIFICATION[[#This Row],[Keyword]],CLASSIFICATION[[#This Row],[Classification (Generalized keyword)]])</f>
        <v>HTML</v>
      </c>
      <c r="I194" s="19" t="str">
        <f>_xlfn.CONCAT(CLASSIFICATION[[#This Row],[Project Stage Aggr]],",",CLASSIFICATION[[#This Row],[Functional Scope Aggr]],",",CLASSIFICATION[[#This Row],[Keyword]])</f>
        <v>Development,Programming,HTML DOM</v>
      </c>
      <c r="J194" s="19" t="str">
        <f>_xlfn.CONCAT(CLASSIFICATION[[#This Row],[Project Stage Aggr]],",",CLASSIFICATION[[#This Row],[Functional Scope Aggr]],",",CLASSIFICATION[[#This Row],[Keyword Aggr]])</f>
        <v>Development,Programming,HTML</v>
      </c>
      <c r="K194" s="19" t="str">
        <f>_xlfn.CONCAT(CLASSIFICATION[[#This Row],[Project Stage Aggr]],",",CLASSIFICATION[[#This Row],[Functional Scope Aggr]],",",CLASSIFICATION[[#This Row],[Keyword Aggr]],",",CLASSIFICATION[[#This Row],[Importance]])</f>
        <v>Development,Programming,HTML,-4</v>
      </c>
    </row>
    <row r="195" spans="3:11" x14ac:dyDescent="0.25">
      <c r="C195" t="s">
        <v>296</v>
      </c>
      <c r="D195" t="s">
        <v>425</v>
      </c>
      <c r="E195" s="38">
        <v>-4</v>
      </c>
      <c r="F195" s="19" t="str" cm="1">
        <f t="array" ref="F195">_xlfn.XLOOKUP(TRUE,A$2:A195&lt;&gt;"",A$2:A195,,,-1)</f>
        <v>Development</v>
      </c>
      <c r="G195" s="19" t="str" cm="1">
        <f t="array" ref="G195">_xlfn.XLOOKUP(TRUE,B$2:B195&lt;&gt;"",B$2:B195,,,-1)</f>
        <v>Programming</v>
      </c>
      <c r="H195" s="19" t="str">
        <f>IF(CLASSIFICATION[[#This Row],[Classification (Generalized keyword)]]="",CLASSIFICATION[[#This Row],[Keyword]],CLASSIFICATION[[#This Row],[Classification (Generalized keyword)]])</f>
        <v>SDK/IDE</v>
      </c>
      <c r="I195" s="19" t="str">
        <f>_xlfn.CONCAT(CLASSIFICATION[[#This Row],[Project Stage Aggr]],",",CLASSIFICATION[[#This Row],[Functional Scope Aggr]],",",CLASSIFICATION[[#This Row],[Keyword]])</f>
        <v>Development,Programming,IDE</v>
      </c>
      <c r="J195" s="19" t="str">
        <f>_xlfn.CONCAT(CLASSIFICATION[[#This Row],[Project Stage Aggr]],",",CLASSIFICATION[[#This Row],[Functional Scope Aggr]],",",CLASSIFICATION[[#This Row],[Keyword Aggr]])</f>
        <v>Development,Programming,SDK/IDE</v>
      </c>
      <c r="K195" s="19" t="str">
        <f>_xlfn.CONCAT(CLASSIFICATION[[#This Row],[Project Stage Aggr]],",",CLASSIFICATION[[#This Row],[Functional Scope Aggr]],",",CLASSIFICATION[[#This Row],[Keyword Aggr]],",",CLASSIFICATION[[#This Row],[Importance]])</f>
        <v>Development,Programming,SDK/IDE,-4</v>
      </c>
    </row>
    <row r="196" spans="3:11" x14ac:dyDescent="0.25">
      <c r="C196" t="s">
        <v>297</v>
      </c>
      <c r="D196" t="s">
        <v>425</v>
      </c>
      <c r="E196" s="38">
        <v>-4</v>
      </c>
      <c r="F196" s="19" t="str" cm="1">
        <f t="array" ref="F196">_xlfn.XLOOKUP(TRUE,A$2:A196&lt;&gt;"",A$2:A196,,,-1)</f>
        <v>Development</v>
      </c>
      <c r="G196" s="19" t="str" cm="1">
        <f t="array" ref="G196">_xlfn.XLOOKUP(TRUE,B$2:B196&lt;&gt;"",B$2:B196,,,-1)</f>
        <v>Programming</v>
      </c>
      <c r="H196" s="19" t="str">
        <f>IF(CLASSIFICATION[[#This Row],[Classification (Generalized keyword)]]="",CLASSIFICATION[[#This Row],[Keyword]],CLASSIFICATION[[#This Row],[Classification (Generalized keyword)]])</f>
        <v>SDK/IDE</v>
      </c>
      <c r="I196" s="19" t="str">
        <f>_xlfn.CONCAT(CLASSIFICATION[[#This Row],[Project Stage Aggr]],",",CLASSIFICATION[[#This Row],[Functional Scope Aggr]],",",CLASSIFICATION[[#This Row],[Keyword]])</f>
        <v>Development,Programming,IDE (Visual Studio Code)</v>
      </c>
      <c r="J196" s="19" t="str">
        <f>_xlfn.CONCAT(CLASSIFICATION[[#This Row],[Project Stage Aggr]],",",CLASSIFICATION[[#This Row],[Functional Scope Aggr]],",",CLASSIFICATION[[#This Row],[Keyword Aggr]])</f>
        <v>Development,Programming,SDK/IDE</v>
      </c>
      <c r="K196" s="19" t="str">
        <f>_xlfn.CONCAT(CLASSIFICATION[[#This Row],[Project Stage Aggr]],",",CLASSIFICATION[[#This Row],[Functional Scope Aggr]],",",CLASSIFICATION[[#This Row],[Keyword Aggr]],",",CLASSIFICATION[[#This Row],[Importance]])</f>
        <v>Development,Programming,SDK/IDE,-4</v>
      </c>
    </row>
    <row r="197" spans="3:11" x14ac:dyDescent="0.25">
      <c r="C197" t="s">
        <v>298</v>
      </c>
      <c r="E197" s="38">
        <v>-3</v>
      </c>
      <c r="F197" s="19" t="str" cm="1">
        <f t="array" ref="F197">_xlfn.XLOOKUP(TRUE,A$2:A197&lt;&gt;"",A$2:A197,,,-1)</f>
        <v>Development</v>
      </c>
      <c r="G197" s="19" t="str" cm="1">
        <f t="array" ref="G197">_xlfn.XLOOKUP(TRUE,B$2:B197&lt;&gt;"",B$2:B197,,,-1)</f>
        <v>Programming</v>
      </c>
      <c r="H197" s="19" t="str">
        <f>IF(CLASSIFICATION[[#This Row],[Classification (Generalized keyword)]]="",CLASSIFICATION[[#This Row],[Keyword]],CLASSIFICATION[[#This Row],[Classification (Generalized keyword)]])</f>
        <v>Iteration Statements</v>
      </c>
      <c r="I197" s="19" t="str">
        <f>_xlfn.CONCAT(CLASSIFICATION[[#This Row],[Project Stage Aggr]],",",CLASSIFICATION[[#This Row],[Functional Scope Aggr]],",",CLASSIFICATION[[#This Row],[Keyword]])</f>
        <v>Development,Programming,Iteration Statements</v>
      </c>
      <c r="J197" s="19" t="str">
        <f>_xlfn.CONCAT(CLASSIFICATION[[#This Row],[Project Stage Aggr]],",",CLASSIFICATION[[#This Row],[Functional Scope Aggr]],",",CLASSIFICATION[[#This Row],[Keyword Aggr]])</f>
        <v>Development,Programming,Iteration Statements</v>
      </c>
      <c r="K197" s="19" t="str">
        <f>_xlfn.CONCAT(CLASSIFICATION[[#This Row],[Project Stage Aggr]],",",CLASSIFICATION[[#This Row],[Functional Scope Aggr]],",",CLASSIFICATION[[#This Row],[Keyword Aggr]],",",CLASSIFICATION[[#This Row],[Importance]])</f>
        <v>Development,Programming,Iteration Statements,-3</v>
      </c>
    </row>
    <row r="198" spans="3:11" x14ac:dyDescent="0.25">
      <c r="C198" t="s">
        <v>221</v>
      </c>
      <c r="E198" s="38">
        <v>-4</v>
      </c>
      <c r="F198" s="19" t="str" cm="1">
        <f t="array" ref="F198">_xlfn.XLOOKUP(TRUE,A$2:A198&lt;&gt;"",A$2:A198,,,-1)</f>
        <v>Development</v>
      </c>
      <c r="G198" s="19" t="str" cm="1">
        <f t="array" ref="G198">_xlfn.XLOOKUP(TRUE,B$2:B198&lt;&gt;"",B$2:B198,,,-1)</f>
        <v>Programming</v>
      </c>
      <c r="H198" s="19" t="str">
        <f>IF(CLASSIFICATION[[#This Row],[Classification (Generalized keyword)]]="",CLASSIFICATION[[#This Row],[Keyword]],CLASSIFICATION[[#This Row],[Classification (Generalized keyword)]])</f>
        <v>Java</v>
      </c>
      <c r="I198" s="19" t="str">
        <f>_xlfn.CONCAT(CLASSIFICATION[[#This Row],[Project Stage Aggr]],",",CLASSIFICATION[[#This Row],[Functional Scope Aggr]],",",CLASSIFICATION[[#This Row],[Keyword]])</f>
        <v>Development,Programming,Java</v>
      </c>
      <c r="J198" s="19" t="str">
        <f>_xlfn.CONCAT(CLASSIFICATION[[#This Row],[Project Stage Aggr]],",",CLASSIFICATION[[#This Row],[Functional Scope Aggr]],",",CLASSIFICATION[[#This Row],[Keyword Aggr]])</f>
        <v>Development,Programming,Java</v>
      </c>
      <c r="K198" s="19" t="str">
        <f>_xlfn.CONCAT(CLASSIFICATION[[#This Row],[Project Stage Aggr]],",",CLASSIFICATION[[#This Row],[Functional Scope Aggr]],",",CLASSIFICATION[[#This Row],[Keyword Aggr]],",",CLASSIFICATION[[#This Row],[Importance]])</f>
        <v>Development,Programming,Java,-4</v>
      </c>
    </row>
    <row r="199" spans="3:11" x14ac:dyDescent="0.25">
      <c r="C199" t="s">
        <v>228</v>
      </c>
      <c r="E199" s="38">
        <v>-3</v>
      </c>
      <c r="F199" s="19" t="str" cm="1">
        <f t="array" ref="F199">_xlfn.XLOOKUP(TRUE,A$2:A199&lt;&gt;"",A$2:A199,,,-1)</f>
        <v>Development</v>
      </c>
      <c r="G199" s="19" t="str" cm="1">
        <f t="array" ref="G199">_xlfn.XLOOKUP(TRUE,B$2:B199&lt;&gt;"",B$2:B199,,,-1)</f>
        <v>Programming</v>
      </c>
      <c r="H199" s="19" t="str">
        <f>IF(CLASSIFICATION[[#This Row],[Classification (Generalized keyword)]]="",CLASSIFICATION[[#This Row],[Keyword]],CLASSIFICATION[[#This Row],[Classification (Generalized keyword)]])</f>
        <v>Java API</v>
      </c>
      <c r="I199" s="19" t="str">
        <f>_xlfn.CONCAT(CLASSIFICATION[[#This Row],[Project Stage Aggr]],",",CLASSIFICATION[[#This Row],[Functional Scope Aggr]],",",CLASSIFICATION[[#This Row],[Keyword]])</f>
        <v>Development,Programming,Java API</v>
      </c>
      <c r="J199" s="19" t="str">
        <f>_xlfn.CONCAT(CLASSIFICATION[[#This Row],[Project Stage Aggr]],",",CLASSIFICATION[[#This Row],[Functional Scope Aggr]],",",CLASSIFICATION[[#This Row],[Keyword Aggr]])</f>
        <v>Development,Programming,Java API</v>
      </c>
      <c r="K199" s="19" t="str">
        <f>_xlfn.CONCAT(CLASSIFICATION[[#This Row],[Project Stage Aggr]],",",CLASSIFICATION[[#This Row],[Functional Scope Aggr]],",",CLASSIFICATION[[#This Row],[Keyword Aggr]],",",CLASSIFICATION[[#This Row],[Importance]])</f>
        <v>Development,Programming,Java API,-3</v>
      </c>
    </row>
    <row r="200" spans="3:11" x14ac:dyDescent="0.25">
      <c r="C200" t="s">
        <v>206</v>
      </c>
      <c r="E200" s="38">
        <v>-4</v>
      </c>
      <c r="F200" s="19" t="str" cm="1">
        <f t="array" ref="F200">_xlfn.XLOOKUP(TRUE,A$2:A200&lt;&gt;"",A$2:A200,,,-1)</f>
        <v>Development</v>
      </c>
      <c r="G200" s="19" t="str" cm="1">
        <f t="array" ref="G200">_xlfn.XLOOKUP(TRUE,B$2:B200&lt;&gt;"",B$2:B200,,,-1)</f>
        <v>Programming</v>
      </c>
      <c r="H200" s="19" t="str">
        <f>IF(CLASSIFICATION[[#This Row],[Classification (Generalized keyword)]]="",CLASSIFICATION[[#This Row],[Keyword]],CLASSIFICATION[[#This Row],[Classification (Generalized keyword)]])</f>
        <v>JavaScript</v>
      </c>
      <c r="I200" s="19" t="str">
        <f>_xlfn.CONCAT(CLASSIFICATION[[#This Row],[Project Stage Aggr]],",",CLASSIFICATION[[#This Row],[Functional Scope Aggr]],",",CLASSIFICATION[[#This Row],[Keyword]])</f>
        <v>Development,Programming,JavaScript</v>
      </c>
      <c r="J200" s="19" t="str">
        <f>_xlfn.CONCAT(CLASSIFICATION[[#This Row],[Project Stage Aggr]],",",CLASSIFICATION[[#This Row],[Functional Scope Aggr]],",",CLASSIFICATION[[#This Row],[Keyword Aggr]])</f>
        <v>Development,Programming,JavaScript</v>
      </c>
      <c r="K200" s="19" t="str">
        <f>_xlfn.CONCAT(CLASSIFICATION[[#This Row],[Project Stage Aggr]],",",CLASSIFICATION[[#This Row],[Functional Scope Aggr]],",",CLASSIFICATION[[#This Row],[Keyword Aggr]],",",CLASSIFICATION[[#This Row],[Importance]])</f>
        <v>Development,Programming,JavaScript,-4</v>
      </c>
    </row>
    <row r="201" spans="3:11" x14ac:dyDescent="0.25">
      <c r="C201" t="s">
        <v>299</v>
      </c>
      <c r="E201" s="38">
        <v>-4</v>
      </c>
      <c r="F201" s="19" t="str" cm="1">
        <f t="array" ref="F201">_xlfn.XLOOKUP(TRUE,A$2:A201&lt;&gt;"",A$2:A201,,,-1)</f>
        <v>Development</v>
      </c>
      <c r="G201" s="19" t="str" cm="1">
        <f t="array" ref="G201">_xlfn.XLOOKUP(TRUE,B$2:B201&lt;&gt;"",B$2:B201,,,-1)</f>
        <v>Programming</v>
      </c>
      <c r="H201" s="19" t="str">
        <f>IF(CLASSIFICATION[[#This Row],[Classification (Generalized keyword)]]="",CLASSIFICATION[[#This Row],[Keyword]],CLASSIFICATION[[#This Row],[Classification (Generalized keyword)]])</f>
        <v>JSON</v>
      </c>
      <c r="I201" s="19" t="str">
        <f>_xlfn.CONCAT(CLASSIFICATION[[#This Row],[Project Stage Aggr]],",",CLASSIFICATION[[#This Row],[Functional Scope Aggr]],",",CLASSIFICATION[[#This Row],[Keyword]])</f>
        <v>Development,Programming,JSON</v>
      </c>
      <c r="J201" s="19" t="str">
        <f>_xlfn.CONCAT(CLASSIFICATION[[#This Row],[Project Stage Aggr]],",",CLASSIFICATION[[#This Row],[Functional Scope Aggr]],",",CLASSIFICATION[[#This Row],[Keyword Aggr]])</f>
        <v>Development,Programming,JSON</v>
      </c>
      <c r="K201" s="19" t="str">
        <f>_xlfn.CONCAT(CLASSIFICATION[[#This Row],[Project Stage Aggr]],",",CLASSIFICATION[[#This Row],[Functional Scope Aggr]],",",CLASSIFICATION[[#This Row],[Keyword Aggr]],",",CLASSIFICATION[[#This Row],[Importance]])</f>
        <v>Development,Programming,JSON,-4</v>
      </c>
    </row>
    <row r="202" spans="3:11" x14ac:dyDescent="0.25">
      <c r="C202" t="s">
        <v>300</v>
      </c>
      <c r="E202" s="38">
        <v>-4</v>
      </c>
      <c r="F202" s="19" t="str" cm="1">
        <f t="array" ref="F202">_xlfn.XLOOKUP(TRUE,A$2:A202&lt;&gt;"",A$2:A202,,,-1)</f>
        <v>Development</v>
      </c>
      <c r="G202" s="19" t="str" cm="1">
        <f t="array" ref="G202">_xlfn.XLOOKUP(TRUE,B$2:B202&lt;&gt;"",B$2:B202,,,-1)</f>
        <v>Programming</v>
      </c>
      <c r="H202" s="19" t="str">
        <f>IF(CLASSIFICATION[[#This Row],[Classification (Generalized keyword)]]="",CLASSIFICATION[[#This Row],[Keyword]],CLASSIFICATION[[#This Row],[Classification (Generalized keyword)]])</f>
        <v>Markup Language</v>
      </c>
      <c r="I202" s="19" t="str">
        <f>_xlfn.CONCAT(CLASSIFICATION[[#This Row],[Project Stage Aggr]],",",CLASSIFICATION[[#This Row],[Functional Scope Aggr]],",",CLASSIFICATION[[#This Row],[Keyword]])</f>
        <v>Development,Programming,Markup Language</v>
      </c>
      <c r="J202" s="19" t="str">
        <f>_xlfn.CONCAT(CLASSIFICATION[[#This Row],[Project Stage Aggr]],",",CLASSIFICATION[[#This Row],[Functional Scope Aggr]],",",CLASSIFICATION[[#This Row],[Keyword Aggr]])</f>
        <v>Development,Programming,Markup Language</v>
      </c>
      <c r="K202" s="19" t="str">
        <f>_xlfn.CONCAT(CLASSIFICATION[[#This Row],[Project Stage Aggr]],",",CLASSIFICATION[[#This Row],[Functional Scope Aggr]],",",CLASSIFICATION[[#This Row],[Keyword Aggr]],",",CLASSIFICATION[[#This Row],[Importance]])</f>
        <v>Development,Programming,Markup Language,-4</v>
      </c>
    </row>
    <row r="203" spans="3:11" x14ac:dyDescent="0.25">
      <c r="C203" t="s">
        <v>301</v>
      </c>
      <c r="E203" s="38">
        <v>-3</v>
      </c>
      <c r="F203" s="19" t="str" cm="1">
        <f t="array" ref="F203">_xlfn.XLOOKUP(TRUE,A$2:A203&lt;&gt;"",A$2:A203,,,-1)</f>
        <v>Development</v>
      </c>
      <c r="G203" s="19" t="str" cm="1">
        <f t="array" ref="G203">_xlfn.XLOOKUP(TRUE,B$2:B203&lt;&gt;"",B$2:B203,,,-1)</f>
        <v>Programming</v>
      </c>
      <c r="H203" s="19" t="str">
        <f>IF(CLASSIFICATION[[#This Row],[Classification (Generalized keyword)]]="",CLASSIFICATION[[#This Row],[Keyword]],CLASSIFICATION[[#This Row],[Classification (Generalized keyword)]])</f>
        <v>Metadata</v>
      </c>
      <c r="I203" s="19" t="str">
        <f>_xlfn.CONCAT(CLASSIFICATION[[#This Row],[Project Stage Aggr]],",",CLASSIFICATION[[#This Row],[Functional Scope Aggr]],",",CLASSIFICATION[[#This Row],[Keyword]])</f>
        <v>Development,Programming,Metadata</v>
      </c>
      <c r="J203" s="19" t="str">
        <f>_xlfn.CONCAT(CLASSIFICATION[[#This Row],[Project Stage Aggr]],",",CLASSIFICATION[[#This Row],[Functional Scope Aggr]],",",CLASSIFICATION[[#This Row],[Keyword Aggr]])</f>
        <v>Development,Programming,Metadata</v>
      </c>
      <c r="K203" s="19" t="str">
        <f>_xlfn.CONCAT(CLASSIFICATION[[#This Row],[Project Stage Aggr]],",",CLASSIFICATION[[#This Row],[Functional Scope Aggr]],",",CLASSIFICATION[[#This Row],[Keyword Aggr]],",",CLASSIFICATION[[#This Row],[Importance]])</f>
        <v>Development,Programming,Metadata,-3</v>
      </c>
    </row>
    <row r="204" spans="3:11" x14ac:dyDescent="0.25">
      <c r="C204" t="s">
        <v>302</v>
      </c>
      <c r="E204" s="38">
        <v>-3</v>
      </c>
      <c r="F204" s="19" t="str" cm="1">
        <f t="array" ref="F204">_xlfn.XLOOKUP(TRUE,A$2:A204&lt;&gt;"",A$2:A204,,,-1)</f>
        <v>Development</v>
      </c>
      <c r="G204" s="19" t="str" cm="1">
        <f t="array" ref="G204">_xlfn.XLOOKUP(TRUE,B$2:B204&lt;&gt;"",B$2:B204,,,-1)</f>
        <v>Programming</v>
      </c>
      <c r="H204" s="19" t="str">
        <f>IF(CLASSIFICATION[[#This Row],[Classification (Generalized keyword)]]="",CLASSIFICATION[[#This Row],[Keyword]],CLASSIFICATION[[#This Row],[Classification (Generalized keyword)]])</f>
        <v>Native Mobile App</v>
      </c>
      <c r="I204" s="19" t="str">
        <f>_xlfn.CONCAT(CLASSIFICATION[[#This Row],[Project Stage Aggr]],",",CLASSIFICATION[[#This Row],[Functional Scope Aggr]],",",CLASSIFICATION[[#This Row],[Keyword]])</f>
        <v>Development,Programming,Native Mobile App</v>
      </c>
      <c r="J204" s="19" t="str">
        <f>_xlfn.CONCAT(CLASSIFICATION[[#This Row],[Project Stage Aggr]],",",CLASSIFICATION[[#This Row],[Functional Scope Aggr]],",",CLASSIFICATION[[#This Row],[Keyword Aggr]])</f>
        <v>Development,Programming,Native Mobile App</v>
      </c>
      <c r="K204" s="19" t="str">
        <f>_xlfn.CONCAT(CLASSIFICATION[[#This Row],[Project Stage Aggr]],",",CLASSIFICATION[[#This Row],[Functional Scope Aggr]],",",CLASSIFICATION[[#This Row],[Keyword Aggr]],",",CLASSIFICATION[[#This Row],[Importance]])</f>
        <v>Development,Programming,Native Mobile App,-3</v>
      </c>
    </row>
    <row r="205" spans="3:11" x14ac:dyDescent="0.25">
      <c r="C205" t="s">
        <v>303</v>
      </c>
      <c r="E205" s="38">
        <v>-4</v>
      </c>
      <c r="F205" s="19" t="str" cm="1">
        <f t="array" ref="F205">_xlfn.XLOOKUP(TRUE,A$2:A205&lt;&gt;"",A$2:A205,,,-1)</f>
        <v>Development</v>
      </c>
      <c r="G205" s="19" t="str" cm="1">
        <f t="array" ref="G205">_xlfn.XLOOKUP(TRUE,B$2:B205&lt;&gt;"",B$2:B205,,,-1)</f>
        <v>Programming</v>
      </c>
      <c r="H205" s="19" t="str">
        <f>IF(CLASSIFICATION[[#This Row],[Classification (Generalized keyword)]]="",CLASSIFICATION[[#This Row],[Keyword]],CLASSIFICATION[[#This Row],[Classification (Generalized keyword)]])</f>
        <v>node.js</v>
      </c>
      <c r="I205" s="19" t="str">
        <f>_xlfn.CONCAT(CLASSIFICATION[[#This Row],[Project Stage Aggr]],",",CLASSIFICATION[[#This Row],[Functional Scope Aggr]],",",CLASSIFICATION[[#This Row],[Keyword]])</f>
        <v>Development,Programming,node.js</v>
      </c>
      <c r="J205" s="19" t="str">
        <f>_xlfn.CONCAT(CLASSIFICATION[[#This Row],[Project Stage Aggr]],",",CLASSIFICATION[[#This Row],[Functional Scope Aggr]],",",CLASSIFICATION[[#This Row],[Keyword Aggr]])</f>
        <v>Development,Programming,node.js</v>
      </c>
      <c r="K205" s="19" t="str">
        <f>_xlfn.CONCAT(CLASSIFICATION[[#This Row],[Project Stage Aggr]],",",CLASSIFICATION[[#This Row],[Functional Scope Aggr]],",",CLASSIFICATION[[#This Row],[Keyword Aggr]],",",CLASSIFICATION[[#This Row],[Importance]])</f>
        <v>Development,Programming,node.js,-4</v>
      </c>
    </row>
    <row r="206" spans="3:11" x14ac:dyDescent="0.25">
      <c r="C206" t="s">
        <v>304</v>
      </c>
      <c r="E206" s="38">
        <v>-4</v>
      </c>
      <c r="F206" s="19" t="str" cm="1">
        <f t="array" ref="F206">_xlfn.XLOOKUP(TRUE,A$2:A206&lt;&gt;"",A$2:A206,,,-1)</f>
        <v>Development</v>
      </c>
      <c r="G206" s="19" t="str" cm="1">
        <f t="array" ref="G206">_xlfn.XLOOKUP(TRUE,B$2:B206&lt;&gt;"",B$2:B206,,,-1)</f>
        <v>Programming</v>
      </c>
      <c r="H206" s="19" t="str">
        <f>IF(CLASSIFICATION[[#This Row],[Classification (Generalized keyword)]]="",CLASSIFICATION[[#This Row],[Keyword]],CLASSIFICATION[[#This Row],[Classification (Generalized keyword)]])</f>
        <v>PWA</v>
      </c>
      <c r="I206" s="19" t="str">
        <f>_xlfn.CONCAT(CLASSIFICATION[[#This Row],[Project Stage Aggr]],",",CLASSIFICATION[[#This Row],[Functional Scope Aggr]],",",CLASSIFICATION[[#This Row],[Keyword]])</f>
        <v>Development,Programming,PWA</v>
      </c>
      <c r="J206" s="19" t="str">
        <f>_xlfn.CONCAT(CLASSIFICATION[[#This Row],[Project Stage Aggr]],",",CLASSIFICATION[[#This Row],[Functional Scope Aggr]],",",CLASSIFICATION[[#This Row],[Keyword Aggr]])</f>
        <v>Development,Programming,PWA</v>
      </c>
      <c r="K206" s="19" t="str">
        <f>_xlfn.CONCAT(CLASSIFICATION[[#This Row],[Project Stage Aggr]],",",CLASSIFICATION[[#This Row],[Functional Scope Aggr]],",",CLASSIFICATION[[#This Row],[Keyword Aggr]],",",CLASSIFICATION[[#This Row],[Importance]])</f>
        <v>Development,Programming,PWA,-4</v>
      </c>
    </row>
    <row r="207" spans="3:11" x14ac:dyDescent="0.25">
      <c r="C207" t="s">
        <v>305</v>
      </c>
      <c r="E207" s="38">
        <v>-3</v>
      </c>
      <c r="F207" s="19" t="str" cm="1">
        <f t="array" ref="F207">_xlfn.XLOOKUP(TRUE,A$2:A207&lt;&gt;"",A$2:A207,,,-1)</f>
        <v>Development</v>
      </c>
      <c r="G207" s="19" t="str" cm="1">
        <f t="array" ref="G207">_xlfn.XLOOKUP(TRUE,B$2:B207&lt;&gt;"",B$2:B207,,,-1)</f>
        <v>Programming</v>
      </c>
      <c r="H207" s="19" t="str">
        <f>IF(CLASSIFICATION[[#This Row],[Classification (Generalized keyword)]]="",CLASSIFICATION[[#This Row],[Keyword]],CLASSIFICATION[[#This Row],[Classification (Generalized keyword)]])</f>
        <v>Query Functions</v>
      </c>
      <c r="I207" s="19" t="str">
        <f>_xlfn.CONCAT(CLASSIFICATION[[#This Row],[Project Stage Aggr]],",",CLASSIFICATION[[#This Row],[Functional Scope Aggr]],",",CLASSIFICATION[[#This Row],[Keyword]])</f>
        <v>Development,Programming,Query Functions</v>
      </c>
      <c r="J207" s="19" t="str">
        <f>_xlfn.CONCAT(CLASSIFICATION[[#This Row],[Project Stage Aggr]],",",CLASSIFICATION[[#This Row],[Functional Scope Aggr]],",",CLASSIFICATION[[#This Row],[Keyword Aggr]])</f>
        <v>Development,Programming,Query Functions</v>
      </c>
      <c r="K207" s="19" t="str">
        <f>_xlfn.CONCAT(CLASSIFICATION[[#This Row],[Project Stage Aggr]],",",CLASSIFICATION[[#This Row],[Functional Scope Aggr]],",",CLASSIFICATION[[#This Row],[Keyword Aggr]],",",CLASSIFICATION[[#This Row],[Importance]])</f>
        <v>Development,Programming,Query Functions,-3</v>
      </c>
    </row>
    <row r="208" spans="3:11" x14ac:dyDescent="0.25">
      <c r="C208" t="s">
        <v>207</v>
      </c>
      <c r="D208" t="s">
        <v>274</v>
      </c>
      <c r="E208" s="38">
        <v>-4</v>
      </c>
      <c r="F208" s="19" t="str" cm="1">
        <f t="array" ref="F208">_xlfn.XLOOKUP(TRUE,A$2:A208&lt;&gt;"",A$2:A208,,,-1)</f>
        <v>Development</v>
      </c>
      <c r="G208" s="19" t="str" cm="1">
        <f t="array" ref="G208">_xlfn.XLOOKUP(TRUE,B$2:B208&lt;&gt;"",B$2:B208,,,-1)</f>
        <v>Programming</v>
      </c>
      <c r="H208" s="19" t="str">
        <f>IF(CLASSIFICATION[[#This Row],[Classification (Generalized keyword)]]="",CLASSIFICATION[[#This Row],[Keyword]],CLASSIFICATION[[#This Row],[Classification (Generalized keyword)]])</f>
        <v>Scripts</v>
      </c>
      <c r="I208" s="19" t="str">
        <f>_xlfn.CONCAT(CLASSIFICATION[[#This Row],[Project Stage Aggr]],",",CLASSIFICATION[[#This Row],[Functional Scope Aggr]],",",CLASSIFICATION[[#This Row],[Keyword]])</f>
        <v>Development,Programming,Scripts (Deluge)</v>
      </c>
      <c r="J208" s="19" t="str">
        <f>_xlfn.CONCAT(CLASSIFICATION[[#This Row],[Project Stage Aggr]],",",CLASSIFICATION[[#This Row],[Functional Scope Aggr]],",",CLASSIFICATION[[#This Row],[Keyword Aggr]])</f>
        <v>Development,Programming,Scripts</v>
      </c>
      <c r="K208" s="19" t="str">
        <f>_xlfn.CONCAT(CLASSIFICATION[[#This Row],[Project Stage Aggr]],",",CLASSIFICATION[[#This Row],[Functional Scope Aggr]],",",CLASSIFICATION[[#This Row],[Keyword Aggr]],",",CLASSIFICATION[[#This Row],[Importance]])</f>
        <v>Development,Programming,Scripts,-4</v>
      </c>
    </row>
    <row r="209" spans="1:11" x14ac:dyDescent="0.25">
      <c r="C209" t="s">
        <v>254</v>
      </c>
      <c r="D209" t="s">
        <v>425</v>
      </c>
      <c r="E209" s="38">
        <v>-4</v>
      </c>
      <c r="F209" s="19" t="str" cm="1">
        <f t="array" ref="F209">_xlfn.XLOOKUP(TRUE,A$2:A209&lt;&gt;"",A$2:A209,,,-1)</f>
        <v>Development</v>
      </c>
      <c r="G209" s="19" t="str" cm="1">
        <f t="array" ref="G209">_xlfn.XLOOKUP(TRUE,B$2:B209&lt;&gt;"",B$2:B209,,,-1)</f>
        <v>Programming</v>
      </c>
      <c r="H209" s="19" t="str">
        <f>IF(CLASSIFICATION[[#This Row],[Classification (Generalized keyword)]]="",CLASSIFICATION[[#This Row],[Keyword]],CLASSIFICATION[[#This Row],[Classification (Generalized keyword)]])</f>
        <v>SDK/IDE</v>
      </c>
      <c r="I209" s="19" t="str">
        <f>_xlfn.CONCAT(CLASSIFICATION[[#This Row],[Project Stage Aggr]],",",CLASSIFICATION[[#This Row],[Functional Scope Aggr]],",",CLASSIFICATION[[#This Row],[Keyword]])</f>
        <v>Development,Programming,SDK</v>
      </c>
      <c r="J209" s="19" t="str">
        <f>_xlfn.CONCAT(CLASSIFICATION[[#This Row],[Project Stage Aggr]],",",CLASSIFICATION[[#This Row],[Functional Scope Aggr]],",",CLASSIFICATION[[#This Row],[Keyword Aggr]])</f>
        <v>Development,Programming,SDK/IDE</v>
      </c>
      <c r="K209" s="19" t="str">
        <f>_xlfn.CONCAT(CLASSIFICATION[[#This Row],[Project Stage Aggr]],",",CLASSIFICATION[[#This Row],[Functional Scope Aggr]],",",CLASSIFICATION[[#This Row],[Keyword Aggr]],",",CLASSIFICATION[[#This Row],[Importance]])</f>
        <v>Development,Programming,SDK/IDE,-4</v>
      </c>
    </row>
    <row r="210" spans="1:11" x14ac:dyDescent="0.25">
      <c r="C210" t="s">
        <v>306</v>
      </c>
      <c r="D210" t="s">
        <v>275</v>
      </c>
      <c r="E210" s="38">
        <v>-4</v>
      </c>
      <c r="F210" s="19" t="str" cm="1">
        <f t="array" ref="F210">_xlfn.XLOOKUP(TRUE,A$2:A210&lt;&gt;"",A$2:A210,,,-1)</f>
        <v>Development</v>
      </c>
      <c r="G210" s="19" t="str" cm="1">
        <f t="array" ref="G210">_xlfn.XLOOKUP(TRUE,B$2:B210&lt;&gt;"",B$2:B210,,,-1)</f>
        <v>Programming</v>
      </c>
      <c r="H210" s="19" t="str">
        <f>IF(CLASSIFICATION[[#This Row],[Classification (Generalized keyword)]]="",CLASSIFICATION[[#This Row],[Keyword]],CLASSIFICATION[[#This Row],[Classification (Generalized keyword)]])</f>
        <v>Snippets</v>
      </c>
      <c r="I210" s="19" t="str">
        <f>_xlfn.CONCAT(CLASSIFICATION[[#This Row],[Project Stage Aggr]],",",CLASSIFICATION[[#This Row],[Functional Scope Aggr]],",",CLASSIFICATION[[#This Row],[Keyword]])</f>
        <v>Development,Programming,Snippets (ZML)</v>
      </c>
      <c r="J210" s="19" t="str">
        <f>_xlfn.CONCAT(CLASSIFICATION[[#This Row],[Project Stage Aggr]],",",CLASSIFICATION[[#This Row],[Functional Scope Aggr]],",",CLASSIFICATION[[#This Row],[Keyword Aggr]])</f>
        <v>Development,Programming,Snippets</v>
      </c>
      <c r="K210" s="19" t="str">
        <f>_xlfn.CONCAT(CLASSIFICATION[[#This Row],[Project Stage Aggr]],",",CLASSIFICATION[[#This Row],[Functional Scope Aggr]],",",CLASSIFICATION[[#This Row],[Keyword Aggr]],",",CLASSIFICATION[[#This Row],[Importance]])</f>
        <v>Development,Programming,Snippets,-4</v>
      </c>
    </row>
    <row r="211" spans="1:11" x14ac:dyDescent="0.25">
      <c r="C211" t="s">
        <v>307</v>
      </c>
      <c r="E211" s="38">
        <v>-4</v>
      </c>
      <c r="F211" s="19" t="str" cm="1">
        <f t="array" ref="F211">_xlfn.XLOOKUP(TRUE,A$2:A211&lt;&gt;"",A$2:A211,,,-1)</f>
        <v>Development</v>
      </c>
      <c r="G211" s="19" t="str" cm="1">
        <f t="array" ref="G211">_xlfn.XLOOKUP(TRUE,B$2:B211&lt;&gt;"",B$2:B211,,,-1)</f>
        <v>Programming</v>
      </c>
      <c r="H211" s="19" t="str">
        <f>IF(CLASSIFICATION[[#This Row],[Classification (Generalized keyword)]]="",CLASSIFICATION[[#This Row],[Keyword]],CLASSIFICATION[[#This Row],[Classification (Generalized keyword)]])</f>
        <v>TypeScript</v>
      </c>
      <c r="I211" s="19" t="str">
        <f>_xlfn.CONCAT(CLASSIFICATION[[#This Row],[Project Stage Aggr]],",",CLASSIFICATION[[#This Row],[Functional Scope Aggr]],",",CLASSIFICATION[[#This Row],[Keyword]])</f>
        <v>Development,Programming,TypeScript</v>
      </c>
      <c r="J211" s="19" t="str">
        <f>_xlfn.CONCAT(CLASSIFICATION[[#This Row],[Project Stage Aggr]],",",CLASSIFICATION[[#This Row],[Functional Scope Aggr]],",",CLASSIFICATION[[#This Row],[Keyword Aggr]])</f>
        <v>Development,Programming,TypeScript</v>
      </c>
      <c r="K211" s="19" t="str">
        <f>_xlfn.CONCAT(CLASSIFICATION[[#This Row],[Project Stage Aggr]],",",CLASSIFICATION[[#This Row],[Functional Scope Aggr]],",",CLASSIFICATION[[#This Row],[Keyword Aggr]],",",CLASSIFICATION[[#This Row],[Importance]])</f>
        <v>Development,Programming,TypeScript,-4</v>
      </c>
    </row>
    <row r="212" spans="1:11" x14ac:dyDescent="0.25">
      <c r="C212" t="s">
        <v>259</v>
      </c>
      <c r="D212" t="s">
        <v>259</v>
      </c>
      <c r="E212" s="38">
        <v>-4</v>
      </c>
      <c r="F212" s="19" t="str" cm="1">
        <f t="array" ref="F212">_xlfn.XLOOKUP(TRUE,A$2:A212&lt;&gt;"",A$2:A212,,,-1)</f>
        <v>Development</v>
      </c>
      <c r="G212" s="19" t="str" cm="1">
        <f t="array" ref="G212">_xlfn.XLOOKUP(TRUE,B$2:B212&lt;&gt;"",B$2:B212,,,-1)</f>
        <v>Programming</v>
      </c>
      <c r="H212" s="19" t="str">
        <f>IF(CLASSIFICATION[[#This Row],[Classification (Generalized keyword)]]="",CLASSIFICATION[[#This Row],[Keyword]],CLASSIFICATION[[#This Row],[Classification (Generalized keyword)]])</f>
        <v>Web API</v>
      </c>
      <c r="I212" s="19" t="str">
        <f>_xlfn.CONCAT(CLASSIFICATION[[#This Row],[Project Stage Aggr]],",",CLASSIFICATION[[#This Row],[Functional Scope Aggr]],",",CLASSIFICATION[[#This Row],[Keyword]])</f>
        <v>Development,Programming,Web API</v>
      </c>
      <c r="J212" s="19" t="str">
        <f>_xlfn.CONCAT(CLASSIFICATION[[#This Row],[Project Stage Aggr]],",",CLASSIFICATION[[#This Row],[Functional Scope Aggr]],",",CLASSIFICATION[[#This Row],[Keyword Aggr]])</f>
        <v>Development,Programming,Web API</v>
      </c>
      <c r="K212" s="19" t="str">
        <f>_xlfn.CONCAT(CLASSIFICATION[[#This Row],[Project Stage Aggr]],",",CLASSIFICATION[[#This Row],[Functional Scope Aggr]],",",CLASSIFICATION[[#This Row],[Keyword Aggr]],",",CLASSIFICATION[[#This Row],[Importance]])</f>
        <v>Development,Programming,Web API,-4</v>
      </c>
    </row>
    <row r="213" spans="1:11" x14ac:dyDescent="0.25">
      <c r="C213" t="s">
        <v>308</v>
      </c>
      <c r="D213" t="s">
        <v>259</v>
      </c>
      <c r="E213" s="38">
        <v>-4</v>
      </c>
      <c r="F213" s="19" t="str" cm="1">
        <f t="array" ref="F213">_xlfn.XLOOKUP(TRUE,A$2:A213&lt;&gt;"",A$2:A213,,,-1)</f>
        <v>Development</v>
      </c>
      <c r="G213" s="19" t="str" cm="1">
        <f t="array" ref="G213">_xlfn.XLOOKUP(TRUE,B$2:B213&lt;&gt;"",B$2:B213,,,-1)</f>
        <v>Programming</v>
      </c>
      <c r="H213" s="19" t="str">
        <f>IF(CLASSIFICATION[[#This Row],[Classification (Generalized keyword)]]="",CLASSIFICATION[[#This Row],[Keyword]],CLASSIFICATION[[#This Row],[Classification (Generalized keyword)]])</f>
        <v>Web API</v>
      </c>
      <c r="I213" s="19" t="str">
        <f>_xlfn.CONCAT(CLASSIFICATION[[#This Row],[Project Stage Aggr]],",",CLASSIFICATION[[#This Row],[Functional Scope Aggr]],",",CLASSIFICATION[[#This Row],[Keyword]])</f>
        <v>Development,Programming,Web API (AppSheet API)</v>
      </c>
      <c r="J213" s="19" t="str">
        <f>_xlfn.CONCAT(CLASSIFICATION[[#This Row],[Project Stage Aggr]],",",CLASSIFICATION[[#This Row],[Functional Scope Aggr]],",",CLASSIFICATION[[#This Row],[Keyword Aggr]])</f>
        <v>Development,Programming,Web API</v>
      </c>
      <c r="K213" s="19" t="str">
        <f>_xlfn.CONCAT(CLASSIFICATION[[#This Row],[Project Stage Aggr]],",",CLASSIFICATION[[#This Row],[Functional Scope Aggr]],",",CLASSIFICATION[[#This Row],[Keyword Aggr]],",",CLASSIFICATION[[#This Row],[Importance]])</f>
        <v>Development,Programming,Web API,-4</v>
      </c>
    </row>
    <row r="214" spans="1:11" x14ac:dyDescent="0.25">
      <c r="C214" t="s">
        <v>187</v>
      </c>
      <c r="E214" s="38">
        <v>-4</v>
      </c>
      <c r="F214" s="19" t="str" cm="1">
        <f t="array" ref="F214">_xlfn.XLOOKUP(TRUE,A$2:A214&lt;&gt;"",A$2:A214,,,-1)</f>
        <v>Development</v>
      </c>
      <c r="G214" s="19" t="str" cm="1">
        <f t="array" ref="G214">_xlfn.XLOOKUP(TRUE,B$2:B214&lt;&gt;"",B$2:B214,,,-1)</f>
        <v>Programming</v>
      </c>
      <c r="H214" s="19" t="str">
        <f>IF(CLASSIFICATION[[#This Row],[Classification (Generalized keyword)]]="",CLASSIFICATION[[#This Row],[Keyword]],CLASSIFICATION[[#This Row],[Classification (Generalized keyword)]])</f>
        <v>XML</v>
      </c>
      <c r="I214" s="19" t="str">
        <f>_xlfn.CONCAT(CLASSIFICATION[[#This Row],[Project Stage Aggr]],",",CLASSIFICATION[[#This Row],[Functional Scope Aggr]],",",CLASSIFICATION[[#This Row],[Keyword]])</f>
        <v>Development,Programming,XML</v>
      </c>
      <c r="J214" s="19" t="str">
        <f>_xlfn.CONCAT(CLASSIFICATION[[#This Row],[Project Stage Aggr]],",",CLASSIFICATION[[#This Row],[Functional Scope Aggr]],",",CLASSIFICATION[[#This Row],[Keyword Aggr]])</f>
        <v>Development,Programming,XML</v>
      </c>
      <c r="K214" s="19" t="str">
        <f>_xlfn.CONCAT(CLASSIFICATION[[#This Row],[Project Stage Aggr]],",",CLASSIFICATION[[#This Row],[Functional Scope Aggr]],",",CLASSIFICATION[[#This Row],[Keyword Aggr]],",",CLASSIFICATION[[#This Row],[Importance]])</f>
        <v>Development,Programming,XML,-4</v>
      </c>
    </row>
    <row r="215" spans="1:11" x14ac:dyDescent="0.25">
      <c r="A215" t="s">
        <v>11</v>
      </c>
      <c r="B215" t="s">
        <v>23</v>
      </c>
      <c r="C215" t="s">
        <v>309</v>
      </c>
      <c r="E215" s="38">
        <v>5</v>
      </c>
      <c r="F215" s="19" t="str" cm="1">
        <f t="array" ref="F215">_xlfn.XLOOKUP(TRUE,A$2:A215&lt;&gt;"",A$2:A215,,,-1)</f>
        <v>Implementation</v>
      </c>
      <c r="G215" s="19" t="str" cm="1">
        <f t="array" ref="G215">_xlfn.XLOOKUP(TRUE,B$2:B215&lt;&gt;"",B$2:B215,,,-1)</f>
        <v>Runtime server installation</v>
      </c>
      <c r="H215" s="19" t="str">
        <f>IF(CLASSIFICATION[[#This Row],[Classification (Generalized keyword)]]="",CLASSIFICATION[[#This Row],[Keyword]],CLASSIFICATION[[#This Row],[Classification (Generalized keyword)]])</f>
        <v>+Cloud Based Environment</v>
      </c>
      <c r="I215" s="19" t="str">
        <f>_xlfn.CONCAT(CLASSIFICATION[[#This Row],[Project Stage Aggr]],",",CLASSIFICATION[[#This Row],[Functional Scope Aggr]],",",CLASSIFICATION[[#This Row],[Keyword]])</f>
        <v>Implementation,Runtime server installation,+Cloud Based Environment</v>
      </c>
      <c r="J215" s="19" t="str">
        <f>_xlfn.CONCAT(CLASSIFICATION[[#This Row],[Project Stage Aggr]],",",CLASSIFICATION[[#This Row],[Functional Scope Aggr]],",",CLASSIFICATION[[#This Row],[Keyword Aggr]])</f>
        <v>Implementation,Runtime server installation,+Cloud Based Environment</v>
      </c>
      <c r="K215" s="19" t="str">
        <f>_xlfn.CONCAT(CLASSIFICATION[[#This Row],[Project Stage Aggr]],",",CLASSIFICATION[[#This Row],[Functional Scope Aggr]],",",CLASSIFICATION[[#This Row],[Keyword Aggr]],",",CLASSIFICATION[[#This Row],[Importance]])</f>
        <v>Implementation,Runtime server installation,+Cloud Based Environment,5</v>
      </c>
    </row>
    <row r="216" spans="1:11" x14ac:dyDescent="0.25">
      <c r="C216" t="s">
        <v>285</v>
      </c>
      <c r="E216" s="38">
        <v>-4</v>
      </c>
      <c r="F216" s="19" t="str" cm="1">
        <f t="array" ref="F216">_xlfn.XLOOKUP(TRUE,A$2:A216&lt;&gt;"",A$2:A216,,,-1)</f>
        <v>Implementation</v>
      </c>
      <c r="G216" s="19" t="str" cm="1">
        <f t="array" ref="G216">_xlfn.XLOOKUP(TRUE,B$2:B216&lt;&gt;"",B$2:B216,,,-1)</f>
        <v>Runtime server installation</v>
      </c>
      <c r="H216" s="19" t="str">
        <f>IF(CLASSIFICATION[[#This Row],[Classification (Generalized keyword)]]="",CLASSIFICATION[[#This Row],[Keyword]],CLASSIFICATION[[#This Row],[Classification (Generalized keyword)]])</f>
        <v>API</v>
      </c>
      <c r="I216" s="19" t="str">
        <f>_xlfn.CONCAT(CLASSIFICATION[[#This Row],[Project Stage Aggr]],",",CLASSIFICATION[[#This Row],[Functional Scope Aggr]],",",CLASSIFICATION[[#This Row],[Keyword]])</f>
        <v>Implementation,Runtime server installation,API</v>
      </c>
      <c r="J216" s="19" t="str">
        <f>_xlfn.CONCAT(CLASSIFICATION[[#This Row],[Project Stage Aggr]],",",CLASSIFICATION[[#This Row],[Functional Scope Aggr]],",",CLASSIFICATION[[#This Row],[Keyword Aggr]])</f>
        <v>Implementation,Runtime server installation,API</v>
      </c>
      <c r="K216" s="19" t="str">
        <f>_xlfn.CONCAT(CLASSIFICATION[[#This Row],[Project Stage Aggr]],",",CLASSIFICATION[[#This Row],[Functional Scope Aggr]],",",CLASSIFICATION[[#This Row],[Keyword Aggr]],",",CLASSIFICATION[[#This Row],[Importance]])</f>
        <v>Implementation,Runtime server installation,API,-4</v>
      </c>
    </row>
    <row r="217" spans="1:11" x14ac:dyDescent="0.25">
      <c r="C217" t="s">
        <v>310</v>
      </c>
      <c r="E217" s="38">
        <v>-3</v>
      </c>
      <c r="F217" s="19" t="str" cm="1">
        <f t="array" ref="F217">_xlfn.XLOOKUP(TRUE,A$2:A217&lt;&gt;"",A$2:A217,,,-1)</f>
        <v>Implementation</v>
      </c>
      <c r="G217" s="19" t="str" cm="1">
        <f t="array" ref="G217">_xlfn.XLOOKUP(TRUE,B$2:B217&lt;&gt;"",B$2:B217,,,-1)</f>
        <v>Runtime server installation</v>
      </c>
      <c r="H217" s="19" t="str">
        <f>IF(CLASSIFICATION[[#This Row],[Classification (Generalized keyword)]]="",CLASSIFICATION[[#This Row],[Keyword]],CLASSIFICATION[[#This Row],[Classification (Generalized keyword)]])</f>
        <v>Compiler Service</v>
      </c>
      <c r="I217" s="19" t="str">
        <f>_xlfn.CONCAT(CLASSIFICATION[[#This Row],[Project Stage Aggr]],",",CLASSIFICATION[[#This Row],[Functional Scope Aggr]],",",CLASSIFICATION[[#This Row],[Keyword]])</f>
        <v>Implementation,Runtime server installation,Compiler Service</v>
      </c>
      <c r="J217" s="19" t="str">
        <f>_xlfn.CONCAT(CLASSIFICATION[[#This Row],[Project Stage Aggr]],",",CLASSIFICATION[[#This Row],[Functional Scope Aggr]],",",CLASSIFICATION[[#This Row],[Keyword Aggr]])</f>
        <v>Implementation,Runtime server installation,Compiler Service</v>
      </c>
      <c r="K217" s="19" t="str">
        <f>_xlfn.CONCAT(CLASSIFICATION[[#This Row],[Project Stage Aggr]],",",CLASSIFICATION[[#This Row],[Functional Scope Aggr]],",",CLASSIFICATION[[#This Row],[Keyword Aggr]],",",CLASSIFICATION[[#This Row],[Importance]])</f>
        <v>Implementation,Runtime server installation,Compiler Service,-3</v>
      </c>
    </row>
    <row r="218" spans="1:11" x14ac:dyDescent="0.25">
      <c r="C218" t="s">
        <v>311</v>
      </c>
      <c r="E218" s="38">
        <v>-3</v>
      </c>
      <c r="F218" s="19" t="str" cm="1">
        <f t="array" ref="F218">_xlfn.XLOOKUP(TRUE,A$2:A218&lt;&gt;"",A$2:A218,,,-1)</f>
        <v>Implementation</v>
      </c>
      <c r="G218" s="19" t="str" cm="1">
        <f t="array" ref="G218">_xlfn.XLOOKUP(TRUE,B$2:B218&lt;&gt;"",B$2:B218,,,-1)</f>
        <v>Runtime server installation</v>
      </c>
      <c r="H218" s="19" t="str">
        <f>IF(CLASSIFICATION[[#This Row],[Classification (Generalized keyword)]]="",CLASSIFICATION[[#This Row],[Keyword]],CLASSIFICATION[[#This Row],[Classification (Generalized keyword)]])</f>
        <v>Database Synchronization</v>
      </c>
      <c r="I218" s="19" t="str">
        <f>_xlfn.CONCAT(CLASSIFICATION[[#This Row],[Project Stage Aggr]],",",CLASSIFICATION[[#This Row],[Functional Scope Aggr]],",",CLASSIFICATION[[#This Row],[Keyword]])</f>
        <v>Implementation,Runtime server installation,Database Synchronization</v>
      </c>
      <c r="J218" s="19" t="str">
        <f>_xlfn.CONCAT(CLASSIFICATION[[#This Row],[Project Stage Aggr]],",",CLASSIFICATION[[#This Row],[Functional Scope Aggr]],",",CLASSIFICATION[[#This Row],[Keyword Aggr]])</f>
        <v>Implementation,Runtime server installation,Database Synchronization</v>
      </c>
      <c r="K218" s="19" t="str">
        <f>_xlfn.CONCAT(CLASSIFICATION[[#This Row],[Project Stage Aggr]],",",CLASSIFICATION[[#This Row],[Functional Scope Aggr]],",",CLASSIFICATION[[#This Row],[Keyword Aggr]],",",CLASSIFICATION[[#This Row],[Importance]])</f>
        <v>Implementation,Runtime server installation,Database Synchronization,-3</v>
      </c>
    </row>
    <row r="219" spans="1:11" x14ac:dyDescent="0.25">
      <c r="C219" t="s">
        <v>312</v>
      </c>
      <c r="E219" s="38">
        <v>-3</v>
      </c>
      <c r="F219" s="19" t="str" cm="1">
        <f t="array" ref="F219">_xlfn.XLOOKUP(TRUE,A$2:A219&lt;&gt;"",A$2:A219,,,-1)</f>
        <v>Implementation</v>
      </c>
      <c r="G219" s="19" t="str" cm="1">
        <f t="array" ref="G219">_xlfn.XLOOKUP(TRUE,B$2:B219&lt;&gt;"",B$2:B219,,,-1)</f>
        <v>Runtime server installation</v>
      </c>
      <c r="H219" s="19" t="str">
        <f>IF(CLASSIFICATION[[#This Row],[Classification (Generalized keyword)]]="",CLASSIFICATION[[#This Row],[Keyword]],CLASSIFICATION[[#This Row],[Classification (Generalized keyword)]])</f>
        <v>Deployment Controller Service</v>
      </c>
      <c r="I219" s="19" t="str">
        <f>_xlfn.CONCAT(CLASSIFICATION[[#This Row],[Project Stage Aggr]],",",CLASSIFICATION[[#This Row],[Functional Scope Aggr]],",",CLASSIFICATION[[#This Row],[Keyword]])</f>
        <v>Implementation,Runtime server installation,Deployment Controller Service</v>
      </c>
      <c r="J219" s="19" t="str">
        <f>_xlfn.CONCAT(CLASSIFICATION[[#This Row],[Project Stage Aggr]],",",CLASSIFICATION[[#This Row],[Functional Scope Aggr]],",",CLASSIFICATION[[#This Row],[Keyword Aggr]])</f>
        <v>Implementation,Runtime server installation,Deployment Controller Service</v>
      </c>
      <c r="K219" s="19" t="str">
        <f>_xlfn.CONCAT(CLASSIFICATION[[#This Row],[Project Stage Aggr]],",",CLASSIFICATION[[#This Row],[Functional Scope Aggr]],",",CLASSIFICATION[[#This Row],[Keyword Aggr]],",",CLASSIFICATION[[#This Row],[Importance]])</f>
        <v>Implementation,Runtime server installation,Deployment Controller Service,-3</v>
      </c>
    </row>
    <row r="220" spans="1:11" x14ac:dyDescent="0.25">
      <c r="C220" t="s">
        <v>313</v>
      </c>
      <c r="E220" s="38">
        <v>-3</v>
      </c>
      <c r="F220" s="19" t="str" cm="1">
        <f t="array" ref="F220">_xlfn.XLOOKUP(TRUE,A$2:A220&lt;&gt;"",A$2:A220,,,-1)</f>
        <v>Implementation</v>
      </c>
      <c r="G220" s="19" t="str" cm="1">
        <f t="array" ref="G220">_xlfn.XLOOKUP(TRUE,B$2:B220&lt;&gt;"",B$2:B220,,,-1)</f>
        <v>Runtime server installation</v>
      </c>
      <c r="H220" s="19" t="str">
        <f>IF(CLASSIFICATION[[#This Row],[Classification (Generalized keyword)]]="",CLASSIFICATION[[#This Row],[Keyword]],CLASSIFICATION[[#This Row],[Classification (Generalized keyword)]])</f>
        <v>Email Server (SMTP)</v>
      </c>
      <c r="I220" s="19" t="str">
        <f>_xlfn.CONCAT(CLASSIFICATION[[#This Row],[Project Stage Aggr]],",",CLASSIFICATION[[#This Row],[Functional Scope Aggr]],",",CLASSIFICATION[[#This Row],[Keyword]])</f>
        <v>Implementation,Runtime server installation,Email Server (SMTP)</v>
      </c>
      <c r="J220" s="19" t="str">
        <f>_xlfn.CONCAT(CLASSIFICATION[[#This Row],[Project Stage Aggr]],",",CLASSIFICATION[[#This Row],[Functional Scope Aggr]],",",CLASSIFICATION[[#This Row],[Keyword Aggr]])</f>
        <v>Implementation,Runtime server installation,Email Server (SMTP)</v>
      </c>
      <c r="K220" s="19" t="str">
        <f>_xlfn.CONCAT(CLASSIFICATION[[#This Row],[Project Stage Aggr]],",",CLASSIFICATION[[#This Row],[Functional Scope Aggr]],",",CLASSIFICATION[[#This Row],[Keyword Aggr]],",",CLASSIFICATION[[#This Row],[Importance]])</f>
        <v>Implementation,Runtime server installation,Email Server (SMTP),-3</v>
      </c>
    </row>
    <row r="221" spans="1:11" x14ac:dyDescent="0.25">
      <c r="C221" t="s">
        <v>314</v>
      </c>
      <c r="E221" s="38">
        <v>-4</v>
      </c>
      <c r="F221" s="19" t="str" cm="1">
        <f t="array" ref="F221">_xlfn.XLOOKUP(TRUE,A$2:A221&lt;&gt;"",A$2:A221,,,-1)</f>
        <v>Implementation</v>
      </c>
      <c r="G221" s="19" t="str" cm="1">
        <f t="array" ref="G221">_xlfn.XLOOKUP(TRUE,B$2:B221&lt;&gt;"",B$2:B221,,,-1)</f>
        <v>Runtime server installation</v>
      </c>
      <c r="H221" s="19" t="str">
        <f>IF(CLASSIFICATION[[#This Row],[Classification (Generalized keyword)]]="",CLASSIFICATION[[#This Row],[Keyword]],CLASSIFICATION[[#This Row],[Classification (Generalized keyword)]])</f>
        <v>File Storage</v>
      </c>
      <c r="I221" s="19" t="str">
        <f>_xlfn.CONCAT(CLASSIFICATION[[#This Row],[Project Stage Aggr]],",",CLASSIFICATION[[#This Row],[Functional Scope Aggr]],",",CLASSIFICATION[[#This Row],[Keyword]])</f>
        <v>Implementation,Runtime server installation,File Storage</v>
      </c>
      <c r="J221" s="19" t="str">
        <f>_xlfn.CONCAT(CLASSIFICATION[[#This Row],[Project Stage Aggr]],",",CLASSIFICATION[[#This Row],[Functional Scope Aggr]],",",CLASSIFICATION[[#This Row],[Keyword Aggr]])</f>
        <v>Implementation,Runtime server installation,File Storage</v>
      </c>
      <c r="K221" s="19" t="str">
        <f>_xlfn.CONCAT(CLASSIFICATION[[#This Row],[Project Stage Aggr]],",",CLASSIFICATION[[#This Row],[Functional Scope Aggr]],",",CLASSIFICATION[[#This Row],[Keyword Aggr]],",",CLASSIFICATION[[#This Row],[Importance]])</f>
        <v>Implementation,Runtime server installation,File Storage,-4</v>
      </c>
    </row>
    <row r="222" spans="1:11" x14ac:dyDescent="0.25">
      <c r="C222" t="s">
        <v>315</v>
      </c>
      <c r="E222" s="38">
        <v>-4</v>
      </c>
      <c r="F222" s="19" t="str" cm="1">
        <f t="array" ref="F222">_xlfn.XLOOKUP(TRUE,A$2:A222&lt;&gt;"",A$2:A222,,,-1)</f>
        <v>Implementation</v>
      </c>
      <c r="G222" s="19" t="str" cm="1">
        <f t="array" ref="G222">_xlfn.XLOOKUP(TRUE,B$2:B222&lt;&gt;"",B$2:B222,,,-1)</f>
        <v>Runtime server installation</v>
      </c>
      <c r="H222" s="19" t="str">
        <f>IF(CLASSIFICATION[[#This Row],[Classification (Generalized keyword)]]="",CLASSIFICATION[[#This Row],[Keyword]],CLASSIFICATION[[#This Row],[Classification (Generalized keyword)]])</f>
        <v>HTTPS Server</v>
      </c>
      <c r="I222" s="19" t="str">
        <f>_xlfn.CONCAT(CLASSIFICATION[[#This Row],[Project Stage Aggr]],",",CLASSIFICATION[[#This Row],[Functional Scope Aggr]],",",CLASSIFICATION[[#This Row],[Keyword]])</f>
        <v>Implementation,Runtime server installation,HTTPS Server</v>
      </c>
      <c r="J222" s="19" t="str">
        <f>_xlfn.CONCAT(CLASSIFICATION[[#This Row],[Project Stage Aggr]],",",CLASSIFICATION[[#This Row],[Functional Scope Aggr]],",",CLASSIFICATION[[#This Row],[Keyword Aggr]])</f>
        <v>Implementation,Runtime server installation,HTTPS Server</v>
      </c>
      <c r="K222" s="19" t="str">
        <f>_xlfn.CONCAT(CLASSIFICATION[[#This Row],[Project Stage Aggr]],",",CLASSIFICATION[[#This Row],[Functional Scope Aggr]],",",CLASSIFICATION[[#This Row],[Keyword Aggr]],",",CLASSIFICATION[[#This Row],[Importance]])</f>
        <v>Implementation,Runtime server installation,HTTPS Server,-4</v>
      </c>
    </row>
    <row r="223" spans="1:11" x14ac:dyDescent="0.25">
      <c r="C223" t="s">
        <v>221</v>
      </c>
      <c r="E223" s="38">
        <v>-4</v>
      </c>
      <c r="F223" s="19" t="str" cm="1">
        <f t="array" ref="F223">_xlfn.XLOOKUP(TRUE,A$2:A223&lt;&gt;"",A$2:A223,,,-1)</f>
        <v>Implementation</v>
      </c>
      <c r="G223" s="19" t="str" cm="1">
        <f t="array" ref="G223">_xlfn.XLOOKUP(TRUE,B$2:B223&lt;&gt;"",B$2:B223,,,-1)</f>
        <v>Runtime server installation</v>
      </c>
      <c r="H223" s="19" t="str">
        <f>IF(CLASSIFICATION[[#This Row],[Classification (Generalized keyword)]]="",CLASSIFICATION[[#This Row],[Keyword]],CLASSIFICATION[[#This Row],[Classification (Generalized keyword)]])</f>
        <v>Java</v>
      </c>
      <c r="I223" s="19" t="str">
        <f>_xlfn.CONCAT(CLASSIFICATION[[#This Row],[Project Stage Aggr]],",",CLASSIFICATION[[#This Row],[Functional Scope Aggr]],",",CLASSIFICATION[[#This Row],[Keyword]])</f>
        <v>Implementation,Runtime server installation,Java</v>
      </c>
      <c r="J223" s="19" t="str">
        <f>_xlfn.CONCAT(CLASSIFICATION[[#This Row],[Project Stage Aggr]],",",CLASSIFICATION[[#This Row],[Functional Scope Aggr]],",",CLASSIFICATION[[#This Row],[Keyword Aggr]])</f>
        <v>Implementation,Runtime server installation,Java</v>
      </c>
      <c r="K223" s="19" t="str">
        <f>_xlfn.CONCAT(CLASSIFICATION[[#This Row],[Project Stage Aggr]],",",CLASSIFICATION[[#This Row],[Functional Scope Aggr]],",",CLASSIFICATION[[#This Row],[Keyword Aggr]],",",CLASSIFICATION[[#This Row],[Importance]])</f>
        <v>Implementation,Runtime server installation,Java,-4</v>
      </c>
    </row>
    <row r="224" spans="1:11" x14ac:dyDescent="0.25">
      <c r="C224" t="s">
        <v>316</v>
      </c>
      <c r="E224" s="38">
        <v>-3</v>
      </c>
      <c r="F224" s="19" t="str" cm="1">
        <f t="array" ref="F224">_xlfn.XLOOKUP(TRUE,A$2:A224&lt;&gt;"",A$2:A224,,,-1)</f>
        <v>Implementation</v>
      </c>
      <c r="G224" s="19" t="str" cm="1">
        <f t="array" ref="G224">_xlfn.XLOOKUP(TRUE,B$2:B224&lt;&gt;"",B$2:B224,,,-1)</f>
        <v>Runtime server installation</v>
      </c>
      <c r="H224" s="19" t="str">
        <f>IF(CLASSIFICATION[[#This Row],[Classification (Generalized keyword)]]="",CLASSIFICATION[[#This Row],[Keyword]],CLASSIFICATION[[#This Row],[Classification (Generalized keyword)]])</f>
        <v>Load Balancing</v>
      </c>
      <c r="I224" s="19" t="str">
        <f>_xlfn.CONCAT(CLASSIFICATION[[#This Row],[Project Stage Aggr]],",",CLASSIFICATION[[#This Row],[Functional Scope Aggr]],",",CLASSIFICATION[[#This Row],[Keyword]])</f>
        <v>Implementation,Runtime server installation,Load Balancing</v>
      </c>
      <c r="J224" s="19" t="str">
        <f>_xlfn.CONCAT(CLASSIFICATION[[#This Row],[Project Stage Aggr]],",",CLASSIFICATION[[#This Row],[Functional Scope Aggr]],",",CLASSIFICATION[[#This Row],[Keyword Aggr]])</f>
        <v>Implementation,Runtime server installation,Load Balancing</v>
      </c>
      <c r="K224" s="19" t="str">
        <f>_xlfn.CONCAT(CLASSIFICATION[[#This Row],[Project Stage Aggr]],",",CLASSIFICATION[[#This Row],[Functional Scope Aggr]],",",CLASSIFICATION[[#This Row],[Keyword Aggr]],",",CLASSIFICATION[[#This Row],[Importance]])</f>
        <v>Implementation,Runtime server installation,Load Balancing,-3</v>
      </c>
    </row>
    <row r="225" spans="2:11" x14ac:dyDescent="0.25">
      <c r="C225" t="s">
        <v>317</v>
      </c>
      <c r="E225" s="38">
        <v>-3</v>
      </c>
      <c r="F225" s="19" t="str" cm="1">
        <f t="array" ref="F225">_xlfn.XLOOKUP(TRUE,A$2:A225&lt;&gt;"",A$2:A225,,,-1)</f>
        <v>Implementation</v>
      </c>
      <c r="G225" s="19" t="str" cm="1">
        <f t="array" ref="G225">_xlfn.XLOOKUP(TRUE,B$2:B225&lt;&gt;"",B$2:B225,,,-1)</f>
        <v>Runtime server installation</v>
      </c>
      <c r="H225" s="19" t="str">
        <f>IF(CLASSIFICATION[[#This Row],[Classification (Generalized keyword)]]="",CLASSIFICATION[[#This Row],[Keyword]],CLASSIFICATION[[#This Row],[Classification (Generalized keyword)]])</f>
        <v>Log Service</v>
      </c>
      <c r="I225" s="19" t="str">
        <f>_xlfn.CONCAT(CLASSIFICATION[[#This Row],[Project Stage Aggr]],",",CLASSIFICATION[[#This Row],[Functional Scope Aggr]],",",CLASSIFICATION[[#This Row],[Keyword]])</f>
        <v>Implementation,Runtime server installation,Log Service</v>
      </c>
      <c r="J225" s="19" t="str">
        <f>_xlfn.CONCAT(CLASSIFICATION[[#This Row],[Project Stage Aggr]],",",CLASSIFICATION[[#This Row],[Functional Scope Aggr]],",",CLASSIFICATION[[#This Row],[Keyword Aggr]])</f>
        <v>Implementation,Runtime server installation,Log Service</v>
      </c>
      <c r="K225" s="19" t="str">
        <f>_xlfn.CONCAT(CLASSIFICATION[[#This Row],[Project Stage Aggr]],",",CLASSIFICATION[[#This Row],[Functional Scope Aggr]],",",CLASSIFICATION[[#This Row],[Keyword Aggr]],",",CLASSIFICATION[[#This Row],[Importance]])</f>
        <v>Implementation,Runtime server installation,Log Service,-3</v>
      </c>
    </row>
    <row r="226" spans="2:11" x14ac:dyDescent="0.25">
      <c r="C226" t="s">
        <v>318</v>
      </c>
      <c r="E226" s="38">
        <v>-3</v>
      </c>
      <c r="F226" s="19" t="str" cm="1">
        <f t="array" ref="F226">_xlfn.XLOOKUP(TRUE,A$2:A226&lt;&gt;"",A$2:A226,,,-1)</f>
        <v>Implementation</v>
      </c>
      <c r="G226" s="19" t="str" cm="1">
        <f t="array" ref="G226">_xlfn.XLOOKUP(TRUE,B$2:B226&lt;&gt;"",B$2:B226,,,-1)</f>
        <v>Runtime server installation</v>
      </c>
      <c r="H226" s="19" t="str">
        <f>IF(CLASSIFICATION[[#This Row],[Classification (Generalized keyword)]]="",CLASSIFICATION[[#This Row],[Keyword]],CLASSIFICATION[[#This Row],[Classification (Generalized keyword)]])</f>
        <v>Mobile App</v>
      </c>
      <c r="I226" s="19" t="str">
        <f>_xlfn.CONCAT(CLASSIFICATION[[#This Row],[Project Stage Aggr]],",",CLASSIFICATION[[#This Row],[Functional Scope Aggr]],",",CLASSIFICATION[[#This Row],[Keyword]])</f>
        <v>Implementation,Runtime server installation,Mobile App</v>
      </c>
      <c r="J226" s="19" t="str">
        <f>_xlfn.CONCAT(CLASSIFICATION[[#This Row],[Project Stage Aggr]],",",CLASSIFICATION[[#This Row],[Functional Scope Aggr]],",",CLASSIFICATION[[#This Row],[Keyword Aggr]])</f>
        <v>Implementation,Runtime server installation,Mobile App</v>
      </c>
      <c r="K226" s="19" t="str">
        <f>_xlfn.CONCAT(CLASSIFICATION[[#This Row],[Project Stage Aggr]],",",CLASSIFICATION[[#This Row],[Functional Scope Aggr]],",",CLASSIFICATION[[#This Row],[Keyword Aggr]],",",CLASSIFICATION[[#This Row],[Importance]])</f>
        <v>Implementation,Runtime server installation,Mobile App,-3</v>
      </c>
    </row>
    <row r="227" spans="2:11" x14ac:dyDescent="0.25">
      <c r="C227" t="s">
        <v>319</v>
      </c>
      <c r="E227" s="38">
        <v>-3</v>
      </c>
      <c r="F227" s="19" t="str" cm="1">
        <f t="array" ref="F227">_xlfn.XLOOKUP(TRUE,A$2:A227&lt;&gt;"",A$2:A227,,,-1)</f>
        <v>Implementation</v>
      </c>
      <c r="G227" s="19" t="str" cm="1">
        <f t="array" ref="G227">_xlfn.XLOOKUP(TRUE,B$2:B227&lt;&gt;"",B$2:B227,,,-1)</f>
        <v>Runtime server installation</v>
      </c>
      <c r="H227" s="19" t="str">
        <f>IF(CLASSIFICATION[[#This Row],[Classification (Generalized keyword)]]="",CLASSIFICATION[[#This Row],[Keyword]],CLASSIFICATION[[#This Row],[Classification (Generalized keyword)]])</f>
        <v>OQL</v>
      </c>
      <c r="I227" s="19" t="str">
        <f>_xlfn.CONCAT(CLASSIFICATION[[#This Row],[Project Stage Aggr]],",",CLASSIFICATION[[#This Row],[Functional Scope Aggr]],",",CLASSIFICATION[[#This Row],[Keyword]])</f>
        <v>Implementation,Runtime server installation,OQL</v>
      </c>
      <c r="J227" s="19" t="str">
        <f>_xlfn.CONCAT(CLASSIFICATION[[#This Row],[Project Stage Aggr]],",",CLASSIFICATION[[#This Row],[Functional Scope Aggr]],",",CLASSIFICATION[[#This Row],[Keyword Aggr]])</f>
        <v>Implementation,Runtime server installation,OQL</v>
      </c>
      <c r="K227" s="19" t="str">
        <f>_xlfn.CONCAT(CLASSIFICATION[[#This Row],[Project Stage Aggr]],",",CLASSIFICATION[[#This Row],[Functional Scope Aggr]],",",CLASSIFICATION[[#This Row],[Keyword Aggr]],",",CLASSIFICATION[[#This Row],[Importance]])</f>
        <v>Implementation,Runtime server installation,OQL,-3</v>
      </c>
    </row>
    <row r="228" spans="2:11" x14ac:dyDescent="0.25">
      <c r="C228" t="s">
        <v>320</v>
      </c>
      <c r="E228" s="38">
        <v>-4</v>
      </c>
      <c r="F228" s="19" t="str" cm="1">
        <f t="array" ref="F228">_xlfn.XLOOKUP(TRUE,A$2:A228&lt;&gt;"",A$2:A228,,,-1)</f>
        <v>Implementation</v>
      </c>
      <c r="G228" s="19" t="str" cm="1">
        <f t="array" ref="G228">_xlfn.XLOOKUP(TRUE,B$2:B228&lt;&gt;"",B$2:B228,,,-1)</f>
        <v>Runtime server installation</v>
      </c>
      <c r="H228" s="19" t="str">
        <f>IF(CLASSIFICATION[[#This Row],[Classification (Generalized keyword)]]="",CLASSIFICATION[[#This Row],[Keyword]],CLASSIFICATION[[#This Row],[Classification (Generalized keyword)]])</f>
        <v>Proxy server</v>
      </c>
      <c r="I228" s="19" t="str">
        <f>_xlfn.CONCAT(CLASSIFICATION[[#This Row],[Project Stage Aggr]],",",CLASSIFICATION[[#This Row],[Functional Scope Aggr]],",",CLASSIFICATION[[#This Row],[Keyword]])</f>
        <v>Implementation,Runtime server installation,Proxy server</v>
      </c>
      <c r="J228" s="19" t="str">
        <f>_xlfn.CONCAT(CLASSIFICATION[[#This Row],[Project Stage Aggr]],",",CLASSIFICATION[[#This Row],[Functional Scope Aggr]],",",CLASSIFICATION[[#This Row],[Keyword Aggr]])</f>
        <v>Implementation,Runtime server installation,Proxy server</v>
      </c>
      <c r="K228" s="19" t="str">
        <f>_xlfn.CONCAT(CLASSIFICATION[[#This Row],[Project Stage Aggr]],",",CLASSIFICATION[[#This Row],[Functional Scope Aggr]],",",CLASSIFICATION[[#This Row],[Keyword Aggr]],",",CLASSIFICATION[[#This Row],[Importance]])</f>
        <v>Implementation,Runtime server installation,Proxy server,-4</v>
      </c>
    </row>
    <row r="229" spans="2:11" x14ac:dyDescent="0.25">
      <c r="C229" t="s">
        <v>239</v>
      </c>
      <c r="E229" s="38">
        <v>-4</v>
      </c>
      <c r="F229" s="19" t="str" cm="1">
        <f t="array" ref="F229">_xlfn.XLOOKUP(TRUE,A$2:A229&lt;&gt;"",A$2:A229,,,-1)</f>
        <v>Implementation</v>
      </c>
      <c r="G229" s="19" t="str" cm="1">
        <f t="array" ref="G229">_xlfn.XLOOKUP(TRUE,B$2:B229&lt;&gt;"",B$2:B229,,,-1)</f>
        <v>Runtime server installation</v>
      </c>
      <c r="H229" s="19" t="str">
        <f>IF(CLASSIFICATION[[#This Row],[Classification (Generalized keyword)]]="",CLASSIFICATION[[#This Row],[Keyword]],CLASSIFICATION[[#This Row],[Classification (Generalized keyword)]])</f>
        <v>Relational Database</v>
      </c>
      <c r="I229" s="19" t="str">
        <f>_xlfn.CONCAT(CLASSIFICATION[[#This Row],[Project Stage Aggr]],",",CLASSIFICATION[[#This Row],[Functional Scope Aggr]],",",CLASSIFICATION[[#This Row],[Keyword]])</f>
        <v>Implementation,Runtime server installation,Relational Database</v>
      </c>
      <c r="J229" s="19" t="str">
        <f>_xlfn.CONCAT(CLASSIFICATION[[#This Row],[Project Stage Aggr]],",",CLASSIFICATION[[#This Row],[Functional Scope Aggr]],",",CLASSIFICATION[[#This Row],[Keyword Aggr]])</f>
        <v>Implementation,Runtime server installation,Relational Database</v>
      </c>
      <c r="K229" s="19" t="str">
        <f>_xlfn.CONCAT(CLASSIFICATION[[#This Row],[Project Stage Aggr]],",",CLASSIFICATION[[#This Row],[Functional Scope Aggr]],",",CLASSIFICATION[[#This Row],[Keyword Aggr]],",",CLASSIFICATION[[#This Row],[Importance]])</f>
        <v>Implementation,Runtime server installation,Relational Database,-4</v>
      </c>
    </row>
    <row r="230" spans="2:11" x14ac:dyDescent="0.25">
      <c r="C230" t="s">
        <v>229</v>
      </c>
      <c r="E230" s="38">
        <v>-4</v>
      </c>
      <c r="F230" s="19" t="str" cm="1">
        <f t="array" ref="F230">_xlfn.XLOOKUP(TRUE,A$2:A230&lt;&gt;"",A$2:A230,,,-1)</f>
        <v>Implementation</v>
      </c>
      <c r="G230" s="19" t="str" cm="1">
        <f t="array" ref="G230">_xlfn.XLOOKUP(TRUE,B$2:B230&lt;&gt;"",B$2:B230,,,-1)</f>
        <v>Runtime server installation</v>
      </c>
      <c r="H230" s="19" t="str">
        <f>IF(CLASSIFICATION[[#This Row],[Classification (Generalized keyword)]]="",CLASSIFICATION[[#This Row],[Keyword]],CLASSIFICATION[[#This Row],[Classification (Generalized keyword)]])</f>
        <v>REST API</v>
      </c>
      <c r="I230" s="19" t="str">
        <f>_xlfn.CONCAT(CLASSIFICATION[[#This Row],[Project Stage Aggr]],",",CLASSIFICATION[[#This Row],[Functional Scope Aggr]],",",CLASSIFICATION[[#This Row],[Keyword]])</f>
        <v>Implementation,Runtime server installation,REST API</v>
      </c>
      <c r="J230" s="19" t="str">
        <f>_xlfn.CONCAT(CLASSIFICATION[[#This Row],[Project Stage Aggr]],",",CLASSIFICATION[[#This Row],[Functional Scope Aggr]],",",CLASSIFICATION[[#This Row],[Keyword Aggr]])</f>
        <v>Implementation,Runtime server installation,REST API</v>
      </c>
      <c r="K230" s="19" t="str">
        <f>_xlfn.CONCAT(CLASSIFICATION[[#This Row],[Project Stage Aggr]],",",CLASSIFICATION[[#This Row],[Functional Scope Aggr]],",",CLASSIFICATION[[#This Row],[Keyword Aggr]],",",CLASSIFICATION[[#This Row],[Importance]])</f>
        <v>Implementation,Runtime server installation,REST API,-4</v>
      </c>
    </row>
    <row r="231" spans="2:11" x14ac:dyDescent="0.25">
      <c r="C231" t="s">
        <v>321</v>
      </c>
      <c r="E231" s="38">
        <v>-4</v>
      </c>
      <c r="F231" s="19" t="str" cm="1">
        <f t="array" ref="F231">_xlfn.XLOOKUP(TRUE,A$2:A231&lt;&gt;"",A$2:A231,,,-1)</f>
        <v>Implementation</v>
      </c>
      <c r="G231" s="19" t="str" cm="1">
        <f t="array" ref="G231">_xlfn.XLOOKUP(TRUE,B$2:B231&lt;&gt;"",B$2:B231,,,-1)</f>
        <v>Runtime server installation</v>
      </c>
      <c r="H231" s="19" t="str">
        <f>IF(CLASSIFICATION[[#This Row],[Classification (Generalized keyword)]]="",CLASSIFICATION[[#This Row],[Keyword]],CLASSIFICATION[[#This Row],[Classification (Generalized keyword)]])</f>
        <v>SAML Authentication</v>
      </c>
      <c r="I231" s="19" t="str">
        <f>_xlfn.CONCAT(CLASSIFICATION[[#This Row],[Project Stage Aggr]],",",CLASSIFICATION[[#This Row],[Functional Scope Aggr]],",",CLASSIFICATION[[#This Row],[Keyword]])</f>
        <v>Implementation,Runtime server installation,SAML Authentication</v>
      </c>
      <c r="J231" s="19" t="str">
        <f>_xlfn.CONCAT(CLASSIFICATION[[#This Row],[Project Stage Aggr]],",",CLASSIFICATION[[#This Row],[Functional Scope Aggr]],",",CLASSIFICATION[[#This Row],[Keyword Aggr]])</f>
        <v>Implementation,Runtime server installation,SAML Authentication</v>
      </c>
      <c r="K231" s="19" t="str">
        <f>_xlfn.CONCAT(CLASSIFICATION[[#This Row],[Project Stage Aggr]],",",CLASSIFICATION[[#This Row],[Functional Scope Aggr]],",",CLASSIFICATION[[#This Row],[Keyword Aggr]],",",CLASSIFICATION[[#This Row],[Importance]])</f>
        <v>Implementation,Runtime server installation,SAML Authentication,-4</v>
      </c>
    </row>
    <row r="232" spans="2:11" x14ac:dyDescent="0.25">
      <c r="C232" t="s">
        <v>322</v>
      </c>
      <c r="E232" s="38">
        <v>-3</v>
      </c>
      <c r="F232" s="19" t="str" cm="1">
        <f t="array" ref="F232">_xlfn.XLOOKUP(TRUE,A$2:A232&lt;&gt;"",A$2:A232,,,-1)</f>
        <v>Implementation</v>
      </c>
      <c r="G232" s="19" t="str" cm="1">
        <f t="array" ref="G232">_xlfn.XLOOKUP(TRUE,B$2:B232&lt;&gt;"",B$2:B232,,,-1)</f>
        <v>Runtime server installation</v>
      </c>
      <c r="H232" s="19" t="str">
        <f>IF(CLASSIFICATION[[#This Row],[Classification (Generalized keyword)]]="",CLASSIFICATION[[#This Row],[Keyword]],CLASSIFICATION[[#This Row],[Classification (Generalized keyword)]])</f>
        <v>Scheduler Service</v>
      </c>
      <c r="I232" s="19" t="str">
        <f>_xlfn.CONCAT(CLASSIFICATION[[#This Row],[Project Stage Aggr]],",",CLASSIFICATION[[#This Row],[Functional Scope Aggr]],",",CLASSIFICATION[[#This Row],[Keyword]])</f>
        <v>Implementation,Runtime server installation,Scheduler Service</v>
      </c>
      <c r="J232" s="19" t="str">
        <f>_xlfn.CONCAT(CLASSIFICATION[[#This Row],[Project Stage Aggr]],",",CLASSIFICATION[[#This Row],[Functional Scope Aggr]],",",CLASSIFICATION[[#This Row],[Keyword Aggr]])</f>
        <v>Implementation,Runtime server installation,Scheduler Service</v>
      </c>
      <c r="K232" s="19" t="str">
        <f>_xlfn.CONCAT(CLASSIFICATION[[#This Row],[Project Stage Aggr]],",",CLASSIFICATION[[#This Row],[Functional Scope Aggr]],",",CLASSIFICATION[[#This Row],[Keyword Aggr]],",",CLASSIFICATION[[#This Row],[Importance]])</f>
        <v>Implementation,Runtime server installation,Scheduler Service,-3</v>
      </c>
    </row>
    <row r="233" spans="2:11" x14ac:dyDescent="0.25">
      <c r="C233" t="s">
        <v>323</v>
      </c>
      <c r="E233" s="38">
        <v>-3</v>
      </c>
      <c r="F233" s="19" t="str" cm="1">
        <f t="array" ref="F233">_xlfn.XLOOKUP(TRUE,A$2:A233&lt;&gt;"",A$2:A233,,,-1)</f>
        <v>Implementation</v>
      </c>
      <c r="G233" s="19" t="str" cm="1">
        <f t="array" ref="G233">_xlfn.XLOOKUP(TRUE,B$2:B233&lt;&gt;"",B$2:B233,,,-1)</f>
        <v>Runtime server installation</v>
      </c>
      <c r="H233" s="19" t="str">
        <f>IF(CLASSIFICATION[[#This Row],[Classification (Generalized keyword)]]="",CLASSIFICATION[[#This Row],[Keyword]],CLASSIFICATION[[#This Row],[Classification (Generalized keyword)]])</f>
        <v>Shared Libraries</v>
      </c>
      <c r="I233" s="19" t="str">
        <f>_xlfn.CONCAT(CLASSIFICATION[[#This Row],[Project Stage Aggr]],",",CLASSIFICATION[[#This Row],[Functional Scope Aggr]],",",CLASSIFICATION[[#This Row],[Keyword]])</f>
        <v>Implementation,Runtime server installation,Shared Libraries</v>
      </c>
      <c r="J233" s="19" t="str">
        <f>_xlfn.CONCAT(CLASSIFICATION[[#This Row],[Project Stage Aggr]],",",CLASSIFICATION[[#This Row],[Functional Scope Aggr]],",",CLASSIFICATION[[#This Row],[Keyword Aggr]])</f>
        <v>Implementation,Runtime server installation,Shared Libraries</v>
      </c>
      <c r="K233" s="19" t="str">
        <f>_xlfn.CONCAT(CLASSIFICATION[[#This Row],[Project Stage Aggr]],",",CLASSIFICATION[[#This Row],[Functional Scope Aggr]],",",CLASSIFICATION[[#This Row],[Keyword Aggr]],",",CLASSIFICATION[[#This Row],[Importance]])</f>
        <v>Implementation,Runtime server installation,Shared Libraries,-3</v>
      </c>
    </row>
    <row r="234" spans="2:11" x14ac:dyDescent="0.25">
      <c r="C234" t="s">
        <v>287</v>
      </c>
      <c r="E234" s="38">
        <v>-4</v>
      </c>
      <c r="F234" s="19" t="str" cm="1">
        <f t="array" ref="F234">_xlfn.XLOOKUP(TRUE,A$2:A234&lt;&gt;"",A$2:A234,,,-1)</f>
        <v>Implementation</v>
      </c>
      <c r="G234" s="19" t="str" cm="1">
        <f t="array" ref="G234">_xlfn.XLOOKUP(TRUE,B$2:B234&lt;&gt;"",B$2:B234,,,-1)</f>
        <v>Runtime server installation</v>
      </c>
      <c r="H234" s="19" t="str">
        <f>IF(CLASSIFICATION[[#This Row],[Classification (Generalized keyword)]]="",CLASSIFICATION[[#This Row],[Keyword]],CLASSIFICATION[[#This Row],[Classification (Generalized keyword)]])</f>
        <v>SOAP</v>
      </c>
      <c r="I234" s="19" t="str">
        <f>_xlfn.CONCAT(CLASSIFICATION[[#This Row],[Project Stage Aggr]],",",CLASSIFICATION[[#This Row],[Functional Scope Aggr]],",",CLASSIFICATION[[#This Row],[Keyword]])</f>
        <v>Implementation,Runtime server installation,SOAP</v>
      </c>
      <c r="J234" s="19" t="str">
        <f>_xlfn.CONCAT(CLASSIFICATION[[#This Row],[Project Stage Aggr]],",",CLASSIFICATION[[#This Row],[Functional Scope Aggr]],",",CLASSIFICATION[[#This Row],[Keyword Aggr]])</f>
        <v>Implementation,Runtime server installation,SOAP</v>
      </c>
      <c r="K234" s="19" t="str">
        <f>_xlfn.CONCAT(CLASSIFICATION[[#This Row],[Project Stage Aggr]],",",CLASSIFICATION[[#This Row],[Functional Scope Aggr]],",",CLASSIFICATION[[#This Row],[Keyword Aggr]],",",CLASSIFICATION[[#This Row],[Importance]])</f>
        <v>Implementation,Runtime server installation,SOAP,-4</v>
      </c>
    </row>
    <row r="235" spans="2:11" x14ac:dyDescent="0.25">
      <c r="C235" t="s">
        <v>324</v>
      </c>
      <c r="E235" s="38">
        <v>-3</v>
      </c>
      <c r="F235" s="19" t="str" cm="1">
        <f t="array" ref="F235">_xlfn.XLOOKUP(TRUE,A$2:A235&lt;&gt;"",A$2:A235,,,-1)</f>
        <v>Implementation</v>
      </c>
      <c r="G235" s="19" t="str" cm="1">
        <f t="array" ref="G235">_xlfn.XLOOKUP(TRUE,B$2:B235&lt;&gt;"",B$2:B235,,,-1)</f>
        <v>Runtime server installation</v>
      </c>
      <c r="H235" s="19" t="str">
        <f>IF(CLASSIFICATION[[#This Row],[Classification (Generalized keyword)]]="",CLASSIFICATION[[#This Row],[Keyword]],CLASSIFICATION[[#This Row],[Classification (Generalized keyword)]])</f>
        <v>SSL Certificates</v>
      </c>
      <c r="I235" s="19" t="str">
        <f>_xlfn.CONCAT(CLASSIFICATION[[#This Row],[Project Stage Aggr]],",",CLASSIFICATION[[#This Row],[Functional Scope Aggr]],",",CLASSIFICATION[[#This Row],[Keyword]])</f>
        <v>Implementation,Runtime server installation,SSL Certificates</v>
      </c>
      <c r="J235" s="19" t="str">
        <f>_xlfn.CONCAT(CLASSIFICATION[[#This Row],[Project Stage Aggr]],",",CLASSIFICATION[[#This Row],[Functional Scope Aggr]],",",CLASSIFICATION[[#This Row],[Keyword Aggr]])</f>
        <v>Implementation,Runtime server installation,SSL Certificates</v>
      </c>
      <c r="K235" s="19" t="str">
        <f>_xlfn.CONCAT(CLASSIFICATION[[#This Row],[Project Stage Aggr]],",",CLASSIFICATION[[#This Row],[Functional Scope Aggr]],",",CLASSIFICATION[[#This Row],[Keyword Aggr]],",",CLASSIFICATION[[#This Row],[Importance]])</f>
        <v>Implementation,Runtime server installation,SSL Certificates,-3</v>
      </c>
    </row>
    <row r="236" spans="2:11" x14ac:dyDescent="0.25">
      <c r="C236" t="s">
        <v>325</v>
      </c>
      <c r="E236" s="38">
        <v>-4</v>
      </c>
      <c r="F236" s="19" t="str" cm="1">
        <f t="array" ref="F236">_xlfn.XLOOKUP(TRUE,A$2:A236&lt;&gt;"",A$2:A236,,,-1)</f>
        <v>Implementation</v>
      </c>
      <c r="G236" s="19" t="str" cm="1">
        <f t="array" ref="G236">_xlfn.XLOOKUP(TRUE,B$2:B236&lt;&gt;"",B$2:B236,,,-1)</f>
        <v>Runtime server installation</v>
      </c>
      <c r="H236" s="19" t="str">
        <f>IF(CLASSIFICATION[[#This Row],[Classification (Generalized keyword)]]="",CLASSIFICATION[[#This Row],[Keyword]],CLASSIFICATION[[#This Row],[Classification (Generalized keyword)]])</f>
        <v>Swagger</v>
      </c>
      <c r="I236" s="19" t="str">
        <f>_xlfn.CONCAT(CLASSIFICATION[[#This Row],[Project Stage Aggr]],",",CLASSIFICATION[[#This Row],[Functional Scope Aggr]],",",CLASSIFICATION[[#This Row],[Keyword]])</f>
        <v>Implementation,Runtime server installation,Swagger</v>
      </c>
      <c r="J236" s="19" t="str">
        <f>_xlfn.CONCAT(CLASSIFICATION[[#This Row],[Project Stage Aggr]],",",CLASSIFICATION[[#This Row],[Functional Scope Aggr]],",",CLASSIFICATION[[#This Row],[Keyword Aggr]])</f>
        <v>Implementation,Runtime server installation,Swagger</v>
      </c>
      <c r="K236" s="19" t="str">
        <f>_xlfn.CONCAT(CLASSIFICATION[[#This Row],[Project Stage Aggr]],",",CLASSIFICATION[[#This Row],[Functional Scope Aggr]],",",CLASSIFICATION[[#This Row],[Keyword Aggr]],",",CLASSIFICATION[[#This Row],[Importance]])</f>
        <v>Implementation,Runtime server installation,Swagger,-4</v>
      </c>
    </row>
    <row r="237" spans="2:11" x14ac:dyDescent="0.25">
      <c r="C237" t="s">
        <v>326</v>
      </c>
      <c r="E237" s="38">
        <v>-3</v>
      </c>
      <c r="F237" s="19" t="str" cm="1">
        <f t="array" ref="F237">_xlfn.XLOOKUP(TRUE,A$2:A237&lt;&gt;"",A$2:A237,,,-1)</f>
        <v>Implementation</v>
      </c>
      <c r="G237" s="19" t="str" cm="1">
        <f t="array" ref="G237">_xlfn.XLOOKUP(TRUE,B$2:B237&lt;&gt;"",B$2:B237,,,-1)</f>
        <v>Runtime server installation</v>
      </c>
      <c r="H237" s="19" t="str">
        <f>IF(CLASSIFICATION[[#This Row],[Classification (Generalized keyword)]]="",CLASSIFICATION[[#This Row],[Keyword]],CLASSIFICATION[[#This Row],[Classification (Generalized keyword)]])</f>
        <v>WSDL</v>
      </c>
      <c r="I237" s="19" t="str">
        <f>_xlfn.CONCAT(CLASSIFICATION[[#This Row],[Project Stage Aggr]],",",CLASSIFICATION[[#This Row],[Functional Scope Aggr]],",",CLASSIFICATION[[#This Row],[Keyword]])</f>
        <v>Implementation,Runtime server installation,WSDL</v>
      </c>
      <c r="J237" s="19" t="str">
        <f>_xlfn.CONCAT(CLASSIFICATION[[#This Row],[Project Stage Aggr]],",",CLASSIFICATION[[#This Row],[Functional Scope Aggr]],",",CLASSIFICATION[[#This Row],[Keyword Aggr]])</f>
        <v>Implementation,Runtime server installation,WSDL</v>
      </c>
      <c r="K237" s="19" t="str">
        <f>_xlfn.CONCAT(CLASSIFICATION[[#This Row],[Project Stage Aggr]],",",CLASSIFICATION[[#This Row],[Functional Scope Aggr]],",",CLASSIFICATION[[#This Row],[Keyword Aggr]],",",CLASSIFICATION[[#This Row],[Importance]])</f>
        <v>Implementation,Runtime server installation,WSDL,-3</v>
      </c>
    </row>
    <row r="238" spans="2:11" x14ac:dyDescent="0.25">
      <c r="C238" t="s">
        <v>327</v>
      </c>
      <c r="D238" t="s">
        <v>353</v>
      </c>
      <c r="E238" s="38">
        <v>-4</v>
      </c>
      <c r="F238" s="19" t="str" cm="1">
        <f t="array" ref="F238">_xlfn.XLOOKUP(TRUE,A$2:A238&lt;&gt;"",A$2:A238,,,-1)</f>
        <v>Implementation</v>
      </c>
      <c r="G238" s="19" t="str" cm="1">
        <f t="array" ref="G238">_xlfn.XLOOKUP(TRUE,B$2:B238&lt;&gt;"",B$2:B238,,,-1)</f>
        <v>Runtime server installation</v>
      </c>
      <c r="H238" s="19" t="str">
        <f>IF(CLASSIFICATION[[#This Row],[Classification (Generalized keyword)]]="",CLASSIFICATION[[#This Row],[Keyword]],CLASSIFICATION[[#This Row],[Classification (Generalized keyword)]])</f>
        <v>XML/XPath</v>
      </c>
      <c r="I238" s="19" t="str">
        <f>_xlfn.CONCAT(CLASSIFICATION[[#This Row],[Project Stage Aggr]],",",CLASSIFICATION[[#This Row],[Functional Scope Aggr]],",",CLASSIFICATION[[#This Row],[Keyword]])</f>
        <v>Implementation,Runtime server installation,Xpath</v>
      </c>
      <c r="J238" s="19" t="str">
        <f>_xlfn.CONCAT(CLASSIFICATION[[#This Row],[Project Stage Aggr]],",",CLASSIFICATION[[#This Row],[Functional Scope Aggr]],",",CLASSIFICATION[[#This Row],[Keyword Aggr]])</f>
        <v>Implementation,Runtime server installation,XML/XPath</v>
      </c>
      <c r="K238" s="19" t="str">
        <f>_xlfn.CONCAT(CLASSIFICATION[[#This Row],[Project Stage Aggr]],",",CLASSIFICATION[[#This Row],[Functional Scope Aggr]],",",CLASSIFICATION[[#This Row],[Keyword Aggr]],",",CLASSIFICATION[[#This Row],[Importance]])</f>
        <v>Implementation,Runtime server installation,XML/XPath,-4</v>
      </c>
    </row>
    <row r="239" spans="2:11" x14ac:dyDescent="0.25">
      <c r="B239" t="s">
        <v>22</v>
      </c>
      <c r="C239" t="s">
        <v>328</v>
      </c>
      <c r="D239" s="6" t="s">
        <v>371</v>
      </c>
      <c r="E239" s="39">
        <v>4</v>
      </c>
      <c r="F239" s="19" t="str" cm="1">
        <f t="array" ref="F239">_xlfn.XLOOKUP(TRUE,A$2:A239&lt;&gt;"",A$2:A239,,,-1)</f>
        <v>Implementation</v>
      </c>
      <c r="G239" s="19" t="str" cm="1">
        <f t="array" ref="G239">_xlfn.XLOOKUP(TRUE,B$2:B239&lt;&gt;"",B$2:B239,,,-1)</f>
        <v>Database installation</v>
      </c>
      <c r="H239" s="19" t="str">
        <f>IF(CLASSIFICATION[[#This Row],[Classification (Generalized keyword)]]="",CLASSIFICATION[[#This Row],[Keyword]],CLASSIFICATION[[#This Row],[Classification (Generalized keyword)]])</f>
        <v>+Embedded Database</v>
      </c>
      <c r="I239" s="19" t="str">
        <f>_xlfn.CONCAT(CLASSIFICATION[[#This Row],[Project Stage Aggr]],",",CLASSIFICATION[[#This Row],[Functional Scope Aggr]],",",CLASSIFICATION[[#This Row],[Keyword]])</f>
        <v>Implementation,Database installation,+Embedded Database (Microsoft Dataverse)</v>
      </c>
      <c r="J239" s="19" t="str">
        <f>_xlfn.CONCAT(CLASSIFICATION[[#This Row],[Project Stage Aggr]],",",CLASSIFICATION[[#This Row],[Functional Scope Aggr]],",",CLASSIFICATION[[#This Row],[Keyword Aggr]])</f>
        <v>Implementation,Database installation,+Embedded Database</v>
      </c>
      <c r="K239" s="19" t="str">
        <f>_xlfn.CONCAT(CLASSIFICATION[[#This Row],[Project Stage Aggr]],",",CLASSIFICATION[[#This Row],[Functional Scope Aggr]],",",CLASSIFICATION[[#This Row],[Keyword Aggr]],",",CLASSIFICATION[[#This Row],[Importance]])</f>
        <v>Implementation,Database installation,+Embedded Database,4</v>
      </c>
    </row>
    <row r="240" spans="2:11" x14ac:dyDescent="0.25">
      <c r="C240" t="s">
        <v>329</v>
      </c>
      <c r="D240" s="6" t="s">
        <v>371</v>
      </c>
      <c r="E240" s="39">
        <v>4</v>
      </c>
      <c r="F240" s="19" t="str" cm="1">
        <f t="array" ref="F240">_xlfn.XLOOKUP(TRUE,A$2:A240&lt;&gt;"",A$2:A240,,,-1)</f>
        <v>Implementation</v>
      </c>
      <c r="G240" s="19" t="str" cm="1">
        <f t="array" ref="G240">_xlfn.XLOOKUP(TRUE,B$2:B240&lt;&gt;"",B$2:B240,,,-1)</f>
        <v>Database installation</v>
      </c>
      <c r="H240" s="19" t="str">
        <f>IF(CLASSIFICATION[[#This Row],[Classification (Generalized keyword)]]="",CLASSIFICATION[[#This Row],[Keyword]],CLASSIFICATION[[#This Row],[Classification (Generalized keyword)]])</f>
        <v>+Embedded Database</v>
      </c>
      <c r="I240" s="19" t="str">
        <f>_xlfn.CONCAT(CLASSIFICATION[[#This Row],[Project Stage Aggr]],",",CLASSIFICATION[[#This Row],[Functional Scope Aggr]],",",CLASSIFICATION[[#This Row],[Keyword]])</f>
        <v>Implementation,Database installation,+Embedded Database (Postgres)</v>
      </c>
      <c r="J240" s="19" t="str">
        <f>_xlfn.CONCAT(CLASSIFICATION[[#This Row],[Project Stage Aggr]],",",CLASSIFICATION[[#This Row],[Functional Scope Aggr]],",",CLASSIFICATION[[#This Row],[Keyword Aggr]])</f>
        <v>Implementation,Database installation,+Embedded Database</v>
      </c>
      <c r="K240" s="19" t="str">
        <f>_xlfn.CONCAT(CLASSIFICATION[[#This Row],[Project Stage Aggr]],",",CLASSIFICATION[[#This Row],[Functional Scope Aggr]],",",CLASSIFICATION[[#This Row],[Keyword Aggr]],",",CLASSIFICATION[[#This Row],[Importance]])</f>
        <v>Implementation,Database installation,+Embedded Database,4</v>
      </c>
    </row>
    <row r="241" spans="2:11" x14ac:dyDescent="0.25">
      <c r="C241" s="6" t="s">
        <v>428</v>
      </c>
      <c r="D241" s="6" t="s">
        <v>371</v>
      </c>
      <c r="E241" s="39">
        <v>4</v>
      </c>
      <c r="F241" s="19" t="str" cm="1">
        <f t="array" ref="F241">_xlfn.XLOOKUP(TRUE,A$2:A241&lt;&gt;"",A$2:A241,,,-1)</f>
        <v>Implementation</v>
      </c>
      <c r="G241" s="19" t="str" cm="1">
        <f t="array" ref="G241">_xlfn.XLOOKUP(TRUE,B$2:B241&lt;&gt;"",B$2:B241,,,-1)</f>
        <v>Database installation</v>
      </c>
      <c r="H241" s="19" t="str">
        <f>IF(CLASSIFICATION[[#This Row],[Classification (Generalized keyword)]]="",CLASSIFICATION[[#This Row],[Keyword]],CLASSIFICATION[[#This Row],[Classification (Generalized keyword)]])</f>
        <v>+Embedded Database</v>
      </c>
      <c r="I241" s="19" t="str">
        <f>_xlfn.CONCAT(CLASSIFICATION[[#This Row],[Project Stage Aggr]],",",CLASSIFICATION[[#This Row],[Functional Scope Aggr]],",",CLASSIFICATION[[#This Row],[Keyword]])</f>
        <v>Implementation,Database installation,+Embedded Database (Postgres or Oracle)</v>
      </c>
      <c r="J241" s="19" t="str">
        <f>_xlfn.CONCAT(CLASSIFICATION[[#This Row],[Project Stage Aggr]],",",CLASSIFICATION[[#This Row],[Functional Scope Aggr]],",",CLASSIFICATION[[#This Row],[Keyword Aggr]])</f>
        <v>Implementation,Database installation,+Embedded Database</v>
      </c>
      <c r="K241" s="19" t="str">
        <f>_xlfn.CONCAT(CLASSIFICATION[[#This Row],[Project Stage Aggr]],",",CLASSIFICATION[[#This Row],[Functional Scope Aggr]],",",CLASSIFICATION[[#This Row],[Keyword Aggr]],",",CLASSIFICATION[[#This Row],[Importance]])</f>
        <v>Implementation,Database installation,+Embedded Database,4</v>
      </c>
    </row>
    <row r="242" spans="2:11" x14ac:dyDescent="0.25">
      <c r="C242" t="s">
        <v>330</v>
      </c>
      <c r="D242" s="6" t="s">
        <v>371</v>
      </c>
      <c r="E242" s="39">
        <v>4</v>
      </c>
      <c r="F242" s="19" t="str" cm="1">
        <f t="array" ref="F242">_xlfn.XLOOKUP(TRUE,A$2:A242&lt;&gt;"",A$2:A242,,,-1)</f>
        <v>Implementation</v>
      </c>
      <c r="G242" s="19" t="str" cm="1">
        <f t="array" ref="G242">_xlfn.XLOOKUP(TRUE,B$2:B242&lt;&gt;"",B$2:B242,,,-1)</f>
        <v>Database installation</v>
      </c>
      <c r="H242" s="19" t="str">
        <f>IF(CLASSIFICATION[[#This Row],[Classification (Generalized keyword)]]="",CLASSIFICATION[[#This Row],[Keyword]],CLASSIFICATION[[#This Row],[Classification (Generalized keyword)]])</f>
        <v>+Embedded Database</v>
      </c>
      <c r="I242" s="19" t="str">
        <f>_xlfn.CONCAT(CLASSIFICATION[[#This Row],[Project Stage Aggr]],",",CLASSIFICATION[[#This Row],[Functional Scope Aggr]],",",CLASSIFICATION[[#This Row],[Keyword]])</f>
        <v>Implementation,Database installation,+Embedded Database (Spreadsheets)</v>
      </c>
      <c r="J242" s="19" t="str">
        <f>_xlfn.CONCAT(CLASSIFICATION[[#This Row],[Project Stage Aggr]],",",CLASSIFICATION[[#This Row],[Functional Scope Aggr]],",",CLASSIFICATION[[#This Row],[Keyword Aggr]])</f>
        <v>Implementation,Database installation,+Embedded Database</v>
      </c>
      <c r="K242" s="19" t="str">
        <f>_xlfn.CONCAT(CLASSIFICATION[[#This Row],[Project Stage Aggr]],",",CLASSIFICATION[[#This Row],[Functional Scope Aggr]],",",CLASSIFICATION[[#This Row],[Keyword Aggr]],",",CLASSIFICATION[[#This Row],[Importance]])</f>
        <v>Implementation,Database installation,+Embedded Database,4</v>
      </c>
    </row>
    <row r="243" spans="2:11" x14ac:dyDescent="0.25">
      <c r="C243" t="s">
        <v>314</v>
      </c>
      <c r="E243" s="38">
        <v>-4</v>
      </c>
      <c r="F243" s="19" t="str" cm="1">
        <f t="array" ref="F243">_xlfn.XLOOKUP(TRUE,A$2:A243&lt;&gt;"",A$2:A243,,,-1)</f>
        <v>Implementation</v>
      </c>
      <c r="G243" s="19" t="str" cm="1">
        <f t="array" ref="G243">_xlfn.XLOOKUP(TRUE,B$2:B243&lt;&gt;"",B$2:B243,,,-1)</f>
        <v>Database installation</v>
      </c>
      <c r="H243" s="19" t="str">
        <f>IF(CLASSIFICATION[[#This Row],[Classification (Generalized keyword)]]="",CLASSIFICATION[[#This Row],[Keyword]],CLASSIFICATION[[#This Row],[Classification (Generalized keyword)]])</f>
        <v>File Storage</v>
      </c>
      <c r="I243" s="19" t="str">
        <f>_xlfn.CONCAT(CLASSIFICATION[[#This Row],[Project Stage Aggr]],",",CLASSIFICATION[[#This Row],[Functional Scope Aggr]],",",CLASSIFICATION[[#This Row],[Keyword]])</f>
        <v>Implementation,Database installation,File Storage</v>
      </c>
      <c r="J243" s="19" t="str">
        <f>_xlfn.CONCAT(CLASSIFICATION[[#This Row],[Project Stage Aggr]],",",CLASSIFICATION[[#This Row],[Functional Scope Aggr]],",",CLASSIFICATION[[#This Row],[Keyword Aggr]])</f>
        <v>Implementation,Database installation,File Storage</v>
      </c>
      <c r="K243" s="19" t="str">
        <f>_xlfn.CONCAT(CLASSIFICATION[[#This Row],[Project Stage Aggr]],",",CLASSIFICATION[[#This Row],[Functional Scope Aggr]],",",CLASSIFICATION[[#This Row],[Keyword Aggr]],",",CLASSIFICATION[[#This Row],[Importance]])</f>
        <v>Implementation,Database installation,File Storage,-4</v>
      </c>
    </row>
    <row r="244" spans="2:11" x14ac:dyDescent="0.25">
      <c r="C244" t="s">
        <v>239</v>
      </c>
      <c r="D244" t="s">
        <v>239</v>
      </c>
      <c r="E244" s="38">
        <v>-4</v>
      </c>
      <c r="F244" s="19" t="str" cm="1">
        <f t="array" ref="F244">_xlfn.XLOOKUP(TRUE,A$2:A244&lt;&gt;"",A$2:A244,,,-1)</f>
        <v>Implementation</v>
      </c>
      <c r="G244" s="19" t="str" cm="1">
        <f t="array" ref="G244">_xlfn.XLOOKUP(TRUE,B$2:B244&lt;&gt;"",B$2:B244,,,-1)</f>
        <v>Database installation</v>
      </c>
      <c r="H244" s="19" t="str">
        <f>IF(CLASSIFICATION[[#This Row],[Classification (Generalized keyword)]]="",CLASSIFICATION[[#This Row],[Keyword]],CLASSIFICATION[[#This Row],[Classification (Generalized keyword)]])</f>
        <v>Relational Database</v>
      </c>
      <c r="I244" s="19" t="str">
        <f>_xlfn.CONCAT(CLASSIFICATION[[#This Row],[Project Stage Aggr]],",",CLASSIFICATION[[#This Row],[Functional Scope Aggr]],",",CLASSIFICATION[[#This Row],[Keyword]])</f>
        <v>Implementation,Database installation,Relational Database</v>
      </c>
      <c r="J244" s="19" t="str">
        <f>_xlfn.CONCAT(CLASSIFICATION[[#This Row],[Project Stage Aggr]],",",CLASSIFICATION[[#This Row],[Functional Scope Aggr]],",",CLASSIFICATION[[#This Row],[Keyword Aggr]])</f>
        <v>Implementation,Database installation,Relational Database</v>
      </c>
      <c r="K244" s="19" t="str">
        <f>_xlfn.CONCAT(CLASSIFICATION[[#This Row],[Project Stage Aggr]],",",CLASSIFICATION[[#This Row],[Functional Scope Aggr]],",",CLASSIFICATION[[#This Row],[Keyword Aggr]],",",CLASSIFICATION[[#This Row],[Importance]])</f>
        <v>Implementation,Database installation,Relational Database,-4</v>
      </c>
    </row>
    <row r="245" spans="2:11" x14ac:dyDescent="0.25">
      <c r="C245" t="s">
        <v>331</v>
      </c>
      <c r="D245" t="s">
        <v>239</v>
      </c>
      <c r="E245" s="38">
        <v>-4</v>
      </c>
      <c r="F245" s="19" t="str" cm="1">
        <f t="array" ref="F245">_xlfn.XLOOKUP(TRUE,A$2:A245&lt;&gt;"",A$2:A245,,,-1)</f>
        <v>Implementation</v>
      </c>
      <c r="G245" s="19" t="str" cm="1">
        <f t="array" ref="G245">_xlfn.XLOOKUP(TRUE,B$2:B245&lt;&gt;"",B$2:B245,,,-1)</f>
        <v>Database installation</v>
      </c>
      <c r="H245" s="19" t="str">
        <f>IF(CLASSIFICATION[[#This Row],[Classification (Generalized keyword)]]="",CLASSIFICATION[[#This Row],[Keyword]],CLASSIFICATION[[#This Row],[Classification (Generalized keyword)]])</f>
        <v>Relational Database</v>
      </c>
      <c r="I245" s="19" t="str">
        <f>_xlfn.CONCAT(CLASSIFICATION[[#This Row],[Project Stage Aggr]],",",CLASSIFICATION[[#This Row],[Functional Scope Aggr]],",",CLASSIFICATION[[#This Row],[Keyword]])</f>
        <v>Implementation,Database installation,Relational Database (MS SQL Server)</v>
      </c>
      <c r="J245" s="19" t="str">
        <f>_xlfn.CONCAT(CLASSIFICATION[[#This Row],[Project Stage Aggr]],",",CLASSIFICATION[[#This Row],[Functional Scope Aggr]],",",CLASSIFICATION[[#This Row],[Keyword Aggr]])</f>
        <v>Implementation,Database installation,Relational Database</v>
      </c>
      <c r="K245" s="19" t="str">
        <f>_xlfn.CONCAT(CLASSIFICATION[[#This Row],[Project Stage Aggr]],",",CLASSIFICATION[[#This Row],[Functional Scope Aggr]],",",CLASSIFICATION[[#This Row],[Keyword Aggr]],",",CLASSIFICATION[[#This Row],[Importance]])</f>
        <v>Implementation,Database installation,Relational Database,-4</v>
      </c>
    </row>
    <row r="246" spans="2:11" x14ac:dyDescent="0.25">
      <c r="C246" t="s">
        <v>229</v>
      </c>
      <c r="E246" s="38">
        <v>-4</v>
      </c>
      <c r="F246" s="19" t="str" cm="1">
        <f t="array" ref="F246">_xlfn.XLOOKUP(TRUE,A$2:A246&lt;&gt;"",A$2:A246,,,-1)</f>
        <v>Implementation</v>
      </c>
      <c r="G246" s="19" t="str" cm="1">
        <f t="array" ref="G246">_xlfn.XLOOKUP(TRUE,B$2:B246&lt;&gt;"",B$2:B246,,,-1)</f>
        <v>Database installation</v>
      </c>
      <c r="H246" s="19" t="str">
        <f>IF(CLASSIFICATION[[#This Row],[Classification (Generalized keyword)]]="",CLASSIFICATION[[#This Row],[Keyword]],CLASSIFICATION[[#This Row],[Classification (Generalized keyword)]])</f>
        <v>REST API</v>
      </c>
      <c r="I246" s="19" t="str">
        <f>_xlfn.CONCAT(CLASSIFICATION[[#This Row],[Project Stage Aggr]],",",CLASSIFICATION[[#This Row],[Functional Scope Aggr]],",",CLASSIFICATION[[#This Row],[Keyword]])</f>
        <v>Implementation,Database installation,REST API</v>
      </c>
      <c r="J246" s="19" t="str">
        <f>_xlfn.CONCAT(CLASSIFICATION[[#This Row],[Project Stage Aggr]],",",CLASSIFICATION[[#This Row],[Functional Scope Aggr]],",",CLASSIFICATION[[#This Row],[Keyword Aggr]])</f>
        <v>Implementation,Database installation,REST API</v>
      </c>
      <c r="K246" s="19" t="str">
        <f>_xlfn.CONCAT(CLASSIFICATION[[#This Row],[Project Stage Aggr]],",",CLASSIFICATION[[#This Row],[Functional Scope Aggr]],",",CLASSIFICATION[[#This Row],[Keyword Aggr]],",",CLASSIFICATION[[#This Row],[Importance]])</f>
        <v>Implementation,Database installation,REST API,-4</v>
      </c>
    </row>
    <row r="247" spans="2:11" x14ac:dyDescent="0.25">
      <c r="B247" t="s">
        <v>21</v>
      </c>
      <c r="C247" t="s">
        <v>332</v>
      </c>
      <c r="E247" s="38">
        <v>-4</v>
      </c>
      <c r="F247" s="19" t="str" cm="1">
        <f t="array" ref="F247">_xlfn.XLOOKUP(TRUE,A$2:A247&lt;&gt;"",A$2:A247,,,-1)</f>
        <v>Implementation</v>
      </c>
      <c r="G247" s="19" t="str" cm="1">
        <f t="array" ref="G247">_xlfn.XLOOKUP(TRUE,B$2:B247&lt;&gt;"",B$2:B247,,,-1)</f>
        <v>Client module installation</v>
      </c>
      <c r="H247" s="19" t="str">
        <f>IF(CLASSIFICATION[[#This Row],[Classification (Generalized keyword)]]="",CLASSIFICATION[[#This Row],[Keyword]],CLASSIFICATION[[#This Row],[Classification (Generalized keyword)]])</f>
        <v>.NET Framework</v>
      </c>
      <c r="I247" s="19" t="str">
        <f>_xlfn.CONCAT(CLASSIFICATION[[#This Row],[Project Stage Aggr]],",",CLASSIFICATION[[#This Row],[Functional Scope Aggr]],",",CLASSIFICATION[[#This Row],[Keyword]])</f>
        <v>Implementation,Client module installation,.NET Framework</v>
      </c>
      <c r="J247" s="19" t="str">
        <f>_xlfn.CONCAT(CLASSIFICATION[[#This Row],[Project Stage Aggr]],",",CLASSIFICATION[[#This Row],[Functional Scope Aggr]],",",CLASSIFICATION[[#This Row],[Keyword Aggr]])</f>
        <v>Implementation,Client module installation,.NET Framework</v>
      </c>
      <c r="K247" s="19" t="str">
        <f>_xlfn.CONCAT(CLASSIFICATION[[#This Row],[Project Stage Aggr]],",",CLASSIFICATION[[#This Row],[Functional Scope Aggr]],",",CLASSIFICATION[[#This Row],[Keyword Aggr]],",",CLASSIFICATION[[#This Row],[Importance]])</f>
        <v>Implementation,Client module installation,.NET Framework,-4</v>
      </c>
    </row>
    <row r="248" spans="2:11" x14ac:dyDescent="0.25">
      <c r="C248" t="s">
        <v>333</v>
      </c>
      <c r="E248" s="38">
        <v>3</v>
      </c>
      <c r="F248" s="19" t="str" cm="1">
        <f t="array" ref="F248">_xlfn.XLOOKUP(TRUE,A$2:A248&lt;&gt;"",A$2:A248,,,-1)</f>
        <v>Implementation</v>
      </c>
      <c r="G248" s="19" t="str" cm="1">
        <f t="array" ref="G248">_xlfn.XLOOKUP(TRUE,B$2:B248&lt;&gt;"",B$2:B248,,,-1)</f>
        <v>Client module installation</v>
      </c>
      <c r="H248" s="19" t="str">
        <f>IF(CLASSIFICATION[[#This Row],[Classification (Generalized keyword)]]="",CLASSIFICATION[[#This Row],[Keyword]],CLASSIFICATION[[#This Row],[Classification (Generalized keyword)]])</f>
        <v>+Mobile App</v>
      </c>
      <c r="I248" s="19" t="str">
        <f>_xlfn.CONCAT(CLASSIFICATION[[#This Row],[Project Stage Aggr]],",",CLASSIFICATION[[#This Row],[Functional Scope Aggr]],",",CLASSIFICATION[[#This Row],[Keyword]])</f>
        <v>Implementation,Client module installation,+Mobile App</v>
      </c>
      <c r="J248" s="19" t="str">
        <f>_xlfn.CONCAT(CLASSIFICATION[[#This Row],[Project Stage Aggr]],",",CLASSIFICATION[[#This Row],[Functional Scope Aggr]],",",CLASSIFICATION[[#This Row],[Keyword Aggr]])</f>
        <v>Implementation,Client module installation,+Mobile App</v>
      </c>
      <c r="K248" s="19" t="str">
        <f>_xlfn.CONCAT(CLASSIFICATION[[#This Row],[Project Stage Aggr]],",",CLASSIFICATION[[#This Row],[Functional Scope Aggr]],",",CLASSIFICATION[[#This Row],[Keyword Aggr]],",",CLASSIFICATION[[#This Row],[Importance]])</f>
        <v>Implementation,Client module installation,+Mobile App,3</v>
      </c>
    </row>
    <row r="249" spans="2:11" x14ac:dyDescent="0.25">
      <c r="C249" t="s">
        <v>334</v>
      </c>
      <c r="E249" s="38">
        <v>3</v>
      </c>
      <c r="F249" s="19" t="str" cm="1">
        <f t="array" ref="F249">_xlfn.XLOOKUP(TRUE,A$2:A249&lt;&gt;"",A$2:A249,,,-1)</f>
        <v>Implementation</v>
      </c>
      <c r="G249" s="19" t="str" cm="1">
        <f t="array" ref="G249">_xlfn.XLOOKUP(TRUE,B$2:B249&lt;&gt;"",B$2:B249,,,-1)</f>
        <v>Client module installation</v>
      </c>
      <c r="H249" s="19" t="str">
        <f>IF(CLASSIFICATION[[#This Row],[Classification (Generalized keyword)]]="",CLASSIFICATION[[#This Row],[Keyword]],CLASSIFICATION[[#This Row],[Classification (Generalized keyword)]])</f>
        <v>+Web Browser</v>
      </c>
      <c r="I249" s="19" t="str">
        <f>_xlfn.CONCAT(CLASSIFICATION[[#This Row],[Project Stage Aggr]],",",CLASSIFICATION[[#This Row],[Functional Scope Aggr]],",",CLASSIFICATION[[#This Row],[Keyword]])</f>
        <v>Implementation,Client module installation,+Web Browser</v>
      </c>
      <c r="J249" s="19" t="str">
        <f>_xlfn.CONCAT(CLASSIFICATION[[#This Row],[Project Stage Aggr]],",",CLASSIFICATION[[#This Row],[Functional Scope Aggr]],",",CLASSIFICATION[[#This Row],[Keyword Aggr]])</f>
        <v>Implementation,Client module installation,+Web Browser</v>
      </c>
      <c r="K249" s="19" t="str">
        <f>_xlfn.CONCAT(CLASSIFICATION[[#This Row],[Project Stage Aggr]],",",CLASSIFICATION[[#This Row],[Functional Scope Aggr]],",",CLASSIFICATION[[#This Row],[Keyword Aggr]],",",CLASSIFICATION[[#This Row],[Importance]])</f>
        <v>Implementation,Client module installation,+Web Browser,3</v>
      </c>
    </row>
    <row r="250" spans="2:11" x14ac:dyDescent="0.25">
      <c r="C250" t="s">
        <v>285</v>
      </c>
      <c r="E250" s="38">
        <v>-4</v>
      </c>
      <c r="F250" s="19" t="str" cm="1">
        <f t="array" ref="F250">_xlfn.XLOOKUP(TRUE,A$2:A250&lt;&gt;"",A$2:A250,,,-1)</f>
        <v>Implementation</v>
      </c>
      <c r="G250" s="19" t="str" cm="1">
        <f t="array" ref="G250">_xlfn.XLOOKUP(TRUE,B$2:B250&lt;&gt;"",B$2:B250,,,-1)</f>
        <v>Client module installation</v>
      </c>
      <c r="H250" s="19" t="str">
        <f>IF(CLASSIFICATION[[#This Row],[Classification (Generalized keyword)]]="",CLASSIFICATION[[#This Row],[Keyword]],CLASSIFICATION[[#This Row],[Classification (Generalized keyword)]])</f>
        <v>API</v>
      </c>
      <c r="I250" s="19" t="str">
        <f>_xlfn.CONCAT(CLASSIFICATION[[#This Row],[Project Stage Aggr]],",",CLASSIFICATION[[#This Row],[Functional Scope Aggr]],",",CLASSIFICATION[[#This Row],[Keyword]])</f>
        <v>Implementation,Client module installation,API</v>
      </c>
      <c r="J250" s="19" t="str">
        <f>_xlfn.CONCAT(CLASSIFICATION[[#This Row],[Project Stage Aggr]],",",CLASSIFICATION[[#This Row],[Functional Scope Aggr]],",",CLASSIFICATION[[#This Row],[Keyword Aggr]])</f>
        <v>Implementation,Client module installation,API</v>
      </c>
      <c r="K250" s="19" t="str">
        <f>_xlfn.CONCAT(CLASSIFICATION[[#This Row],[Project Stage Aggr]],",",CLASSIFICATION[[#This Row],[Functional Scope Aggr]],",",CLASSIFICATION[[#This Row],[Keyword Aggr]],",",CLASSIFICATION[[#This Row],[Importance]])</f>
        <v>Implementation,Client module installation,API,-4</v>
      </c>
    </row>
    <row r="251" spans="2:11" x14ac:dyDescent="0.25">
      <c r="C251" t="s">
        <v>335</v>
      </c>
      <c r="E251" s="38">
        <v>-3</v>
      </c>
      <c r="F251" s="19" t="str" cm="1">
        <f t="array" ref="F251">_xlfn.XLOOKUP(TRUE,A$2:A251&lt;&gt;"",A$2:A251,,,-1)</f>
        <v>Implementation</v>
      </c>
      <c r="G251" s="19" t="str" cm="1">
        <f t="array" ref="G251">_xlfn.XLOOKUP(TRUE,B$2:B251&lt;&gt;"",B$2:B251,,,-1)</f>
        <v>Client module installation</v>
      </c>
      <c r="H251" s="19" t="str">
        <f>IF(CLASSIFICATION[[#This Row],[Classification (Generalized keyword)]]="",CLASSIFICATION[[#This Row],[Keyword]],CLASSIFICATION[[#This Row],[Classification (Generalized keyword)]])</f>
        <v>Binaries</v>
      </c>
      <c r="I251" s="19" t="str">
        <f>_xlfn.CONCAT(CLASSIFICATION[[#This Row],[Project Stage Aggr]],",",CLASSIFICATION[[#This Row],[Functional Scope Aggr]],",",CLASSIFICATION[[#This Row],[Keyword]])</f>
        <v>Implementation,Client module installation,Binaries</v>
      </c>
      <c r="J251" s="19" t="str">
        <f>_xlfn.CONCAT(CLASSIFICATION[[#This Row],[Project Stage Aggr]],",",CLASSIFICATION[[#This Row],[Functional Scope Aggr]],",",CLASSIFICATION[[#This Row],[Keyword Aggr]])</f>
        <v>Implementation,Client module installation,Binaries</v>
      </c>
      <c r="K251" s="19" t="str">
        <f>_xlfn.CONCAT(CLASSIFICATION[[#This Row],[Project Stage Aggr]],",",CLASSIFICATION[[#This Row],[Functional Scope Aggr]],",",CLASSIFICATION[[#This Row],[Keyword Aggr]],",",CLASSIFICATION[[#This Row],[Importance]])</f>
        <v>Implementation,Client module installation,Binaries,-3</v>
      </c>
    </row>
    <row r="252" spans="2:11" x14ac:dyDescent="0.25">
      <c r="C252" t="s">
        <v>315</v>
      </c>
      <c r="E252" s="38">
        <v>-4</v>
      </c>
      <c r="F252" s="19" t="str" cm="1">
        <f t="array" ref="F252">_xlfn.XLOOKUP(TRUE,A$2:A252&lt;&gt;"",A$2:A252,,,-1)</f>
        <v>Implementation</v>
      </c>
      <c r="G252" s="19" t="str" cm="1">
        <f t="array" ref="G252">_xlfn.XLOOKUP(TRUE,B$2:B252&lt;&gt;"",B$2:B252,,,-1)</f>
        <v>Client module installation</v>
      </c>
      <c r="H252" s="19" t="str">
        <f>IF(CLASSIFICATION[[#This Row],[Classification (Generalized keyword)]]="",CLASSIFICATION[[#This Row],[Keyword]],CLASSIFICATION[[#This Row],[Classification (Generalized keyword)]])</f>
        <v>HTTPS Server</v>
      </c>
      <c r="I252" s="19" t="str">
        <f>_xlfn.CONCAT(CLASSIFICATION[[#This Row],[Project Stage Aggr]],",",CLASSIFICATION[[#This Row],[Functional Scope Aggr]],",",CLASSIFICATION[[#This Row],[Keyword]])</f>
        <v>Implementation,Client module installation,HTTPS Server</v>
      </c>
      <c r="J252" s="19" t="str">
        <f>_xlfn.CONCAT(CLASSIFICATION[[#This Row],[Project Stage Aggr]],",",CLASSIFICATION[[#This Row],[Functional Scope Aggr]],",",CLASSIFICATION[[#This Row],[Keyword Aggr]])</f>
        <v>Implementation,Client module installation,HTTPS Server</v>
      </c>
      <c r="K252" s="19" t="str">
        <f>_xlfn.CONCAT(CLASSIFICATION[[#This Row],[Project Stage Aggr]],",",CLASSIFICATION[[#This Row],[Functional Scope Aggr]],",",CLASSIFICATION[[#This Row],[Keyword Aggr]],",",CLASSIFICATION[[#This Row],[Importance]])</f>
        <v>Implementation,Client module installation,HTTPS Server,-4</v>
      </c>
    </row>
    <row r="253" spans="2:11" x14ac:dyDescent="0.25">
      <c r="C253" t="s">
        <v>336</v>
      </c>
      <c r="E253" s="38">
        <v>-3</v>
      </c>
      <c r="F253" s="19" t="str" cm="1">
        <f t="array" ref="F253">_xlfn.XLOOKUP(TRUE,A$2:A253&lt;&gt;"",A$2:A253,,,-1)</f>
        <v>Implementation</v>
      </c>
      <c r="G253" s="19" t="str" cm="1">
        <f t="array" ref="G253">_xlfn.XLOOKUP(TRUE,B$2:B253&lt;&gt;"",B$2:B253,,,-1)</f>
        <v>Client module installation</v>
      </c>
      <c r="H253" s="19" t="str">
        <f>IF(CLASSIFICATION[[#This Row],[Classification (Generalized keyword)]]="",CLASSIFICATION[[#This Row],[Keyword]],CLASSIFICATION[[#This Row],[Classification (Generalized keyword)]])</f>
        <v>URL Configuration</v>
      </c>
      <c r="I253" s="19" t="str">
        <f>_xlfn.CONCAT(CLASSIFICATION[[#This Row],[Project Stage Aggr]],",",CLASSIFICATION[[#This Row],[Functional Scope Aggr]],",",CLASSIFICATION[[#This Row],[Keyword]])</f>
        <v>Implementation,Client module installation,URL Configuration</v>
      </c>
      <c r="J253" s="19" t="str">
        <f>_xlfn.CONCAT(CLASSIFICATION[[#This Row],[Project Stage Aggr]],",",CLASSIFICATION[[#This Row],[Functional Scope Aggr]],",",CLASSIFICATION[[#This Row],[Keyword Aggr]])</f>
        <v>Implementation,Client module installation,URL Configuration</v>
      </c>
      <c r="K253" s="19" t="str">
        <f>_xlfn.CONCAT(CLASSIFICATION[[#This Row],[Project Stage Aggr]],",",CLASSIFICATION[[#This Row],[Functional Scope Aggr]],",",CLASSIFICATION[[#This Row],[Keyword Aggr]],",",CLASSIFICATION[[#This Row],[Importance]])</f>
        <v>Implementation,Client module installation,URL Configuration,-3</v>
      </c>
    </row>
    <row r="254" spans="2:11" x14ac:dyDescent="0.25">
      <c r="C254" t="s">
        <v>337</v>
      </c>
      <c r="E254" s="38">
        <v>-4</v>
      </c>
      <c r="F254" s="19" t="str" cm="1">
        <f t="array" ref="F254">_xlfn.XLOOKUP(TRUE,A$2:A254&lt;&gt;"",A$2:A254,,,-1)</f>
        <v>Implementation</v>
      </c>
      <c r="G254" s="19" t="str" cm="1">
        <f t="array" ref="G254">_xlfn.XLOOKUP(TRUE,B$2:B254&lt;&gt;"",B$2:B254,,,-1)</f>
        <v>Client module installation</v>
      </c>
      <c r="H254" s="19" t="str">
        <f>IF(CLASSIFICATION[[#This Row],[Classification (Generalized keyword)]]="",CLASSIFICATION[[#This Row],[Keyword]],CLASSIFICATION[[#This Row],[Classification (Generalized keyword)]])</f>
        <v>Web Services</v>
      </c>
      <c r="I254" s="19" t="str">
        <f>_xlfn.CONCAT(CLASSIFICATION[[#This Row],[Project Stage Aggr]],",",CLASSIFICATION[[#This Row],[Functional Scope Aggr]],",",CLASSIFICATION[[#This Row],[Keyword]])</f>
        <v>Implementation,Client module installation,Web Services</v>
      </c>
      <c r="J254" s="19" t="str">
        <f>_xlfn.CONCAT(CLASSIFICATION[[#This Row],[Project Stage Aggr]],",",CLASSIFICATION[[#This Row],[Functional Scope Aggr]],",",CLASSIFICATION[[#This Row],[Keyword Aggr]])</f>
        <v>Implementation,Client module installation,Web Services</v>
      </c>
      <c r="K254" s="19" t="str">
        <f>_xlfn.CONCAT(CLASSIFICATION[[#This Row],[Project Stage Aggr]],",",CLASSIFICATION[[#This Row],[Functional Scope Aggr]],",",CLASSIFICATION[[#This Row],[Keyword Aggr]],",",CLASSIFICATION[[#This Row],[Importance]])</f>
        <v>Implementation,Client module installation,Web Services,-4</v>
      </c>
    </row>
    <row r="255" spans="2:11" x14ac:dyDescent="0.25">
      <c r="B255" t="s">
        <v>24</v>
      </c>
      <c r="C255" t="s">
        <v>338</v>
      </c>
      <c r="E255" s="38">
        <v>5</v>
      </c>
      <c r="F255" s="19" t="str" cm="1">
        <f t="array" ref="F255">_xlfn.XLOOKUP(TRUE,A$2:A255&lt;&gt;"",A$2:A255,,,-1)</f>
        <v>Implementation</v>
      </c>
      <c r="G255" s="19" t="str" cm="1">
        <f t="array" ref="G255">_xlfn.XLOOKUP(TRUE,B$2:B255&lt;&gt;"",B$2:B255,,,-1)</f>
        <v>Deployment</v>
      </c>
      <c r="H255" s="19" t="str">
        <f>IF(CLASSIFICATION[[#This Row],[Classification (Generalized keyword)]]="",CLASSIFICATION[[#This Row],[Keyword]],CLASSIFICATION[[#This Row],[Classification (Generalized keyword)]])</f>
        <v>+App Gallery</v>
      </c>
      <c r="I255" s="19" t="str">
        <f>_xlfn.CONCAT(CLASSIFICATION[[#This Row],[Project Stage Aggr]],",",CLASSIFICATION[[#This Row],[Functional Scope Aggr]],",",CLASSIFICATION[[#This Row],[Keyword]])</f>
        <v>Implementation,Deployment,+App Gallery</v>
      </c>
      <c r="J255" s="19" t="str">
        <f>_xlfn.CONCAT(CLASSIFICATION[[#This Row],[Project Stage Aggr]],",",CLASSIFICATION[[#This Row],[Functional Scope Aggr]],",",CLASSIFICATION[[#This Row],[Keyword Aggr]])</f>
        <v>Implementation,Deployment,+App Gallery</v>
      </c>
      <c r="K255" s="19" t="str">
        <f>_xlfn.CONCAT(CLASSIFICATION[[#This Row],[Project Stage Aggr]],",",CLASSIFICATION[[#This Row],[Functional Scope Aggr]],",",CLASSIFICATION[[#This Row],[Keyword Aggr]],",",CLASSIFICATION[[#This Row],[Importance]])</f>
        <v>Implementation,Deployment,+App Gallery,5</v>
      </c>
    </row>
    <row r="256" spans="2:11" x14ac:dyDescent="0.25">
      <c r="C256" t="s">
        <v>339</v>
      </c>
      <c r="E256" s="38">
        <v>5</v>
      </c>
      <c r="F256" s="19" t="str" cm="1">
        <f t="array" ref="F256">_xlfn.XLOOKUP(TRUE,A$2:A256&lt;&gt;"",A$2:A256,,,-1)</f>
        <v>Implementation</v>
      </c>
      <c r="G256" s="19" t="str" cm="1">
        <f t="array" ref="G256">_xlfn.XLOOKUP(TRUE,B$2:B256&lt;&gt;"",B$2:B256,,,-1)</f>
        <v>Deployment</v>
      </c>
      <c r="H256" s="19" t="str">
        <f>IF(CLASSIFICATION[[#This Row],[Classification (Generalized keyword)]]="",CLASSIFICATION[[#This Row],[Keyword]],CLASSIFICATION[[#This Row],[Classification (Generalized keyword)]])</f>
        <v>+Software as a Service</v>
      </c>
      <c r="I256" s="19" t="str">
        <f>_xlfn.CONCAT(CLASSIFICATION[[#This Row],[Project Stage Aggr]],",",CLASSIFICATION[[#This Row],[Functional Scope Aggr]],",",CLASSIFICATION[[#This Row],[Keyword]])</f>
        <v>Implementation,Deployment,+Software as a Service</v>
      </c>
      <c r="J256" s="19" t="str">
        <f>_xlfn.CONCAT(CLASSIFICATION[[#This Row],[Project Stage Aggr]],",",CLASSIFICATION[[#This Row],[Functional Scope Aggr]],",",CLASSIFICATION[[#This Row],[Keyword Aggr]])</f>
        <v>Implementation,Deployment,+Software as a Service</v>
      </c>
      <c r="K256" s="19" t="str">
        <f>_xlfn.CONCAT(CLASSIFICATION[[#This Row],[Project Stage Aggr]],",",CLASSIFICATION[[#This Row],[Functional Scope Aggr]],",",CLASSIFICATION[[#This Row],[Keyword Aggr]],",",CLASSIFICATION[[#This Row],[Importance]])</f>
        <v>Implementation,Deployment,+Software as a Service,5</v>
      </c>
    </row>
    <row r="257" spans="2:11" x14ac:dyDescent="0.25">
      <c r="C257" t="s">
        <v>340</v>
      </c>
      <c r="E257" s="38">
        <v>-4</v>
      </c>
      <c r="F257" s="19" t="str" cm="1">
        <f t="array" ref="F257">_xlfn.XLOOKUP(TRUE,A$2:A257&lt;&gt;"",A$2:A257,,,-1)</f>
        <v>Implementation</v>
      </c>
      <c r="G257" s="19" t="str" cm="1">
        <f t="array" ref="G257">_xlfn.XLOOKUP(TRUE,B$2:B257&lt;&gt;"",B$2:B257,,,-1)</f>
        <v>Deployment</v>
      </c>
      <c r="H257" s="19" t="str">
        <f>IF(CLASSIFICATION[[#This Row],[Classification (Generalized keyword)]]="",CLASSIFICATION[[#This Row],[Keyword]],CLASSIFICATION[[#This Row],[Classification (Generalized keyword)]])</f>
        <v>Application IDE</v>
      </c>
      <c r="I257" s="19" t="str">
        <f>_xlfn.CONCAT(CLASSIFICATION[[#This Row],[Project Stage Aggr]],",",CLASSIFICATION[[#This Row],[Functional Scope Aggr]],",",CLASSIFICATION[[#This Row],[Keyword]])</f>
        <v>Implementation,Deployment,Application IDE</v>
      </c>
      <c r="J257" s="19" t="str">
        <f>_xlfn.CONCAT(CLASSIFICATION[[#This Row],[Project Stage Aggr]],",",CLASSIFICATION[[#This Row],[Functional Scope Aggr]],",",CLASSIFICATION[[#This Row],[Keyword Aggr]])</f>
        <v>Implementation,Deployment,Application IDE</v>
      </c>
      <c r="K257" s="19" t="str">
        <f>_xlfn.CONCAT(CLASSIFICATION[[#This Row],[Project Stage Aggr]],",",CLASSIFICATION[[#This Row],[Functional Scope Aggr]],",",CLASSIFICATION[[#This Row],[Keyword Aggr]],",",CLASSIFICATION[[#This Row],[Importance]])</f>
        <v>Implementation,Deployment,Application IDE,-4</v>
      </c>
    </row>
    <row r="258" spans="2:11" x14ac:dyDescent="0.25">
      <c r="C258" t="s">
        <v>341</v>
      </c>
      <c r="E258" s="38">
        <v>-4</v>
      </c>
      <c r="F258" s="19" t="str" cm="1">
        <f t="array" ref="F258">_xlfn.XLOOKUP(TRUE,A$2:A258&lt;&gt;"",A$2:A258,,,-1)</f>
        <v>Implementation</v>
      </c>
      <c r="G258" s="19" t="str" cm="1">
        <f t="array" ref="G258">_xlfn.XLOOKUP(TRUE,B$2:B258&lt;&gt;"",B$2:B258,,,-1)</f>
        <v>Deployment</v>
      </c>
      <c r="H258" s="19" t="str">
        <f>IF(CLASSIFICATION[[#This Row],[Classification (Generalized keyword)]]="",CLASSIFICATION[[#This Row],[Keyword]],CLASSIFICATION[[#This Row],[Classification (Generalized keyword)]])</f>
        <v>CI/CD</v>
      </c>
      <c r="I258" s="19" t="str">
        <f>_xlfn.CONCAT(CLASSIFICATION[[#This Row],[Project Stage Aggr]],",",CLASSIFICATION[[#This Row],[Functional Scope Aggr]],",",CLASSIFICATION[[#This Row],[Keyword]])</f>
        <v>Implementation,Deployment,CI/CD</v>
      </c>
      <c r="J258" s="19" t="str">
        <f>_xlfn.CONCAT(CLASSIFICATION[[#This Row],[Project Stage Aggr]],",",CLASSIFICATION[[#This Row],[Functional Scope Aggr]],",",CLASSIFICATION[[#This Row],[Keyword Aggr]])</f>
        <v>Implementation,Deployment,CI/CD</v>
      </c>
      <c r="K258" s="19" t="str">
        <f>_xlfn.CONCAT(CLASSIFICATION[[#This Row],[Project Stage Aggr]],",",CLASSIFICATION[[#This Row],[Functional Scope Aggr]],",",CLASSIFICATION[[#This Row],[Keyword Aggr]],",",CLASSIFICATION[[#This Row],[Importance]])</f>
        <v>Implementation,Deployment,CI/CD,-4</v>
      </c>
    </row>
    <row r="259" spans="2:11" x14ac:dyDescent="0.25">
      <c r="C259" t="s">
        <v>342</v>
      </c>
      <c r="E259" s="38">
        <v>-4</v>
      </c>
      <c r="F259" s="19" t="str" cm="1">
        <f t="array" ref="F259">_xlfn.XLOOKUP(TRUE,A$2:A259&lt;&gt;"",A$2:A259,,,-1)</f>
        <v>Implementation</v>
      </c>
      <c r="G259" s="19" t="str" cm="1">
        <f t="array" ref="G259">_xlfn.XLOOKUP(TRUE,B$2:B259&lt;&gt;"",B$2:B259,,,-1)</f>
        <v>Deployment</v>
      </c>
      <c r="H259" s="19" t="str">
        <f>IF(CLASSIFICATION[[#This Row],[Classification (Generalized keyword)]]="",CLASSIFICATION[[#This Row],[Keyword]],CLASSIFICATION[[#This Row],[Classification (Generalized keyword)]])</f>
        <v>Cloud Computing</v>
      </c>
      <c r="I259" s="19" t="str">
        <f>_xlfn.CONCAT(CLASSIFICATION[[#This Row],[Project Stage Aggr]],",",CLASSIFICATION[[#This Row],[Functional Scope Aggr]],",",CLASSIFICATION[[#This Row],[Keyword]])</f>
        <v>Implementation,Deployment,Cloud Computing</v>
      </c>
      <c r="J259" s="19" t="str">
        <f>_xlfn.CONCAT(CLASSIFICATION[[#This Row],[Project Stage Aggr]],",",CLASSIFICATION[[#This Row],[Functional Scope Aggr]],",",CLASSIFICATION[[#This Row],[Keyword Aggr]])</f>
        <v>Implementation,Deployment,Cloud Computing</v>
      </c>
      <c r="K259" s="19" t="str">
        <f>_xlfn.CONCAT(CLASSIFICATION[[#This Row],[Project Stage Aggr]],",",CLASSIFICATION[[#This Row],[Functional Scope Aggr]],",",CLASSIFICATION[[#This Row],[Keyword Aggr]],",",CLASSIFICATION[[#This Row],[Importance]])</f>
        <v>Implementation,Deployment,Cloud Computing,-4</v>
      </c>
    </row>
    <row r="260" spans="2:11" x14ac:dyDescent="0.25">
      <c r="C260" t="s">
        <v>249</v>
      </c>
      <c r="E260" s="38">
        <v>-3</v>
      </c>
      <c r="F260" s="19" t="str" cm="1">
        <f t="array" ref="F260">_xlfn.XLOOKUP(TRUE,A$2:A260&lt;&gt;"",A$2:A260,,,-1)</f>
        <v>Implementation</v>
      </c>
      <c r="G260" s="19" t="str" cm="1">
        <f t="array" ref="G260">_xlfn.XLOOKUP(TRUE,B$2:B260&lt;&gt;"",B$2:B260,,,-1)</f>
        <v>Deployment</v>
      </c>
      <c r="H260" s="19" t="str">
        <f>IF(CLASSIFICATION[[#This Row],[Classification (Generalized keyword)]]="",CLASSIFICATION[[#This Row],[Keyword]],CLASSIFICATION[[#This Row],[Classification (Generalized keyword)]])</f>
        <v>Cloud Services</v>
      </c>
      <c r="I260" s="19" t="str">
        <f>_xlfn.CONCAT(CLASSIFICATION[[#This Row],[Project Stage Aggr]],",",CLASSIFICATION[[#This Row],[Functional Scope Aggr]],",",CLASSIFICATION[[#This Row],[Keyword]])</f>
        <v>Implementation,Deployment,Cloud Services</v>
      </c>
      <c r="J260" s="19" t="str">
        <f>_xlfn.CONCAT(CLASSIFICATION[[#This Row],[Project Stage Aggr]],",",CLASSIFICATION[[#This Row],[Functional Scope Aggr]],",",CLASSIFICATION[[#This Row],[Keyword Aggr]])</f>
        <v>Implementation,Deployment,Cloud Services</v>
      </c>
      <c r="K260" s="19" t="str">
        <f>_xlfn.CONCAT(CLASSIFICATION[[#This Row],[Project Stage Aggr]],",",CLASSIFICATION[[#This Row],[Functional Scope Aggr]],",",CLASSIFICATION[[#This Row],[Keyword Aggr]],",",CLASSIFICATION[[#This Row],[Importance]])</f>
        <v>Implementation,Deployment,Cloud Services,-3</v>
      </c>
    </row>
    <row r="261" spans="2:11" x14ac:dyDescent="0.25">
      <c r="C261" t="s">
        <v>343</v>
      </c>
      <c r="E261" s="38">
        <v>-4</v>
      </c>
      <c r="F261" s="19" t="str" cm="1">
        <f t="array" ref="F261">_xlfn.XLOOKUP(TRUE,A$2:A261&lt;&gt;"",A$2:A261,,,-1)</f>
        <v>Implementation</v>
      </c>
      <c r="G261" s="19" t="str" cm="1">
        <f t="array" ref="G261">_xlfn.XLOOKUP(TRUE,B$2:B261&lt;&gt;"",B$2:B261,,,-1)</f>
        <v>Deployment</v>
      </c>
      <c r="H261" s="19" t="str">
        <f>IF(CLASSIFICATION[[#This Row],[Classification (Generalized keyword)]]="",CLASSIFICATION[[#This Row],[Keyword]],CLASSIFICATION[[#This Row],[Classification (Generalized keyword)]])</f>
        <v>Docker</v>
      </c>
      <c r="I261" s="19" t="str">
        <f>_xlfn.CONCAT(CLASSIFICATION[[#This Row],[Project Stage Aggr]],",",CLASSIFICATION[[#This Row],[Functional Scope Aggr]],",",CLASSIFICATION[[#This Row],[Keyword]])</f>
        <v>Implementation,Deployment,Docker</v>
      </c>
      <c r="J261" s="19" t="str">
        <f>_xlfn.CONCAT(CLASSIFICATION[[#This Row],[Project Stage Aggr]],",",CLASSIFICATION[[#This Row],[Functional Scope Aggr]],",",CLASSIFICATION[[#This Row],[Keyword Aggr]])</f>
        <v>Implementation,Deployment,Docker</v>
      </c>
      <c r="K261" s="19" t="str">
        <f>_xlfn.CONCAT(CLASSIFICATION[[#This Row],[Project Stage Aggr]],",",CLASSIFICATION[[#This Row],[Functional Scope Aggr]],",",CLASSIFICATION[[#This Row],[Keyword Aggr]],",",CLASSIFICATION[[#This Row],[Importance]])</f>
        <v>Implementation,Deployment,Docker,-4</v>
      </c>
    </row>
    <row r="262" spans="2:11" x14ac:dyDescent="0.25">
      <c r="C262" t="s">
        <v>344</v>
      </c>
      <c r="E262" s="38">
        <v>-3</v>
      </c>
      <c r="F262" s="19" t="str" cm="1">
        <f t="array" ref="F262">_xlfn.XLOOKUP(TRUE,A$2:A262&lt;&gt;"",A$2:A262,,,-1)</f>
        <v>Implementation</v>
      </c>
      <c r="G262" s="19" t="str" cm="1">
        <f t="array" ref="G262">_xlfn.XLOOKUP(TRUE,B$2:B262&lt;&gt;"",B$2:B262,,,-1)</f>
        <v>Deployment</v>
      </c>
      <c r="H262" s="19" t="str">
        <f>IF(CLASSIFICATION[[#This Row],[Classification (Generalized keyword)]]="",CLASSIFICATION[[#This Row],[Keyword]],CLASSIFICATION[[#This Row],[Classification (Generalized keyword)]])</f>
        <v>Import/Export</v>
      </c>
      <c r="I262" s="19" t="str">
        <f>_xlfn.CONCAT(CLASSIFICATION[[#This Row],[Project Stage Aggr]],",",CLASSIFICATION[[#This Row],[Functional Scope Aggr]],",",CLASSIFICATION[[#This Row],[Keyword]])</f>
        <v>Implementation,Deployment,Import/Export</v>
      </c>
      <c r="J262" s="19" t="str">
        <f>_xlfn.CONCAT(CLASSIFICATION[[#This Row],[Project Stage Aggr]],",",CLASSIFICATION[[#This Row],[Functional Scope Aggr]],",",CLASSIFICATION[[#This Row],[Keyword Aggr]])</f>
        <v>Implementation,Deployment,Import/Export</v>
      </c>
      <c r="K262" s="19" t="str">
        <f>_xlfn.CONCAT(CLASSIFICATION[[#This Row],[Project Stage Aggr]],",",CLASSIFICATION[[#This Row],[Functional Scope Aggr]],",",CLASSIFICATION[[#This Row],[Keyword Aggr]],",",CLASSIFICATION[[#This Row],[Importance]])</f>
        <v>Implementation,Deployment,Import/Export,-3</v>
      </c>
    </row>
    <row r="263" spans="2:11" x14ac:dyDescent="0.25">
      <c r="C263" t="s">
        <v>345</v>
      </c>
      <c r="E263" s="38">
        <v>-4</v>
      </c>
      <c r="F263" s="19" t="str" cm="1">
        <f t="array" ref="F263">_xlfn.XLOOKUP(TRUE,A$2:A263&lt;&gt;"",A$2:A263,,,-1)</f>
        <v>Implementation</v>
      </c>
      <c r="G263" s="19" t="str" cm="1">
        <f t="array" ref="G263">_xlfn.XLOOKUP(TRUE,B$2:B263&lt;&gt;"",B$2:B263,,,-1)</f>
        <v>Deployment</v>
      </c>
      <c r="H263" s="19" t="str">
        <f>IF(CLASSIFICATION[[#This Row],[Classification (Generalized keyword)]]="",CLASSIFICATION[[#This Row],[Keyword]],CLASSIFICATION[[#This Row],[Classification (Generalized keyword)]])</f>
        <v>Kubernetes</v>
      </c>
      <c r="I263" s="19" t="str">
        <f>_xlfn.CONCAT(CLASSIFICATION[[#This Row],[Project Stage Aggr]],",",CLASSIFICATION[[#This Row],[Functional Scope Aggr]],",",CLASSIFICATION[[#This Row],[Keyword]])</f>
        <v>Implementation,Deployment,Kubernetes</v>
      </c>
      <c r="J263" s="19" t="str">
        <f>_xlfn.CONCAT(CLASSIFICATION[[#This Row],[Project Stage Aggr]],",",CLASSIFICATION[[#This Row],[Functional Scope Aggr]],",",CLASSIFICATION[[#This Row],[Keyword Aggr]])</f>
        <v>Implementation,Deployment,Kubernetes</v>
      </c>
      <c r="K263" s="19" t="str">
        <f>_xlfn.CONCAT(CLASSIFICATION[[#This Row],[Project Stage Aggr]],",",CLASSIFICATION[[#This Row],[Functional Scope Aggr]],",",CLASSIFICATION[[#This Row],[Keyword Aggr]],",",CLASSIFICATION[[#This Row],[Importance]])</f>
        <v>Implementation,Deployment,Kubernetes,-4</v>
      </c>
    </row>
    <row r="264" spans="2:11" x14ac:dyDescent="0.25">
      <c r="C264" t="s">
        <v>346</v>
      </c>
      <c r="E264" s="38">
        <v>-4</v>
      </c>
      <c r="F264" s="19" t="str" cm="1">
        <f t="array" ref="F264">_xlfn.XLOOKUP(TRUE,A$2:A264&lt;&gt;"",A$2:A264,,,-1)</f>
        <v>Implementation</v>
      </c>
      <c r="G264" s="19" t="str" cm="1">
        <f t="array" ref="G264">_xlfn.XLOOKUP(TRUE,B$2:B264&lt;&gt;"",B$2:B264,,,-1)</f>
        <v>Deployment</v>
      </c>
      <c r="H264" s="19" t="str">
        <f>IF(CLASSIFICATION[[#This Row],[Classification (Generalized keyword)]]="",CLASSIFICATION[[#This Row],[Keyword]],CLASSIFICATION[[#This Row],[Classification (Generalized keyword)]])</f>
        <v>On-Premise</v>
      </c>
      <c r="I264" s="19" t="str">
        <f>_xlfn.CONCAT(CLASSIFICATION[[#This Row],[Project Stage Aggr]],",",CLASSIFICATION[[#This Row],[Functional Scope Aggr]],",",CLASSIFICATION[[#This Row],[Keyword]])</f>
        <v>Implementation,Deployment,On-Premise</v>
      </c>
      <c r="J264" s="19" t="str">
        <f>_xlfn.CONCAT(CLASSIFICATION[[#This Row],[Project Stage Aggr]],",",CLASSIFICATION[[#This Row],[Functional Scope Aggr]],",",CLASSIFICATION[[#This Row],[Keyword Aggr]])</f>
        <v>Implementation,Deployment,On-Premise</v>
      </c>
      <c r="K264" s="19" t="str">
        <f>_xlfn.CONCAT(CLASSIFICATION[[#This Row],[Project Stage Aggr]],",",CLASSIFICATION[[#This Row],[Functional Scope Aggr]],",",CLASSIFICATION[[#This Row],[Keyword Aggr]],",",CLASSIFICATION[[#This Row],[Importance]])</f>
        <v>Implementation,Deployment,On-Premise,-4</v>
      </c>
    </row>
    <row r="265" spans="2:11" x14ac:dyDescent="0.25">
      <c r="C265" t="s">
        <v>347</v>
      </c>
      <c r="D265" t="s">
        <v>347</v>
      </c>
      <c r="E265" s="38">
        <v>-3</v>
      </c>
      <c r="F265" s="19" t="str" cm="1">
        <f t="array" ref="F265">_xlfn.XLOOKUP(TRUE,A$2:A265&lt;&gt;"",A$2:A265,,,-1)</f>
        <v>Implementation</v>
      </c>
      <c r="G265" s="19" t="str" cm="1">
        <f t="array" ref="G265">_xlfn.XLOOKUP(TRUE,B$2:B265&lt;&gt;"",B$2:B265,,,-1)</f>
        <v>Deployment</v>
      </c>
      <c r="H265" s="19" t="str">
        <f>IF(CLASSIFICATION[[#This Row],[Classification (Generalized keyword)]]="",CLASSIFICATION[[#This Row],[Keyword]],CLASSIFICATION[[#This Row],[Classification (Generalized keyword)]])</f>
        <v>On-premises Data Gateway</v>
      </c>
      <c r="I265" s="19" t="str">
        <f>_xlfn.CONCAT(CLASSIFICATION[[#This Row],[Project Stage Aggr]],",",CLASSIFICATION[[#This Row],[Functional Scope Aggr]],",",CLASSIFICATION[[#This Row],[Keyword]])</f>
        <v>Implementation,Deployment,On-premises Data Gateway</v>
      </c>
      <c r="J265" s="19" t="str">
        <f>_xlfn.CONCAT(CLASSIFICATION[[#This Row],[Project Stage Aggr]],",",CLASSIFICATION[[#This Row],[Functional Scope Aggr]],",",CLASSIFICATION[[#This Row],[Keyword Aggr]])</f>
        <v>Implementation,Deployment,On-premises Data Gateway</v>
      </c>
      <c r="K265" s="19" t="str">
        <f>_xlfn.CONCAT(CLASSIFICATION[[#This Row],[Project Stage Aggr]],",",CLASSIFICATION[[#This Row],[Functional Scope Aggr]],",",CLASSIFICATION[[#This Row],[Keyword Aggr]],",",CLASSIFICATION[[#This Row],[Importance]])</f>
        <v>Implementation,Deployment,On-premises Data Gateway,-3</v>
      </c>
    </row>
    <row r="266" spans="2:11" x14ac:dyDescent="0.25">
      <c r="C266" t="s">
        <v>348</v>
      </c>
      <c r="D266" t="s">
        <v>347</v>
      </c>
      <c r="E266" s="38">
        <v>-3</v>
      </c>
      <c r="F266" s="19" t="str" cm="1">
        <f t="array" ref="F266">_xlfn.XLOOKUP(TRUE,A$2:A266&lt;&gt;"",A$2:A266,,,-1)</f>
        <v>Implementation</v>
      </c>
      <c r="G266" s="19" t="str" cm="1">
        <f t="array" ref="G266">_xlfn.XLOOKUP(TRUE,B$2:B266&lt;&gt;"",B$2:B266,,,-1)</f>
        <v>Deployment</v>
      </c>
      <c r="H266" s="19" t="str">
        <f>IF(CLASSIFICATION[[#This Row],[Classification (Generalized keyword)]]="",CLASSIFICATION[[#This Row],[Keyword]],CLASSIFICATION[[#This Row],[Classification (Generalized keyword)]])</f>
        <v>On-premises Data Gateway</v>
      </c>
      <c r="I266" s="19" t="str">
        <f>_xlfn.CONCAT(CLASSIFICATION[[#This Row],[Project Stage Aggr]],",",CLASSIFICATION[[#This Row],[Functional Scope Aggr]],",",CLASSIFICATION[[#This Row],[Keyword]])</f>
        <v>Implementation,Deployment,On-premises Data Gateway (Web Services)</v>
      </c>
      <c r="J266" s="19" t="str">
        <f>_xlfn.CONCAT(CLASSIFICATION[[#This Row],[Project Stage Aggr]],",",CLASSIFICATION[[#This Row],[Functional Scope Aggr]],",",CLASSIFICATION[[#This Row],[Keyword Aggr]])</f>
        <v>Implementation,Deployment,On-premises Data Gateway</v>
      </c>
      <c r="K266" s="19" t="str">
        <f>_xlfn.CONCAT(CLASSIFICATION[[#This Row],[Project Stage Aggr]],",",CLASSIFICATION[[#This Row],[Functional Scope Aggr]],",",CLASSIFICATION[[#This Row],[Keyword Aggr]],",",CLASSIFICATION[[#This Row],[Importance]])</f>
        <v>Implementation,Deployment,On-premises Data Gateway,-3</v>
      </c>
    </row>
    <row r="267" spans="2:11" x14ac:dyDescent="0.25">
      <c r="C267" t="s">
        <v>229</v>
      </c>
      <c r="E267" s="38">
        <v>-4</v>
      </c>
      <c r="F267" s="19" t="str" cm="1">
        <f t="array" ref="F267">_xlfn.XLOOKUP(TRUE,A$2:A267&lt;&gt;"",A$2:A267,,,-1)</f>
        <v>Implementation</v>
      </c>
      <c r="G267" s="19" t="str" cm="1">
        <f t="array" ref="G267">_xlfn.XLOOKUP(TRUE,B$2:B267&lt;&gt;"",B$2:B267,,,-1)</f>
        <v>Deployment</v>
      </c>
      <c r="H267" s="19" t="str">
        <f>IF(CLASSIFICATION[[#This Row],[Classification (Generalized keyword)]]="",CLASSIFICATION[[#This Row],[Keyword]],CLASSIFICATION[[#This Row],[Classification (Generalized keyword)]])</f>
        <v>REST API</v>
      </c>
      <c r="I267" s="19" t="str">
        <f>_xlfn.CONCAT(CLASSIFICATION[[#This Row],[Project Stage Aggr]],",",CLASSIFICATION[[#This Row],[Functional Scope Aggr]],",",CLASSIFICATION[[#This Row],[Keyword]])</f>
        <v>Implementation,Deployment,REST API</v>
      </c>
      <c r="J267" s="19" t="str">
        <f>_xlfn.CONCAT(CLASSIFICATION[[#This Row],[Project Stage Aggr]],",",CLASSIFICATION[[#This Row],[Functional Scope Aggr]],",",CLASSIFICATION[[#This Row],[Keyword Aggr]])</f>
        <v>Implementation,Deployment,REST API</v>
      </c>
      <c r="K267" s="19" t="str">
        <f>_xlfn.CONCAT(CLASSIFICATION[[#This Row],[Project Stage Aggr]],",",CLASSIFICATION[[#This Row],[Functional Scope Aggr]],",",CLASSIFICATION[[#This Row],[Keyword Aggr]],",",CLASSIFICATION[[#This Row],[Importance]])</f>
        <v>Implementation,Deployment,REST API,-4</v>
      </c>
    </row>
    <row r="268" spans="2:11" x14ac:dyDescent="0.25">
      <c r="C268" t="s">
        <v>274</v>
      </c>
      <c r="E268" s="38">
        <v>-4</v>
      </c>
      <c r="F268" s="19" t="str" cm="1">
        <f t="array" ref="F268">_xlfn.XLOOKUP(TRUE,A$2:A268&lt;&gt;"",A$2:A268,,,-1)</f>
        <v>Implementation</v>
      </c>
      <c r="G268" s="19" t="str" cm="1">
        <f t="array" ref="G268">_xlfn.XLOOKUP(TRUE,B$2:B268&lt;&gt;"",B$2:B268,,,-1)</f>
        <v>Deployment</v>
      </c>
      <c r="H268" s="19" t="str">
        <f>IF(CLASSIFICATION[[#This Row],[Classification (Generalized keyword)]]="",CLASSIFICATION[[#This Row],[Keyword]],CLASSIFICATION[[#This Row],[Classification (Generalized keyword)]])</f>
        <v>Scripts</v>
      </c>
      <c r="I268" s="19" t="str">
        <f>_xlfn.CONCAT(CLASSIFICATION[[#This Row],[Project Stage Aggr]],",",CLASSIFICATION[[#This Row],[Functional Scope Aggr]],",",CLASSIFICATION[[#This Row],[Keyword]])</f>
        <v>Implementation,Deployment,Scripts</v>
      </c>
      <c r="J268" s="19" t="str">
        <f>_xlfn.CONCAT(CLASSIFICATION[[#This Row],[Project Stage Aggr]],",",CLASSIFICATION[[#This Row],[Functional Scope Aggr]],",",CLASSIFICATION[[#This Row],[Keyword Aggr]])</f>
        <v>Implementation,Deployment,Scripts</v>
      </c>
      <c r="K268" s="19" t="str">
        <f>_xlfn.CONCAT(CLASSIFICATION[[#This Row],[Project Stage Aggr]],",",CLASSIFICATION[[#This Row],[Functional Scope Aggr]],",",CLASSIFICATION[[#This Row],[Keyword Aggr]],",",CLASSIFICATION[[#This Row],[Importance]])</f>
        <v>Implementation,Deployment,Scripts,-4</v>
      </c>
    </row>
    <row r="269" spans="2:11" x14ac:dyDescent="0.25">
      <c r="C269" t="s">
        <v>287</v>
      </c>
      <c r="E269" s="38">
        <v>-4</v>
      </c>
      <c r="F269" s="19" t="str" cm="1">
        <f t="array" ref="F269">_xlfn.XLOOKUP(TRUE,A$2:A269&lt;&gt;"",A$2:A269,,,-1)</f>
        <v>Implementation</v>
      </c>
      <c r="G269" s="19" t="str" cm="1">
        <f t="array" ref="G269">_xlfn.XLOOKUP(TRUE,B$2:B269&lt;&gt;"",B$2:B269,,,-1)</f>
        <v>Deployment</v>
      </c>
      <c r="H269" s="19" t="str">
        <f>IF(CLASSIFICATION[[#This Row],[Classification (Generalized keyword)]]="",CLASSIFICATION[[#This Row],[Keyword]],CLASSIFICATION[[#This Row],[Classification (Generalized keyword)]])</f>
        <v>SOAP</v>
      </c>
      <c r="I269" s="19" t="str">
        <f>_xlfn.CONCAT(CLASSIFICATION[[#This Row],[Project Stage Aggr]],",",CLASSIFICATION[[#This Row],[Functional Scope Aggr]],",",CLASSIFICATION[[#This Row],[Keyword]])</f>
        <v>Implementation,Deployment,SOAP</v>
      </c>
      <c r="J269" s="19" t="str">
        <f>_xlfn.CONCAT(CLASSIFICATION[[#This Row],[Project Stage Aggr]],",",CLASSIFICATION[[#This Row],[Functional Scope Aggr]],",",CLASSIFICATION[[#This Row],[Keyword Aggr]])</f>
        <v>Implementation,Deployment,SOAP</v>
      </c>
      <c r="K269" s="19" t="str">
        <f>_xlfn.CONCAT(CLASSIFICATION[[#This Row],[Project Stage Aggr]],",",CLASSIFICATION[[#This Row],[Functional Scope Aggr]],",",CLASSIFICATION[[#This Row],[Keyword Aggr]],",",CLASSIFICATION[[#This Row],[Importance]])</f>
        <v>Implementation,Deployment,SOAP,-4</v>
      </c>
    </row>
    <row r="270" spans="2:11" x14ac:dyDescent="0.25">
      <c r="B270" t="s">
        <v>14</v>
      </c>
      <c r="C270" t="s">
        <v>349</v>
      </c>
      <c r="E270" s="38">
        <v>-4</v>
      </c>
      <c r="F270" s="19" t="str" cm="1">
        <f t="array" ref="F270">_xlfn.XLOOKUP(TRUE,A$2:A270&lt;&gt;"",A$2:A270,,,-1)</f>
        <v>Implementation</v>
      </c>
      <c r="G270" s="19" t="str" cm="1">
        <f t="array" ref="G270">_xlfn.XLOOKUP(TRUE,B$2:B270&lt;&gt;"",B$2:B270,,,-1)</f>
        <v>Version control</v>
      </c>
      <c r="H270" s="19" t="str">
        <f>IF(CLASSIFICATION[[#This Row],[Classification (Generalized keyword)]]="",CLASSIFICATION[[#This Row],[Keyword]],CLASSIFICATION[[#This Row],[Classification (Generalized keyword)]])</f>
        <v>Code Repository Concept</v>
      </c>
      <c r="I270" s="19" t="str">
        <f>_xlfn.CONCAT(CLASSIFICATION[[#This Row],[Project Stage Aggr]],",",CLASSIFICATION[[#This Row],[Functional Scope Aggr]],",",CLASSIFICATION[[#This Row],[Keyword]])</f>
        <v>Implementation,Version control,Code Repository Concept</v>
      </c>
      <c r="J270" s="19" t="str">
        <f>_xlfn.CONCAT(CLASSIFICATION[[#This Row],[Project Stage Aggr]],",",CLASSIFICATION[[#This Row],[Functional Scope Aggr]],",",CLASSIFICATION[[#This Row],[Keyword Aggr]])</f>
        <v>Implementation,Version control,Code Repository Concept</v>
      </c>
      <c r="K270" s="19" t="str">
        <f>_xlfn.CONCAT(CLASSIFICATION[[#This Row],[Project Stage Aggr]],",",CLASSIFICATION[[#This Row],[Functional Scope Aggr]],",",CLASSIFICATION[[#This Row],[Keyword Aggr]],",",CLASSIFICATION[[#This Row],[Importance]])</f>
        <v>Implementation,Version control,Code Repository Concept,-4</v>
      </c>
    </row>
    <row r="271" spans="2:11" x14ac:dyDescent="0.25">
      <c r="C271" t="s">
        <v>350</v>
      </c>
      <c r="E271" s="38">
        <v>-4</v>
      </c>
      <c r="F271" s="19" t="str" cm="1">
        <f t="array" ref="F271">_xlfn.XLOOKUP(TRUE,A$2:A271&lt;&gt;"",A$2:A271,,,-1)</f>
        <v>Implementation</v>
      </c>
      <c r="G271" s="19" t="str" cm="1">
        <f t="array" ref="G271">_xlfn.XLOOKUP(TRUE,B$2:B271&lt;&gt;"",B$2:B271,,,-1)</f>
        <v>Version control</v>
      </c>
      <c r="H271" s="19" t="str">
        <f>IF(CLASSIFICATION[[#This Row],[Classification (Generalized keyword)]]="",CLASSIFICATION[[#This Row],[Keyword]],CLASSIFICATION[[#This Row],[Classification (Generalized keyword)]])</f>
        <v>Custom Version Control</v>
      </c>
      <c r="I271" s="19" t="str">
        <f>_xlfn.CONCAT(CLASSIFICATION[[#This Row],[Project Stage Aggr]],",",CLASSIFICATION[[#This Row],[Functional Scope Aggr]],",",CLASSIFICATION[[#This Row],[Keyword]])</f>
        <v>Implementation,Version control,Custom Version Control</v>
      </c>
      <c r="J271" s="19" t="str">
        <f>_xlfn.CONCAT(CLASSIFICATION[[#This Row],[Project Stage Aggr]],",",CLASSIFICATION[[#This Row],[Functional Scope Aggr]],",",CLASSIFICATION[[#This Row],[Keyword Aggr]])</f>
        <v>Implementation,Version control,Custom Version Control</v>
      </c>
      <c r="K271" s="19" t="str">
        <f>_xlfn.CONCAT(CLASSIFICATION[[#This Row],[Project Stage Aggr]],",",CLASSIFICATION[[#This Row],[Functional Scope Aggr]],",",CLASSIFICATION[[#This Row],[Keyword Aggr]],",",CLASSIFICATION[[#This Row],[Importance]])</f>
        <v>Implementation,Version control,Custom Version Control,-4</v>
      </c>
    </row>
    <row r="272" spans="2:11" x14ac:dyDescent="0.25">
      <c r="C272" t="s">
        <v>351</v>
      </c>
      <c r="E272" s="40">
        <v>-4</v>
      </c>
      <c r="F272" s="19" t="str" cm="1">
        <f t="array" ref="F272">_xlfn.XLOOKUP(TRUE,A$2:A272&lt;&gt;"",A$2:A272,,,-1)</f>
        <v>Implementation</v>
      </c>
      <c r="G272" s="19" t="str" cm="1">
        <f t="array" ref="G272">_xlfn.XLOOKUP(TRUE,B$2:B272&lt;&gt;"",B$2:B272,,,-1)</f>
        <v>Version control</v>
      </c>
      <c r="H272" s="19" t="str">
        <f>IF(CLASSIFICATION[[#This Row],[Classification (Generalized keyword)]]="",CLASSIFICATION[[#This Row],[Keyword]],CLASSIFICATION[[#This Row],[Classification (Generalized keyword)]])</f>
        <v>Git</v>
      </c>
      <c r="I272" s="19" t="str">
        <f>_xlfn.CONCAT(CLASSIFICATION[[#This Row],[Project Stage Aggr]],",",CLASSIFICATION[[#This Row],[Functional Scope Aggr]],",",CLASSIFICATION[[#This Row],[Keyword]])</f>
        <v>Implementation,Version control,Git</v>
      </c>
      <c r="J272" s="19" t="str">
        <f>_xlfn.CONCAT(CLASSIFICATION[[#This Row],[Project Stage Aggr]],",",CLASSIFICATION[[#This Row],[Functional Scope Aggr]],",",CLASSIFICATION[[#This Row],[Keyword Aggr]])</f>
        <v>Implementation,Version control,Git</v>
      </c>
      <c r="K272" s="19" t="str">
        <f>_xlfn.CONCAT(CLASSIFICATION[[#This Row],[Project Stage Aggr]],",",CLASSIFICATION[[#This Row],[Functional Scope Aggr]],",",CLASSIFICATION[[#This Row],[Keyword Aggr]],",",CLASSIFICATION[[#This Row],[Importance]])</f>
        <v>Implementation,Version control,Git,-4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1D6F-4A8A-4053-9298-3DD61DDDE5B5}">
  <dimension ref="A1:V151"/>
  <sheetViews>
    <sheetView zoomScale="70" zoomScaleNormal="70" workbookViewId="0">
      <selection activeCell="K157" sqref="K157"/>
    </sheetView>
  </sheetViews>
  <sheetFormatPr defaultColWidth="8.875" defaultRowHeight="15.75" x14ac:dyDescent="0.25"/>
  <cols>
    <col min="1" max="1" width="15.875" bestFit="1" customWidth="1"/>
    <col min="2" max="2" width="1.625" bestFit="1" customWidth="1"/>
    <col min="3" max="3" width="15" customWidth="1"/>
    <col min="4" max="4" width="15.5" customWidth="1"/>
    <col min="5" max="5" width="19.125" customWidth="1"/>
    <col min="6" max="6" width="21.125" customWidth="1"/>
    <col min="7" max="7" width="17.625" customWidth="1"/>
    <col min="8" max="8" width="1.625" bestFit="1" customWidth="1"/>
    <col min="9" max="9" width="18.125" customWidth="1"/>
    <col min="10" max="10" width="22" customWidth="1"/>
    <col min="11" max="11" width="18.375" customWidth="1"/>
    <col min="12" max="12" width="17" customWidth="1"/>
    <col min="13" max="13" width="20.125" customWidth="1"/>
    <col min="14" max="14" width="16.625" customWidth="1"/>
    <col min="15" max="15" width="18.125" customWidth="1"/>
    <col min="16" max="16" width="1.625" bestFit="1" customWidth="1"/>
    <col min="17" max="17" width="25.875" customWidth="1"/>
    <col min="18" max="18" width="20.5" customWidth="1"/>
    <col min="19" max="19" width="14.125" customWidth="1"/>
    <col min="20" max="20" width="17" customWidth="1"/>
    <col min="21" max="21" width="20.375" customWidth="1"/>
    <col min="22" max="22" width="1.625" bestFit="1" customWidth="1"/>
  </cols>
  <sheetData>
    <row r="1" spans="1:22" x14ac:dyDescent="0.25">
      <c r="B1" s="6" t="s">
        <v>122</v>
      </c>
      <c r="C1" s="22" t="s">
        <v>444</v>
      </c>
      <c r="D1" s="23"/>
      <c r="E1" s="23"/>
      <c r="F1" s="23"/>
      <c r="G1" s="23"/>
      <c r="H1" s="6" t="s">
        <v>122</v>
      </c>
      <c r="I1" s="22" t="s">
        <v>445</v>
      </c>
      <c r="J1" s="23"/>
      <c r="K1" s="23"/>
      <c r="L1" s="23"/>
      <c r="M1" s="23"/>
      <c r="N1" s="23"/>
      <c r="O1" s="23"/>
      <c r="P1" s="6" t="s">
        <v>122</v>
      </c>
      <c r="Q1" s="22" t="s">
        <v>11</v>
      </c>
      <c r="R1" s="23"/>
      <c r="S1" s="23"/>
      <c r="T1" s="23"/>
      <c r="U1" s="23"/>
      <c r="V1" s="6" t="s">
        <v>122</v>
      </c>
    </row>
    <row r="2" spans="1:22" s="1" customFormat="1" ht="31.5" x14ac:dyDescent="0.25">
      <c r="B2" s="6" t="s">
        <v>122</v>
      </c>
      <c r="C2" s="21" t="s">
        <v>38</v>
      </c>
      <c r="D2" s="21" t="s">
        <v>39</v>
      </c>
      <c r="E2" s="21" t="s">
        <v>40</v>
      </c>
      <c r="F2" s="21" t="s">
        <v>37</v>
      </c>
      <c r="G2" s="21" t="s">
        <v>36</v>
      </c>
      <c r="H2" s="6" t="s">
        <v>122</v>
      </c>
      <c r="I2" s="21" t="s">
        <v>400</v>
      </c>
      <c r="J2" s="21" t="s">
        <v>32</v>
      </c>
      <c r="K2" s="21" t="s">
        <v>45</v>
      </c>
      <c r="L2" s="21" t="s">
        <v>33</v>
      </c>
      <c r="M2" s="21" t="s">
        <v>34</v>
      </c>
      <c r="N2" s="21" t="s">
        <v>35</v>
      </c>
      <c r="O2" s="21" t="s">
        <v>16</v>
      </c>
      <c r="P2" s="6" t="s">
        <v>122</v>
      </c>
      <c r="Q2" s="21" t="s">
        <v>23</v>
      </c>
      <c r="R2" s="21" t="s">
        <v>22</v>
      </c>
      <c r="S2" s="21" t="s">
        <v>21</v>
      </c>
      <c r="T2" s="21" t="s">
        <v>24</v>
      </c>
      <c r="U2" s="21" t="s">
        <v>14</v>
      </c>
      <c r="V2" s="6" t="s">
        <v>122</v>
      </c>
    </row>
    <row r="3" spans="1:22" s="19" customFormat="1" x14ac:dyDescent="0.25">
      <c r="A3" s="21" t="s">
        <v>1</v>
      </c>
      <c r="B3" s="6" t="s">
        <v>122</v>
      </c>
      <c r="C3" s="19" t="str" cm="1">
        <f t="array" aca="1" ref="C3" ca="1">_xlfn.TOCOL(_xlfn.TEXTSPLIT(SUBSTITUTE(VLOOKUP(C$2,INDIRECT("'Platform review'!$C"&amp;_xlfn.XMATCH($A3,'Platform review'!$A$1:$A$127)&amp;":$E"&amp;_xlfn.XMATCH($A3,'Platform review'!$A$1:$A$127)+19),3,FALSE),CHAR(34),""),", "))</f>
        <v>+BPMN Process Model</v>
      </c>
      <c r="D3" s="19" t="str" cm="1">
        <f t="array" aca="1" ref="D3:D10" ca="1">_xlfn.TOCOL(_xlfn.TEXTSPLIT(SUBSTITUTE(VLOOKUP(D$2,INDIRECT("'Platform review'!$C"&amp;_xlfn.XMATCH($A3,'Platform review'!$A$1:$A$127)&amp;":$E"&amp;_xlfn.XMATCH($A3,'Platform review'!$A$1:$A$127)+19),3,FALSE),CHAR(34),""),", "))</f>
        <v>Domain Model</v>
      </c>
      <c r="E3" s="19" t="str" cm="1">
        <f t="array" aca="1" ref="E3:E5" ca="1">_xlfn.TOCOL(_xlfn.TEXTSPLIT(SUBSTITUTE(VLOOKUP(E$2,INDIRECT("'Platform review'!$C"&amp;_xlfn.XMATCH($A3,'Platform review'!$A$1:$A$127)&amp;":$E"&amp;_xlfn.XMATCH($A3,'Platform review'!$A$1:$A$127)+19),3,FALSE),CHAR(34),""),", "))</f>
        <v>Boolean Expressions</v>
      </c>
      <c r="F3" s="19" t="str" cm="1">
        <f t="array" aca="1" ref="F3:F9" ca="1">_xlfn.TOCOL(_xlfn.TEXTSPLIT(SUBSTITUTE(VLOOKUP(F$2,INDIRECT("'Platform review'!$C"&amp;_xlfn.XMATCH($A3,'Platform review'!$A$1:$A$127)&amp;":$E"&amp;_xlfn.XMATCH($A3,'Platform review'!$A$1:$A$127)+19),3,FALSE),CHAR(34),""),", "))</f>
        <v>Transactions</v>
      </c>
      <c r="G3" s="19" t="str" cm="1">
        <f t="array" aca="1" ref="G3:G12" ca="1">_xlfn.TOCOL(_xlfn.TEXTSPLIT(SUBSTITUTE(VLOOKUP(G$2,INDIRECT("'Platform review'!$C"&amp;_xlfn.XMATCH($A3,'Platform review'!$A$1:$A$127)&amp;":$E"&amp;_xlfn.XMATCH($A3,'Platform review'!$A$1:$A$127)+19),3,FALSE),CHAR(34),""),", "))</f>
        <v>Sequence Flow</v>
      </c>
      <c r="H3" s="6" t="s">
        <v>122</v>
      </c>
      <c r="I3" s="19" t="str" cm="1">
        <f t="array" aca="1" ref="I3:I6" ca="1">_xlfn.TOCOL(_xlfn.TEXTSPLIT(SUBSTITUTE(VLOOKUP(I$2,INDIRECT("'Platform review'!$C"&amp;_xlfn.XMATCH($A3,'Platform review'!$A$1:$A$127)&amp;":$E"&amp;_xlfn.XMATCH($A3,'Platform review'!$A$1:$A$127)+19),3,FALSE),CHAR(34),""),", "))</f>
        <v>+BPMN Process Model</v>
      </c>
      <c r="J3" s="19" t="str" cm="1">
        <f t="array" aca="1" ref="J3:J5" ca="1">_xlfn.TOCOL(_xlfn.TEXTSPLIT(SUBSTITUTE(VLOOKUP(J$2,INDIRECT("'Platform review'!$C"&amp;_xlfn.XMATCH($A3,'Platform review'!$A$1:$A$127)&amp;":$E"&amp;_xlfn.XMATCH($A3,'Platform review'!$A$1:$A$127)+19),3,FALSE),CHAR(34),""),", "))</f>
        <v>Denormalization</v>
      </c>
      <c r="K3" s="19" t="str" cm="1">
        <f t="array" aca="1" ref="K3:K6" ca="1">_xlfn.TOCOL(_xlfn.TEXTSPLIT(SUBSTITUTE(VLOOKUP(K$2,INDIRECT("'Platform review'!$C"&amp;_xlfn.XMATCH($A3,'Platform review'!$A$1:$A$127)&amp;":$E"&amp;_xlfn.XMATCH($A3,'Platform review'!$A$1:$A$127)+19),3,FALSE),CHAR(34),""),", "))</f>
        <v>Xpath</v>
      </c>
      <c r="L3" s="19" t="str" cm="1">
        <f t="array" aca="1" ref="L3:L6" ca="1">_xlfn.TOCOL(_xlfn.TEXTSPLIT(SUBSTITUTE(VLOOKUP(L$2,INDIRECT("'Platform review'!$C"&amp;_xlfn.XMATCH($A3,'Platform review'!$A$1:$A$127)&amp;":$E"&amp;_xlfn.XMATCH($A3,'Platform review'!$A$1:$A$127)+19),3,FALSE),CHAR(34),""),", "))</f>
        <v>HTML</v>
      </c>
      <c r="M3" s="19" t="str" cm="1">
        <f t="array" aca="1" ref="M3:M5" ca="1">_xlfn.TOCOL(_xlfn.TEXTSPLIT(SUBSTITUTE(VLOOKUP(M$2,INDIRECT("'Platform review'!$C"&amp;_xlfn.XMATCH($A3,'Platform review'!$A$1:$A$127)&amp;":$E"&amp;_xlfn.XMATCH($A3,'Platform review'!$A$1:$A$127)+19),3,FALSE),CHAR(34),""),", "))</f>
        <v>Conditional Expressions</v>
      </c>
      <c r="N3" s="19" t="str" cm="1">
        <f t="array" aca="1" ref="N3:N5" ca="1">_xlfn.TOCOL(_xlfn.TEXTSPLIT(SUBSTITUTE(VLOOKUP(N$2,INDIRECT("'Platform review'!$C"&amp;_xlfn.XMATCH($A3,'Platform review'!$A$1:$A$127)&amp;":$E"&amp;_xlfn.XMATCH($A3,'Platform review'!$A$1:$A$127)+19),3,FALSE),CHAR(34),""),", "))</f>
        <v>Java</v>
      </c>
      <c r="O3" s="19" t="str" cm="1">
        <f t="array" aca="1" ref="O3:O8" ca="1">_xlfn.TOCOL(_xlfn.TEXTSPLIT(SUBSTITUTE(VLOOKUP(O$2,INDIRECT("'Platform review'!$C"&amp;_xlfn.XMATCH($A3,'Platform review'!$A$1:$A$127)&amp;":$E"&amp;_xlfn.XMATCH($A3,'Platform review'!$A$1:$A$127)+19),3,FALSE),CHAR(34),""),", "))</f>
        <v>Eclipse</v>
      </c>
      <c r="P3" s="6" t="s">
        <v>122</v>
      </c>
      <c r="Q3" s="19" t="str" cm="1">
        <f t="array" aca="1" ref="Q3:Q14" ca="1">_xlfn.TOCOL(_xlfn.TEXTSPLIT(SUBSTITUTE(VLOOKUP(Q$2,INDIRECT("'Platform review'!$C"&amp;_xlfn.XMATCH($A3,'Platform review'!$A$1:$A$127)&amp;":$E"&amp;_xlfn.XMATCH($A3,'Platform review'!$A$1:$A$127)+19),3,FALSE),CHAR(34),""),", "))</f>
        <v>File Storage</v>
      </c>
      <c r="R3" s="19" t="str" cm="1">
        <f t="array" aca="1" ref="R3:R4" ca="1">_xlfn.TOCOL(_xlfn.TEXTSPLIT(SUBSTITUTE(VLOOKUP(R$2,INDIRECT("'Platform review'!$C"&amp;_xlfn.XMATCH($A3,'Platform review'!$A$1:$A$127)&amp;":$E"&amp;_xlfn.XMATCH($A3,'Platform review'!$A$1:$A$127)+19),3,FALSE),CHAR(34),""),", "))</f>
        <v>Relational Database</v>
      </c>
      <c r="S3" s="19" t="str" cm="1">
        <f t="array" aca="1" ref="S3:S4" ca="1">_xlfn.TOCOL(_xlfn.TEXTSPLIT(SUBSTITUTE(VLOOKUP(S$2,INDIRECT("'Platform review'!$C"&amp;_xlfn.XMATCH($A3,'Platform review'!$A$1:$A$127)&amp;":$E"&amp;_xlfn.XMATCH($A3,'Platform review'!$A$1:$A$127)+19),3,FALSE),CHAR(34),""),", "))</f>
        <v>HTTPS Server</v>
      </c>
      <c r="T3" s="19" t="str" cm="1">
        <f t="array" aca="1" ref="T3:T6" ca="1">_xlfn.TOCOL(_xlfn.TEXTSPLIT(SUBSTITUTE(VLOOKUP(T$2,INDIRECT("'Platform review'!$C"&amp;_xlfn.XMATCH($A3,'Platform review'!$A$1:$A$127)&amp;":$E"&amp;_xlfn.XMATCH($A3,'Platform review'!$A$1:$A$127)+19),3,FALSE),CHAR(34),""),", "))</f>
        <v>Cloud Services</v>
      </c>
      <c r="U3" s="19" t="str" cm="1">
        <f t="array" aca="1" ref="U3:U4" ca="1">_xlfn.TOCOL(_xlfn.TEXTSPLIT(SUBSTITUTE(VLOOKUP(U$2,INDIRECT("'Platform review'!$C"&amp;_xlfn.XMATCH($A3,'Platform review'!$A$1:$A$127)&amp;":$E"&amp;_xlfn.XMATCH($A3,'Platform review'!$A$1:$A$127)+19),3,FALSE),CHAR(34),""),", "))</f>
        <v>Git</v>
      </c>
      <c r="V3" s="6" t="s">
        <v>122</v>
      </c>
    </row>
    <row r="4" spans="1:22" s="19" customFormat="1" x14ac:dyDescent="0.25">
      <c r="B4" s="6" t="s">
        <v>122</v>
      </c>
      <c r="D4" s="19" t="str">
        <f ca="1"/>
        <v>Data Structure</v>
      </c>
      <c r="E4" s="19" t="str">
        <f ca="1"/>
        <v>Responsive Web Design</v>
      </c>
      <c r="F4" s="19" t="str">
        <f ca="1"/>
        <v>JavaScript</v>
      </c>
      <c r="G4" s="19" t="str">
        <f ca="1"/>
        <v>Activity Diagram</v>
      </c>
      <c r="H4" s="6" t="s">
        <v>122</v>
      </c>
      <c r="I4" s="19" t="str">
        <f ca="1"/>
        <v>Events</v>
      </c>
      <c r="J4" s="19" t="str">
        <f ca="1"/>
        <v>Relational Database</v>
      </c>
      <c r="K4" s="19" t="str">
        <f ca="1"/>
        <v>OQL</v>
      </c>
      <c r="L4" s="19" t="str">
        <f ca="1"/>
        <v>CSS</v>
      </c>
      <c r="M4" s="19" t="str">
        <f ca="1"/>
        <v>Boolean Expressions</v>
      </c>
      <c r="N4" s="19" t="str">
        <f ca="1"/>
        <v>JavaScript</v>
      </c>
      <c r="O4" s="19" t="str">
        <f ca="1"/>
        <v>Java API</v>
      </c>
      <c r="P4" s="6" t="s">
        <v>122</v>
      </c>
      <c r="Q4" s="19" t="str">
        <f ca="1"/>
        <v>Database Synchronization</v>
      </c>
      <c r="R4" s="19" t="str">
        <f ca="1"/>
        <v>File Storage</v>
      </c>
      <c r="S4" s="19" t="str">
        <f ca="1"/>
        <v>API</v>
      </c>
      <c r="T4" s="19" t="str">
        <f ca="1"/>
        <v>CI/CD</v>
      </c>
      <c r="U4" s="19" t="str">
        <f ca="1"/>
        <v>Code Repository Concept</v>
      </c>
      <c r="V4" s="6" t="s">
        <v>122</v>
      </c>
    </row>
    <row r="5" spans="1:22" s="19" customFormat="1" x14ac:dyDescent="0.25">
      <c r="B5" s="6" t="s">
        <v>122</v>
      </c>
      <c r="D5" s="19" t="str">
        <f ca="1"/>
        <v>Entity Diagrams</v>
      </c>
      <c r="E5" s="19" t="str">
        <f ca="1"/>
        <v>Data Types</v>
      </c>
      <c r="F5" s="19" t="str">
        <f ca="1"/>
        <v>String Functions</v>
      </c>
      <c r="G5" s="19" t="str">
        <f ca="1"/>
        <v>Control Structures</v>
      </c>
      <c r="H5" s="6" t="s">
        <v>122</v>
      </c>
      <c r="I5" s="19" t="str">
        <f ca="1"/>
        <v>Triggers</v>
      </c>
      <c r="J5" s="19" t="str">
        <f ca="1"/>
        <v>SQL</v>
      </c>
      <c r="K5" s="19" t="str">
        <f ca="1"/>
        <v>SQL</v>
      </c>
      <c r="L5" s="19" t="str">
        <f ca="1"/>
        <v>SASS (SCSS)</v>
      </c>
      <c r="M5" s="19" t="str">
        <f ca="1"/>
        <v>Domain Model</v>
      </c>
      <c r="N5" s="19" t="str">
        <f ca="1"/>
        <v>API</v>
      </c>
      <c r="O5" s="19" t="str">
        <f ca="1"/>
        <v>Java</v>
      </c>
      <c r="P5" s="6" t="s">
        <v>122</v>
      </c>
      <c r="Q5" s="19" t="str">
        <f ca="1"/>
        <v>REST API</v>
      </c>
      <c r="T5" s="19" t="str">
        <f ca="1"/>
        <v>Docker</v>
      </c>
      <c r="V5" s="6" t="s">
        <v>122</v>
      </c>
    </row>
    <row r="6" spans="1:22" s="19" customFormat="1" x14ac:dyDescent="0.25">
      <c r="B6" s="6" t="s">
        <v>122</v>
      </c>
      <c r="D6" s="19" t="str">
        <f ca="1"/>
        <v>Association</v>
      </c>
      <c r="F6" s="19" t="str">
        <f ca="1"/>
        <v>Conditional Expressions</v>
      </c>
      <c r="G6" s="19" t="str">
        <f ca="1"/>
        <v>Algorithms</v>
      </c>
      <c r="H6" s="6" t="s">
        <v>122</v>
      </c>
      <c r="I6" s="19" t="str">
        <f ca="1"/>
        <v>Java API</v>
      </c>
      <c r="K6" s="19" t="str">
        <f ca="1"/>
        <v>Odata</v>
      </c>
      <c r="L6" s="19" t="str">
        <f ca="1"/>
        <v>Themes</v>
      </c>
      <c r="O6" s="19" t="str">
        <f ca="1"/>
        <v>Emulators Andoid iOS</v>
      </c>
      <c r="P6" s="6" t="s">
        <v>122</v>
      </c>
      <c r="Q6" s="19" t="str">
        <f ca="1"/>
        <v>SOAP</v>
      </c>
      <c r="T6" s="19" t="str">
        <f ca="1"/>
        <v>Kubernetes</v>
      </c>
      <c r="V6" s="6" t="s">
        <v>122</v>
      </c>
    </row>
    <row r="7" spans="1:22" s="19" customFormat="1" x14ac:dyDescent="0.25">
      <c r="B7" s="6" t="s">
        <v>122</v>
      </c>
      <c r="D7" s="19" t="str">
        <f ca="1"/>
        <v>One-to-Many</v>
      </c>
      <c r="F7" s="19" t="str">
        <f ca="1"/>
        <v>Arithmetic Expressions</v>
      </c>
      <c r="G7" s="19" t="str">
        <f ca="1"/>
        <v>Java</v>
      </c>
      <c r="H7" s="6" t="s">
        <v>122</v>
      </c>
      <c r="O7" s="19" t="str">
        <f ca="1"/>
        <v>PWA</v>
      </c>
      <c r="P7" s="6" t="s">
        <v>122</v>
      </c>
      <c r="Q7" s="19" t="str">
        <f ca="1"/>
        <v>WSDL</v>
      </c>
      <c r="V7" s="6" t="s">
        <v>122</v>
      </c>
    </row>
    <row r="8" spans="1:22" s="19" customFormat="1" x14ac:dyDescent="0.25">
      <c r="B8" s="6" t="s">
        <v>122</v>
      </c>
      <c r="D8" s="19" t="str">
        <f ca="1"/>
        <v>Many-to-Many</v>
      </c>
      <c r="F8" s="19" t="str">
        <f ca="1"/>
        <v>Boolean Expressions</v>
      </c>
      <c r="G8" s="19" t="str">
        <f ca="1"/>
        <v>JavaScript</v>
      </c>
      <c r="H8" s="6" t="s">
        <v>122</v>
      </c>
      <c r="O8" s="19" t="str">
        <f ca="1"/>
        <v>Native Mobile App</v>
      </c>
      <c r="P8" s="6" t="s">
        <v>122</v>
      </c>
      <c r="Q8" s="19" t="str">
        <f ca="1"/>
        <v>Swagger</v>
      </c>
      <c r="V8" s="6" t="s">
        <v>122</v>
      </c>
    </row>
    <row r="9" spans="1:22" s="19" customFormat="1" x14ac:dyDescent="0.25">
      <c r="B9" s="6" t="s">
        <v>122</v>
      </c>
      <c r="D9" s="19" t="str">
        <f ca="1"/>
        <v>Denormalization</v>
      </c>
      <c r="F9" s="19" t="str">
        <f ca="1"/>
        <v>Enumerations</v>
      </c>
      <c r="G9" s="19" t="str">
        <f ca="1"/>
        <v>SQL/OQL</v>
      </c>
      <c r="H9" s="6" t="s">
        <v>122</v>
      </c>
      <c r="P9" s="6" t="s">
        <v>122</v>
      </c>
      <c r="Q9" s="19" t="str">
        <f ca="1"/>
        <v>Relational Database</v>
      </c>
      <c r="V9" s="6" t="s">
        <v>122</v>
      </c>
    </row>
    <row r="10" spans="1:22" s="19" customFormat="1" x14ac:dyDescent="0.25">
      <c r="B10" s="6" t="s">
        <v>122</v>
      </c>
      <c r="D10" s="19" t="str">
        <f ca="1"/>
        <v>XPath</v>
      </c>
      <c r="G10" s="19" t="str">
        <f ca="1"/>
        <v>Regular Expressions</v>
      </c>
      <c r="H10" s="6" t="s">
        <v>122</v>
      </c>
      <c r="P10" s="6" t="s">
        <v>122</v>
      </c>
      <c r="Q10" s="19" t="str">
        <f ca="1"/>
        <v>Xpath</v>
      </c>
      <c r="V10" s="6" t="s">
        <v>122</v>
      </c>
    </row>
    <row r="11" spans="1:22" s="19" customFormat="1" x14ac:dyDescent="0.25">
      <c r="B11" s="6" t="s">
        <v>122</v>
      </c>
      <c r="G11" s="19" t="str">
        <f ca="1"/>
        <v>Variables</v>
      </c>
      <c r="H11" s="6" t="s">
        <v>122</v>
      </c>
      <c r="P11" s="6" t="s">
        <v>122</v>
      </c>
      <c r="Q11" s="19" t="str">
        <f ca="1"/>
        <v>OQL</v>
      </c>
      <c r="V11" s="6" t="s">
        <v>122</v>
      </c>
    </row>
    <row r="12" spans="1:22" s="19" customFormat="1" x14ac:dyDescent="0.25">
      <c r="B12" s="6" t="s">
        <v>122</v>
      </c>
      <c r="G12" s="19" t="str">
        <f ca="1"/>
        <v>Data Types</v>
      </c>
      <c r="H12" s="6" t="s">
        <v>122</v>
      </c>
      <c r="P12" s="6" t="s">
        <v>122</v>
      </c>
      <c r="Q12" s="19" t="str">
        <f ca="1"/>
        <v>Java</v>
      </c>
      <c r="V12" s="6" t="s">
        <v>122</v>
      </c>
    </row>
    <row r="13" spans="1:22" s="19" customFormat="1" x14ac:dyDescent="0.25">
      <c r="A13"/>
      <c r="B13" s="6" t="s">
        <v>122</v>
      </c>
      <c r="H13" s="6" t="s">
        <v>122</v>
      </c>
      <c r="P13" s="6" t="s">
        <v>122</v>
      </c>
      <c r="Q13" s="19" t="str">
        <f ca="1"/>
        <v>API</v>
      </c>
      <c r="V13" s="6" t="s">
        <v>122</v>
      </c>
    </row>
    <row r="14" spans="1:22" s="19" customFormat="1" x14ac:dyDescent="0.25">
      <c r="B14" s="6" t="s">
        <v>122</v>
      </c>
      <c r="H14" s="6" t="s">
        <v>122</v>
      </c>
      <c r="P14" s="6" t="s">
        <v>122</v>
      </c>
      <c r="Q14" s="19" t="str">
        <f ca="1"/>
        <v>HTTPS Server</v>
      </c>
      <c r="V14" s="6" t="s">
        <v>122</v>
      </c>
    </row>
    <row r="15" spans="1:22" s="19" customFormat="1" x14ac:dyDescent="0.25">
      <c r="B15" s="6" t="s">
        <v>122</v>
      </c>
      <c r="H15" s="6" t="s">
        <v>122</v>
      </c>
      <c r="P15" s="6" t="s">
        <v>122</v>
      </c>
      <c r="V15" s="6" t="s">
        <v>122</v>
      </c>
    </row>
    <row r="16" spans="1:22" s="19" customFormat="1" x14ac:dyDescent="0.25">
      <c r="B16" s="6" t="s">
        <v>122</v>
      </c>
      <c r="H16" s="6" t="s">
        <v>122</v>
      </c>
      <c r="P16" s="6" t="s">
        <v>122</v>
      </c>
      <c r="V16" s="6" t="s">
        <v>122</v>
      </c>
    </row>
    <row r="17" spans="1:22" s="19" customFormat="1" x14ac:dyDescent="0.25">
      <c r="B17" s="6" t="s">
        <v>122</v>
      </c>
      <c r="H17" s="6" t="s">
        <v>122</v>
      </c>
      <c r="P17" s="6" t="s">
        <v>122</v>
      </c>
      <c r="V17" s="6" t="s">
        <v>122</v>
      </c>
    </row>
    <row r="18" spans="1:22" s="19" customFormat="1" x14ac:dyDescent="0.25">
      <c r="B18" s="6" t="s">
        <v>122</v>
      </c>
      <c r="H18" s="6" t="s">
        <v>122</v>
      </c>
      <c r="P18" s="6" t="s">
        <v>122</v>
      </c>
      <c r="V18" s="6" t="s">
        <v>122</v>
      </c>
    </row>
    <row r="19" spans="1:22" s="19" customFormat="1" x14ac:dyDescent="0.25">
      <c r="B19" s="6" t="s">
        <v>122</v>
      </c>
      <c r="H19" s="6" t="s">
        <v>122</v>
      </c>
      <c r="P19" s="6" t="s">
        <v>122</v>
      </c>
      <c r="V19" s="6" t="s">
        <v>122</v>
      </c>
    </row>
    <row r="20" spans="1:22" x14ac:dyDescent="0.25">
      <c r="A20" s="23"/>
      <c r="B20" s="24" t="s">
        <v>122</v>
      </c>
      <c r="C20" s="25"/>
      <c r="D20" s="25"/>
      <c r="E20" s="25"/>
      <c r="F20" s="25"/>
      <c r="G20" s="25"/>
      <c r="H20" s="24" t="s">
        <v>122</v>
      </c>
      <c r="I20" s="25"/>
      <c r="J20" s="25"/>
      <c r="K20" s="25"/>
      <c r="L20" s="25"/>
      <c r="M20" s="25"/>
      <c r="N20" s="25"/>
      <c r="O20" s="25"/>
      <c r="P20" s="24" t="s">
        <v>122</v>
      </c>
      <c r="Q20" s="25"/>
      <c r="R20" s="25"/>
      <c r="S20" s="25"/>
      <c r="T20" s="25"/>
      <c r="U20" s="25"/>
      <c r="V20" s="24" t="s">
        <v>122</v>
      </c>
    </row>
    <row r="21" spans="1:22" x14ac:dyDescent="0.25">
      <c r="A21" s="4" t="s">
        <v>41</v>
      </c>
      <c r="B21" s="6" t="s">
        <v>122</v>
      </c>
      <c r="C21" s="19" t="str" cm="1">
        <f t="array" aca="1" ref="C21" ca="1">_xlfn.TOCOL(_xlfn.TEXTSPLIT(SUBSTITUTE(VLOOKUP(C$2,INDIRECT("'Platform review'!$C"&amp;_xlfn.XMATCH($A21,'Platform review'!$A$1:$A$127)&amp;":$E"&amp;_xlfn.XMATCH($A21,'Platform review'!$A$1:$A$127)+19),3,FALSE),CHAR(34),""),", "))</f>
        <v>Custom Process Model</v>
      </c>
      <c r="D21" s="19" t="str" cm="1">
        <f t="array" aca="1" ref="D21:D29" ca="1">_xlfn.TOCOL(_xlfn.TEXTSPLIT(SUBSTITUTE(VLOOKUP(D$2,INDIRECT("'Platform review'!$C"&amp;_xlfn.XMATCH($A21,'Platform review'!$A$1:$A$127)&amp;":$E"&amp;_xlfn.XMATCH($A21,'Platform review'!$A$1:$A$127)+19),3,FALSE),CHAR(34),""),", "))</f>
        <v>Entity Relationships</v>
      </c>
      <c r="E21" s="19" t="str" cm="1">
        <f t="array" aca="1" ref="E21:E26" ca="1">_xlfn.TOCOL(_xlfn.TEXTSPLIT(SUBSTITUTE(VLOOKUP(E$2,INDIRECT("'Platform review'!$C"&amp;_xlfn.XMATCH($A21,'Platform review'!$A$1:$A$127)&amp;":$E"&amp;_xlfn.XMATCH($A21,'Platform review'!$A$1:$A$127)+19),3,FALSE),CHAR(34),""),", "))</f>
        <v>+Screen Templates</v>
      </c>
      <c r="F21" s="19" t="str" cm="1">
        <f t="array" aca="1" ref="F21:F22" ca="1">_xlfn.TOCOL(_xlfn.TEXTSPLIT(SUBSTITUTE(VLOOKUP(F$2,INDIRECT("'Platform review'!$C"&amp;_xlfn.XMATCH($A21,'Platform review'!$A$1:$A$127)&amp;":$E"&amp;_xlfn.XMATCH($A21,'Platform review'!$A$1:$A$127)+19),3,FALSE),CHAR(34),""),", "))</f>
        <v>Boolean expressions</v>
      </c>
      <c r="G21" s="19" t="str" cm="1">
        <f t="array" aca="1" ref="G21:G22" ca="1">_xlfn.TOCOL(_xlfn.TEXTSPLIT(SUBSTITUTE(VLOOKUP(G$2,INDIRECT("'Platform review'!$C"&amp;_xlfn.XMATCH($A21,'Platform review'!$A$1:$A$127)&amp;":$E"&amp;_xlfn.XMATCH($A21,'Platform review'!$A$1:$A$127)+19),3,FALSE),CHAR(34),""),", "))</f>
        <v>+Graphical actions</v>
      </c>
      <c r="H21" s="6" t="s">
        <v>122</v>
      </c>
      <c r="I21" s="19" t="str" cm="1">
        <f t="array" aca="1" ref="I21" ca="1">_xlfn.TOCOL(_xlfn.TEXTSPLIT(SUBSTITUTE(VLOOKUP(I$2,INDIRECT("'Platform review'!$C"&amp;_xlfn.XMATCH($A21,'Platform review'!$A$1:$A$127)&amp;":$E"&amp;_xlfn.XMATCH($A21,'Platform review'!$A$1:$A$127)+19),3,FALSE),CHAR(34),""),", "))</f>
        <v>Custom Process Model</v>
      </c>
      <c r="J21" s="19" t="str" cm="1">
        <f t="array" aca="1" ref="J21:J22" ca="1">_xlfn.TOCOL(_xlfn.TEXTSPLIT(SUBSTITUTE(VLOOKUP(J$2,INDIRECT("'Platform review'!$C"&amp;_xlfn.XMATCH($A21,'Platform review'!$A$1:$A$127)&amp;":$E"&amp;_xlfn.XMATCH($A21,'Platform review'!$A$1:$A$127)+19),3,FALSE),CHAR(34),""),", "))</f>
        <v>Relational Database</v>
      </c>
      <c r="K21" s="19" t="str" cm="1">
        <f t="array" aca="1" ref="K21:K23" ca="1">_xlfn.TOCOL(_xlfn.TEXTSPLIT(SUBSTITUTE(VLOOKUP(K$2,INDIRECT("'Platform review'!$C"&amp;_xlfn.XMATCH($A21,'Platform review'!$A$1:$A$127)&amp;":$E"&amp;_xlfn.XMATCH($A21,'Platform review'!$A$1:$A$127)+19),3,FALSE),CHAR(34),""),", "))</f>
        <v>+Human Language</v>
      </c>
      <c r="L21" s="19" t="str" cm="1">
        <f t="array" aca="1" ref="L21:L31" ca="1">_xlfn.TOCOL(_xlfn.TEXTSPLIT(SUBSTITUTE(VLOOKUP(L$2,INDIRECT("'Platform review'!$C"&amp;_xlfn.XMATCH($A21,'Platform review'!$A$1:$A$127)&amp;":$E"&amp;_xlfn.XMATCH($A21,'Platform review'!$A$1:$A$127)+19),3,FALSE),CHAR(34),""),", "))</f>
        <v>CSS</v>
      </c>
      <c r="M21" s="19" t="str" cm="1">
        <f t="array" aca="1" ref="M21:M23" ca="1">_xlfn.TOCOL(_xlfn.TEXTSPLIT(SUBSTITUTE(VLOOKUP(M$2,INDIRECT("'Platform review'!$C"&amp;_xlfn.XMATCH($A21,'Platform review'!$A$1:$A$127)&amp;":$E"&amp;_xlfn.XMATCH($A21,'Platform review'!$A$1:$A$127)+19),3,FALSE),CHAR(34),""),", "))</f>
        <v>Conditional Expressions</v>
      </c>
      <c r="N21" s="19" t="str" cm="1">
        <f t="array" aca="1" ref="N21:N25" ca="1">_xlfn.TOCOL(_xlfn.TEXTSPLIT(SUBSTITUTE(VLOOKUP(N$2,INDIRECT("'Platform review'!$C"&amp;_xlfn.XMATCH($A21,'Platform review'!$A$1:$A$127)&amp;":$E"&amp;_xlfn.XMATCH($A21,'Platform review'!$A$1:$A$127)+19),3,FALSE),CHAR(34),""),", "))</f>
        <v>+AI Assisted Development</v>
      </c>
      <c r="O21" s="19" t="str" cm="1">
        <f t="array" aca="1" ref="O21:O25" ca="1">_xlfn.TOCOL(_xlfn.TEXTSPLIT(SUBSTITUTE(VLOOKUP(O$2,INDIRECT("'Platform review'!$C"&amp;_xlfn.XMATCH($A21,'Platform review'!$A$1:$A$127)&amp;":$E"&amp;_xlfn.XMATCH($A21,'Platform review'!$A$1:$A$127)+19),3,FALSE),CHAR(34),""),", "))</f>
        <v>.NET</v>
      </c>
      <c r="P21" s="6" t="s">
        <v>122</v>
      </c>
      <c r="Q21" s="19" t="str" cm="1">
        <f t="array" aca="1" ref="Q21:Q27" ca="1">_xlfn.TOCOL(_xlfn.TEXTSPLIT(SUBSTITUTE(VLOOKUP(Q$2,INDIRECT("'Platform review'!$C"&amp;_xlfn.XMATCH($A21,'Platform review'!$A$1:$A$127)&amp;":$E"&amp;_xlfn.XMATCH($A21,'Platform review'!$A$1:$A$127)+19),3,FALSE),CHAR(34),""),", "))</f>
        <v>Deployment Controller Service</v>
      </c>
      <c r="R21" s="19" t="str" cm="1">
        <f t="array" aca="1" ref="R21:R22" ca="1">_xlfn.TOCOL(_xlfn.TEXTSPLIT(SUBSTITUTE(VLOOKUP(R$2,INDIRECT("'Platform review'!$C"&amp;_xlfn.XMATCH($A21,'Platform review'!$A$1:$A$127)&amp;":$E"&amp;_xlfn.XMATCH($A21,'Platform review'!$A$1:$A$127)+19),3,FALSE),CHAR(34),""),", "))</f>
        <v>Relational Database</v>
      </c>
      <c r="S21" s="19" t="str" cm="1">
        <f t="array" aca="1" ref="S21:S22" ca="1">_xlfn.TOCOL(_xlfn.TEXTSPLIT(SUBSTITUTE(VLOOKUP(S$2,INDIRECT("'Platform review'!$C"&amp;_xlfn.XMATCH($A21,'Platform review'!$A$1:$A$127)&amp;":$E"&amp;_xlfn.XMATCH($A21,'Platform review'!$A$1:$A$127)+19),3,FALSE),CHAR(34),""),", "))</f>
        <v>Binaries</v>
      </c>
      <c r="T21" s="19" t="str" cm="1">
        <f t="array" aca="1" ref="T21:T24" ca="1">_xlfn.TOCOL(_xlfn.TEXTSPLIT(SUBSTITUTE(VLOOKUP(T$2,INDIRECT("'Platform review'!$C"&amp;_xlfn.XMATCH($A21,'Platform review'!$A$1:$A$127)&amp;":$E"&amp;_xlfn.XMATCH($A21,'Platform review'!$A$1:$A$127)+19),3,FALSE),CHAR(34),""),", "))</f>
        <v>Cloud Computing</v>
      </c>
      <c r="U21" s="19" t="str" cm="1">
        <f t="array" aca="1" ref="U21" ca="1">_xlfn.TOCOL(_xlfn.TEXTSPLIT(SUBSTITUTE(VLOOKUP(U$2,INDIRECT("'Platform review'!$C"&amp;_xlfn.XMATCH($A21,'Platform review'!$A$1:$A$127)&amp;":$E"&amp;_xlfn.XMATCH($A21,'Platform review'!$A$1:$A$127)+19),3,FALSE),CHAR(34),""),", "))</f>
        <v>Custom Version Control</v>
      </c>
      <c r="V21" s="6" t="s">
        <v>122</v>
      </c>
    </row>
    <row r="22" spans="1:22" x14ac:dyDescent="0.25">
      <c r="B22" s="6" t="s">
        <v>122</v>
      </c>
      <c r="C22" s="19"/>
      <c r="D22" s="19" t="str">
        <f ca="1"/>
        <v>Entity Diagrams</v>
      </c>
      <c r="E22" s="19" t="str">
        <f ca="1"/>
        <v>Reactive Web App</v>
      </c>
      <c r="F22" s="19" t="str">
        <f ca="1"/>
        <v>Conditional Expressions</v>
      </c>
      <c r="G22" s="19" t="str">
        <f ca="1"/>
        <v>Variables</v>
      </c>
      <c r="H22" s="6" t="s">
        <v>122</v>
      </c>
      <c r="I22" s="19"/>
      <c r="J22" s="19" t="str">
        <f ca="1"/>
        <v>SQL</v>
      </c>
      <c r="K22" s="19" t="str">
        <f ca="1"/>
        <v>+GUI Queries</v>
      </c>
      <c r="L22" s="19" t="str">
        <f ca="1"/>
        <v>Grid</v>
      </c>
      <c r="M22" s="19" t="str">
        <f ca="1"/>
        <v>Boolean Expressions</v>
      </c>
      <c r="N22" s="19" t="str">
        <f ca="1"/>
        <v>Expressions</v>
      </c>
      <c r="O22" s="19" t="str">
        <f ca="1"/>
        <v>+Visual Programming</v>
      </c>
      <c r="P22" s="6" t="s">
        <v>122</v>
      </c>
      <c r="Q22" s="19" t="str">
        <f ca="1"/>
        <v>Scheduler Service</v>
      </c>
      <c r="R22" s="19" t="str">
        <f ca="1"/>
        <v>file storage</v>
      </c>
      <c r="S22" s="19" t="str">
        <f ca="1"/>
        <v>.NET Framework</v>
      </c>
      <c r="T22" s="19" t="str">
        <f ca="1"/>
        <v>CI/CD</v>
      </c>
      <c r="U22" s="19"/>
      <c r="V22" s="6" t="s">
        <v>122</v>
      </c>
    </row>
    <row r="23" spans="1:22" x14ac:dyDescent="0.25">
      <c r="B23" s="6" t="s">
        <v>122</v>
      </c>
      <c r="C23" s="19"/>
      <c r="D23" s="19" t="str">
        <f ca="1"/>
        <v>Primary Key</v>
      </c>
      <c r="E23" s="19" t="str">
        <f ca="1"/>
        <v>+Business Data Types</v>
      </c>
      <c r="F23" s="19"/>
      <c r="G23" s="19"/>
      <c r="H23" s="6" t="s">
        <v>122</v>
      </c>
      <c r="I23" s="19"/>
      <c r="J23" s="19"/>
      <c r="K23" s="19" t="str">
        <f ca="1"/>
        <v>SQL Queries</v>
      </c>
      <c r="L23" s="19" t="str">
        <f ca="1"/>
        <v>Style Classes</v>
      </c>
      <c r="M23" s="19" t="str">
        <f ca="1"/>
        <v>Data Fields</v>
      </c>
      <c r="N23" s="19" t="str">
        <f ca="1"/>
        <v>JavaScript</v>
      </c>
      <c r="O23" s="19" t="str">
        <f ca="1"/>
        <v>HTML DOM</v>
      </c>
      <c r="P23" s="6" t="s">
        <v>122</v>
      </c>
      <c r="Q23" s="19" t="str">
        <f ca="1"/>
        <v>Compiler Service</v>
      </c>
      <c r="R23" s="19"/>
      <c r="S23" s="19"/>
      <c r="T23" s="19" t="str">
        <f ca="1"/>
        <v>REST API</v>
      </c>
      <c r="U23" s="19"/>
      <c r="V23" s="6" t="s">
        <v>122</v>
      </c>
    </row>
    <row r="24" spans="1:22" x14ac:dyDescent="0.25">
      <c r="B24" s="6" t="s">
        <v>122</v>
      </c>
      <c r="C24" s="19"/>
      <c r="D24" s="19" t="str">
        <f ca="1"/>
        <v>Foreign Key</v>
      </c>
      <c r="E24" s="19" t="str">
        <f ca="1"/>
        <v>Variables</v>
      </c>
      <c r="F24" s="19"/>
      <c r="G24" s="19"/>
      <c r="H24" s="6" t="s">
        <v>122</v>
      </c>
      <c r="I24" s="19"/>
      <c r="J24" s="19"/>
      <c r="K24" s="19"/>
      <c r="L24" s="19" t="str">
        <f ca="1"/>
        <v>Responsive Web Design</v>
      </c>
      <c r="M24" s="19"/>
      <c r="N24" s="19" t="str">
        <f ca="1"/>
        <v>REST API</v>
      </c>
      <c r="O24" s="19" t="str">
        <f ca="1"/>
        <v>Iteration Statements</v>
      </c>
      <c r="P24" s="6" t="s">
        <v>122</v>
      </c>
      <c r="Q24" s="19" t="str">
        <f ca="1"/>
        <v>Log Service</v>
      </c>
      <c r="R24" s="19"/>
      <c r="S24" s="19"/>
      <c r="T24" s="19" t="str">
        <f ca="1"/>
        <v>SOAP</v>
      </c>
      <c r="U24" s="19"/>
      <c r="V24" s="6" t="s">
        <v>122</v>
      </c>
    </row>
    <row r="25" spans="1:22" x14ac:dyDescent="0.25">
      <c r="B25" s="6" t="s">
        <v>122</v>
      </c>
      <c r="C25" s="19"/>
      <c r="D25" s="19" t="str">
        <f ca="1"/>
        <v>One-to-One</v>
      </c>
      <c r="E25" s="19" t="str">
        <f ca="1"/>
        <v>Boolean expressions</v>
      </c>
      <c r="F25" s="19"/>
      <c r="G25" s="19"/>
      <c r="H25" s="6" t="s">
        <v>122</v>
      </c>
      <c r="I25" s="19"/>
      <c r="J25" s="19"/>
      <c r="K25" s="19"/>
      <c r="L25" s="19" t="str">
        <f ca="1"/>
        <v>IT Data Types</v>
      </c>
      <c r="M25" s="19"/>
      <c r="N25" s="19" t="str">
        <f ca="1"/>
        <v>SOAP</v>
      </c>
      <c r="O25" s="19" t="str">
        <f ca="1"/>
        <v>Conditional Expressions</v>
      </c>
      <c r="P25" s="6" t="s">
        <v>122</v>
      </c>
      <c r="Q25" s="19" t="str">
        <f ca="1"/>
        <v>HTTPS Server</v>
      </c>
      <c r="R25" s="19"/>
      <c r="S25" s="19"/>
      <c r="T25" s="19"/>
      <c r="U25" s="19"/>
      <c r="V25" s="6" t="s">
        <v>122</v>
      </c>
    </row>
    <row r="26" spans="1:22" x14ac:dyDescent="0.25">
      <c r="B26" s="6" t="s">
        <v>122</v>
      </c>
      <c r="C26" s="19"/>
      <c r="D26" s="19" t="str">
        <f ca="1"/>
        <v>One-to-Many</v>
      </c>
      <c r="E26" s="19" t="str">
        <f ca="1"/>
        <v>Conditional Expressions</v>
      </c>
      <c r="F26" s="19"/>
      <c r="G26" s="19"/>
      <c r="H26" s="6" t="s">
        <v>122</v>
      </c>
      <c r="I26" s="19"/>
      <c r="J26" s="19"/>
      <c r="K26" s="19"/>
      <c r="L26" s="19" t="str">
        <f ca="1"/>
        <v>Responsive Breakpoints</v>
      </c>
      <c r="M26" s="19"/>
      <c r="N26" s="19"/>
      <c r="O26" s="19"/>
      <c r="P26" s="6" t="s">
        <v>122</v>
      </c>
      <c r="Q26" s="19" t="str">
        <f ca="1"/>
        <v>Shared Libraries</v>
      </c>
      <c r="R26" s="19"/>
      <c r="S26" s="19"/>
      <c r="T26" s="19"/>
      <c r="U26" s="19"/>
      <c r="V26" s="6" t="s">
        <v>122</v>
      </c>
    </row>
    <row r="27" spans="1:22" x14ac:dyDescent="0.25">
      <c r="B27" s="6" t="s">
        <v>122</v>
      </c>
      <c r="C27" s="19"/>
      <c r="D27" s="19" t="str">
        <f ca="1"/>
        <v>Many-to-Many</v>
      </c>
      <c r="E27" s="19"/>
      <c r="F27" s="19"/>
      <c r="G27" s="19"/>
      <c r="H27" s="6" t="s">
        <v>122</v>
      </c>
      <c r="I27" s="19"/>
      <c r="J27" s="19"/>
      <c r="K27" s="19"/>
      <c r="L27" s="19" t="str">
        <f ca="1"/>
        <v>Reactive Web App</v>
      </c>
      <c r="M27" s="19"/>
      <c r="N27" s="19"/>
      <c r="O27" s="19"/>
      <c r="P27" s="6" t="s">
        <v>122</v>
      </c>
      <c r="Q27" s="19" t="str">
        <f ca="1"/>
        <v>Load Balancing</v>
      </c>
      <c r="R27" s="19"/>
      <c r="S27" s="19"/>
      <c r="T27" s="19"/>
      <c r="U27" s="19"/>
      <c r="V27" s="6" t="s">
        <v>122</v>
      </c>
    </row>
    <row r="28" spans="1:22" x14ac:dyDescent="0.25">
      <c r="B28" s="6" t="s">
        <v>122</v>
      </c>
      <c r="C28" s="19"/>
      <c r="D28" s="19" t="str">
        <f ca="1"/>
        <v>Indexes</v>
      </c>
      <c r="E28" s="19"/>
      <c r="F28" s="19"/>
      <c r="G28" s="19"/>
      <c r="H28" s="6" t="s">
        <v>122</v>
      </c>
      <c r="I28" s="19"/>
      <c r="J28" s="19"/>
      <c r="K28" s="19"/>
      <c r="L28" s="19" t="str">
        <f ca="1"/>
        <v>Event Propagation</v>
      </c>
      <c r="M28" s="19"/>
      <c r="N28" s="19"/>
      <c r="O28" s="19"/>
      <c r="P28" s="6" t="s">
        <v>122</v>
      </c>
      <c r="Q28" s="19"/>
      <c r="R28" s="19"/>
      <c r="S28" s="19"/>
      <c r="T28" s="19"/>
      <c r="U28" s="19"/>
      <c r="V28" s="6" t="s">
        <v>122</v>
      </c>
    </row>
    <row r="29" spans="1:22" x14ac:dyDescent="0.25">
      <c r="B29" s="6" t="s">
        <v>122</v>
      </c>
      <c r="C29" s="19"/>
      <c r="D29" s="19" t="str">
        <f ca="1"/>
        <v>Data Types</v>
      </c>
      <c r="E29" s="19"/>
      <c r="F29" s="19"/>
      <c r="G29" s="19"/>
      <c r="H29" s="6" t="s">
        <v>122</v>
      </c>
      <c r="I29" s="19"/>
      <c r="J29" s="19"/>
      <c r="K29" s="19"/>
      <c r="L29" s="19" t="str">
        <f ca="1"/>
        <v>Master Detail</v>
      </c>
      <c r="M29" s="19"/>
      <c r="N29" s="19"/>
      <c r="O29" s="19"/>
      <c r="P29" s="6" t="s">
        <v>122</v>
      </c>
      <c r="Q29" s="19"/>
      <c r="R29" s="19"/>
      <c r="S29" s="19"/>
      <c r="T29" s="19"/>
      <c r="U29" s="19"/>
      <c r="V29" s="6" t="s">
        <v>122</v>
      </c>
    </row>
    <row r="30" spans="1:22" x14ac:dyDescent="0.25">
      <c r="B30" s="6" t="s">
        <v>122</v>
      </c>
      <c r="C30" s="19"/>
      <c r="D30" s="19"/>
      <c r="E30" s="19"/>
      <c r="F30" s="19"/>
      <c r="G30" s="19"/>
      <c r="H30" s="6" t="s">
        <v>122</v>
      </c>
      <c r="I30" s="19"/>
      <c r="J30" s="19"/>
      <c r="K30" s="19"/>
      <c r="L30" s="19" t="str">
        <f ca="1"/>
        <v>Programming Functions</v>
      </c>
      <c r="M30" s="19"/>
      <c r="N30" s="19"/>
      <c r="O30" s="19"/>
      <c r="P30" s="6" t="s">
        <v>122</v>
      </c>
      <c r="Q30" s="19"/>
      <c r="R30" s="19"/>
      <c r="S30" s="19"/>
      <c r="T30" s="19"/>
      <c r="U30" s="19"/>
      <c r="V30" s="6" t="s">
        <v>122</v>
      </c>
    </row>
    <row r="31" spans="1:22" x14ac:dyDescent="0.25">
      <c r="B31" s="6" t="s">
        <v>122</v>
      </c>
      <c r="C31" s="19"/>
      <c r="D31" s="19"/>
      <c r="E31" s="19"/>
      <c r="F31" s="19"/>
      <c r="G31" s="19"/>
      <c r="H31" s="6" t="s">
        <v>122</v>
      </c>
      <c r="I31" s="19"/>
      <c r="J31" s="19"/>
      <c r="K31" s="19"/>
      <c r="L31" s="19" t="str">
        <f ca="1"/>
        <v>HTML</v>
      </c>
      <c r="M31" s="19"/>
      <c r="N31" s="19"/>
      <c r="O31" s="19"/>
      <c r="P31" s="6" t="s">
        <v>122</v>
      </c>
      <c r="Q31" s="19"/>
      <c r="R31" s="19"/>
      <c r="S31" s="19"/>
      <c r="T31" s="19"/>
      <c r="U31" s="19"/>
      <c r="V31" s="6" t="s">
        <v>122</v>
      </c>
    </row>
    <row r="32" spans="1:22" s="19" customFormat="1" x14ac:dyDescent="0.25">
      <c r="B32" s="6" t="s">
        <v>122</v>
      </c>
      <c r="H32" s="6" t="s">
        <v>122</v>
      </c>
      <c r="P32" s="6" t="s">
        <v>122</v>
      </c>
      <c r="V32" s="6" t="s">
        <v>122</v>
      </c>
    </row>
    <row r="33" spans="1:22" s="19" customFormat="1" x14ac:dyDescent="0.25">
      <c r="B33" s="6" t="s">
        <v>122</v>
      </c>
      <c r="H33" s="6" t="s">
        <v>122</v>
      </c>
      <c r="P33" s="6" t="s">
        <v>122</v>
      </c>
      <c r="V33" s="6" t="s">
        <v>122</v>
      </c>
    </row>
    <row r="34" spans="1:22" s="19" customFormat="1" x14ac:dyDescent="0.25">
      <c r="B34" s="6" t="s">
        <v>122</v>
      </c>
      <c r="H34" s="6" t="s">
        <v>122</v>
      </c>
      <c r="P34" s="6" t="s">
        <v>122</v>
      </c>
      <c r="V34" s="6" t="s">
        <v>122</v>
      </c>
    </row>
    <row r="35" spans="1:22" s="19" customFormat="1" x14ac:dyDescent="0.25">
      <c r="B35" s="6" t="s">
        <v>122</v>
      </c>
      <c r="H35" s="6" t="s">
        <v>122</v>
      </c>
      <c r="P35" s="6" t="s">
        <v>122</v>
      </c>
      <c r="V35" s="6" t="s">
        <v>122</v>
      </c>
    </row>
    <row r="36" spans="1:22" s="19" customFormat="1" x14ac:dyDescent="0.25">
      <c r="B36" s="6" t="s">
        <v>122</v>
      </c>
      <c r="H36" s="6" t="s">
        <v>122</v>
      </c>
      <c r="P36" s="6" t="s">
        <v>122</v>
      </c>
      <c r="V36" s="6" t="s">
        <v>122</v>
      </c>
    </row>
    <row r="37" spans="1:22" s="19" customFormat="1" x14ac:dyDescent="0.25">
      <c r="B37" s="6" t="s">
        <v>122</v>
      </c>
      <c r="H37" s="6" t="s">
        <v>122</v>
      </c>
      <c r="P37" s="6" t="s">
        <v>122</v>
      </c>
      <c r="V37" s="6" t="s">
        <v>122</v>
      </c>
    </row>
    <row r="38" spans="1:22" x14ac:dyDescent="0.25">
      <c r="A38" s="23"/>
      <c r="B38" s="24" t="s">
        <v>122</v>
      </c>
      <c r="C38" s="25"/>
      <c r="D38" s="25"/>
      <c r="E38" s="25"/>
      <c r="F38" s="25"/>
      <c r="G38" s="25"/>
      <c r="H38" s="24" t="s">
        <v>122</v>
      </c>
      <c r="I38" s="25"/>
      <c r="J38" s="25"/>
      <c r="K38" s="25"/>
      <c r="L38" s="25"/>
      <c r="M38" s="25"/>
      <c r="N38" s="25"/>
      <c r="O38" s="25"/>
      <c r="P38" s="24" t="s">
        <v>122</v>
      </c>
      <c r="Q38" s="25"/>
      <c r="R38" s="25"/>
      <c r="S38" s="25"/>
      <c r="T38" s="25"/>
      <c r="U38" s="25"/>
      <c r="V38" s="24" t="s">
        <v>122</v>
      </c>
    </row>
    <row r="39" spans="1:22" x14ac:dyDescent="0.25">
      <c r="A39" s="4" t="s">
        <v>62</v>
      </c>
      <c r="B39" s="6" t="s">
        <v>122</v>
      </c>
      <c r="C39" s="19" t="str" cm="1">
        <f t="array" aca="1" ref="C39" ca="1">_xlfn.TOCOL(_xlfn.TEXTSPLIT(SUBSTITUTE(VLOOKUP(C$2,INDIRECT("'Platform review'!$C"&amp;_xlfn.XMATCH($A39,'Platform review'!$A$1:$A$127)&amp;":$E"&amp;_xlfn.XMATCH($A39,'Platform review'!$A$1:$A$127)+19),3,FALSE),CHAR(34),""),", "))</f>
        <v>Custom Process Model</v>
      </c>
      <c r="D39" s="19" t="str" cm="1">
        <f t="array" aca="1" ref="D39:D45" ca="1">_xlfn.TOCOL(_xlfn.TEXTSPLIT(SUBSTITUTE(VLOOKUP(D$2,INDIRECT("'Platform review'!$C"&amp;_xlfn.XMATCH($A39,'Platform review'!$A$1:$A$127)&amp;":$E"&amp;_xlfn.XMATCH($A39,'Platform review'!$A$1:$A$127)+19),3,FALSE),CHAR(34),""),", "))</f>
        <v>Entity Relationships</v>
      </c>
      <c r="E39" s="19" t="str" cm="1">
        <f t="array" aca="1" ref="E39:E43" ca="1">_xlfn.TOCOL(_xlfn.TEXTSPLIT(SUBSTITUTE(VLOOKUP(E$2,INDIRECT("'Platform review'!$C"&amp;_xlfn.XMATCH($A39,'Platform review'!$A$1:$A$127)&amp;":$E"&amp;_xlfn.XMATCH($A39,'Platform review'!$A$1:$A$127)+19),3,FALSE),CHAR(34),""),", "))</f>
        <v>+Screen templates / Zoho - Pre-built Apps</v>
      </c>
      <c r="F39" s="19" t="str" cm="1">
        <f t="array" aca="1" ref="F39:F41" ca="1">_xlfn.TOCOL(_xlfn.TEXTSPLIT(SUBSTITUTE(VLOOKUP(F$2,INDIRECT("'Platform review'!$C"&amp;_xlfn.XMATCH($A39,'Platform review'!$A$1:$A$127)&amp;":$E"&amp;_xlfn.XMATCH($A39,'Platform review'!$A$1:$A$127)+19),3,FALSE),CHAR(34),""),", "))</f>
        <v>Scripts (Deluge)</v>
      </c>
      <c r="G39" s="19" t="str" cm="1">
        <f t="array" aca="1" ref="G39:G40" ca="1">_xlfn.TOCOL(_xlfn.TEXTSPLIT(SUBSTITUTE(VLOOKUP(G$2,INDIRECT("'Platform review'!$C"&amp;_xlfn.XMATCH($A39,'Platform review'!$A$1:$A$127)&amp;":$E"&amp;_xlfn.XMATCH($A39,'Platform review'!$A$1:$A$127)+19),3,FALSE),CHAR(34),""),", "))</f>
        <v>Microservices</v>
      </c>
      <c r="H39" s="6" t="s">
        <v>122</v>
      </c>
      <c r="I39" s="19" t="str" cm="1">
        <f t="array" aca="1" ref="I39" ca="1">_xlfn.TOCOL(_xlfn.TEXTSPLIT(SUBSTITUTE(VLOOKUP(I$2,INDIRECT("'Platform review'!$C"&amp;_xlfn.XMATCH($A39,'Platform review'!$A$1:$A$127)&amp;":$E"&amp;_xlfn.XMATCH($A39,'Platform review'!$A$1:$A$127)+19),3,FALSE),CHAR(34),""),", "))</f>
        <v>Custom Process Model</v>
      </c>
      <c r="J39" s="19" t="str" cm="1">
        <f t="array" aca="1" ref="J39:J44" ca="1">_xlfn.TOCOL(_xlfn.TEXTSPLIT(SUBSTITUTE(VLOOKUP(J$2,INDIRECT("'Platform review'!$C"&amp;_xlfn.XMATCH($A39,'Platform review'!$A$1:$A$127)&amp;":$E"&amp;_xlfn.XMATCH($A39,'Platform review'!$A$1:$A$127)+19),3,FALSE),CHAR(34),""),", "))</f>
        <v>+Custom Database Model</v>
      </c>
      <c r="K39" s="19" t="str" cm="1">
        <f t="array" aca="1" ref="K39:K44" ca="1">_xlfn.TOCOL(_xlfn.TEXTSPLIT(SUBSTITUTE(VLOOKUP(K$2,INDIRECT("'Platform review'!$C"&amp;_xlfn.XMATCH($A39,'Platform review'!$A$1:$A$127)&amp;":$E"&amp;_xlfn.XMATCH($A39,'Platform review'!$A$1:$A$127)+19),3,FALSE),CHAR(34),""),", "))</f>
        <v>REST API (Custom Connectors)</v>
      </c>
      <c r="L39" s="19" t="str" cm="1">
        <f t="array" aca="1" ref="L39:L46" ca="1">_xlfn.TOCOL(_xlfn.TEXTSPLIT(SUBSTITUTE(VLOOKUP(L$2,INDIRECT("'Platform review'!$C"&amp;_xlfn.XMATCH($A39,'Platform review'!$A$1:$A$127)&amp;":$E"&amp;_xlfn.XMATCH($A39,'Platform review'!$A$1:$A$127)+19),3,FALSE),CHAR(34),""),", "))</f>
        <v>+WYSIWYG</v>
      </c>
      <c r="M39" s="19" t="str" cm="1">
        <f t="array" aca="1" ref="M39:M41" ca="1">_xlfn.TOCOL(_xlfn.TEXTSPLIT(SUBSTITUTE(VLOOKUP(M$2,INDIRECT("'Platform review'!$C"&amp;_xlfn.XMATCH($A39,'Platform review'!$A$1:$A$127)&amp;":$E"&amp;_xlfn.XMATCH($A39,'Platform review'!$A$1:$A$127)+19),3,FALSE),CHAR(34),""),", "))</f>
        <v>Scripts (Deluge)</v>
      </c>
      <c r="N39" s="19" t="str" cm="1">
        <f t="array" aca="1" ref="N39:N43" ca="1">_xlfn.TOCOL(_xlfn.TEXTSPLIT(SUBSTITUTE(VLOOKUP(N$2,INDIRECT("'Platform review'!$C"&amp;_xlfn.XMATCH($A39,'Platform review'!$A$1:$A$127)&amp;":$E"&amp;_xlfn.XMATCH($A39,'Platform review'!$A$1:$A$127)+19),3,FALSE),CHAR(34),""),", "))</f>
        <v>+Built-in Connectors</v>
      </c>
      <c r="O39" s="19" t="str" cm="1">
        <f t="array" aca="1" ref="O39:O46" ca="1">_xlfn.TOCOL(_xlfn.TEXTSPLIT(SUBSTITUTE(VLOOKUP(O$2,INDIRECT("'Platform review'!$C"&amp;_xlfn.XMATCH($A39,'Platform review'!$A$1:$A$127)&amp;":$E"&amp;_xlfn.XMATCH($A39,'Platform review'!$A$1:$A$127)+19),3,FALSE),CHAR(34),""),", "))</f>
        <v>Scripts (Deluge)</v>
      </c>
      <c r="P39" s="6" t="s">
        <v>122</v>
      </c>
      <c r="Q39" s="19" t="str" cm="1">
        <f t="array" aca="1" ref="Q39:Q42" ca="1">_xlfn.TOCOL(_xlfn.TEXTSPLIT(SUBSTITUTE(VLOOKUP(Q$2,INDIRECT("'Platform review'!$C"&amp;_xlfn.XMATCH($A39,'Platform review'!$A$1:$A$127)&amp;":$E"&amp;_xlfn.XMATCH($A39,'Platform review'!$A$1:$A$127)+19),3,FALSE),CHAR(34),""),", "))</f>
        <v>SAML Authentication</v>
      </c>
      <c r="R39" s="19" t="str" cm="1">
        <f t="array" aca="1" ref="R39:R40" ca="1">_xlfn.TOCOL(_xlfn.TEXTSPLIT(SUBSTITUTE(VLOOKUP(R$2,INDIRECT("'Platform review'!$C"&amp;_xlfn.XMATCH($A39,'Platform review'!$A$1:$A$127)&amp;":$E"&amp;_xlfn.XMATCH($A39,'Platform review'!$A$1:$A$127)+19),3,FALSE),CHAR(34),""),", "))</f>
        <v>+Embedded Database (Postgres)</v>
      </c>
      <c r="S39" s="19" t="str" cm="1">
        <f t="array" aca="1" ref="S39:S40" ca="1">_xlfn.TOCOL(_xlfn.TEXTSPLIT(SUBSTITUTE(VLOOKUP(S$2,INDIRECT("'Platform review'!$C"&amp;_xlfn.XMATCH($A39,'Platform review'!$A$1:$A$127)&amp;":$E"&amp;_xlfn.XMATCH($A39,'Platform review'!$A$1:$A$127)+19),3,FALSE),CHAR(34),""),", "))</f>
        <v>Binaries</v>
      </c>
      <c r="T39" s="19" t="str" cm="1">
        <f t="array" aca="1" ref="T39:T43" ca="1">_xlfn.TOCOL(_xlfn.TEXTSPLIT(SUBSTITUTE(VLOOKUP(T$2,INDIRECT("'Platform review'!$C"&amp;_xlfn.XMATCH($A39,'Platform review'!$A$1:$A$127)&amp;":$E"&amp;_xlfn.XMATCH($A39,'Platform review'!$A$1:$A$127)+19),3,FALSE),CHAR(34),""),", "))</f>
        <v>Cloud Computing</v>
      </c>
      <c r="U39" s="19" t="str" cm="1">
        <f t="array" aca="1" ref="U39" ca="1">_xlfn.TOCOL(_xlfn.TEXTSPLIT(SUBSTITUTE(VLOOKUP(U$2,INDIRECT("'Platform review'!$C"&amp;_xlfn.XMATCH($A39,'Platform review'!$A$1:$A$127)&amp;":$E"&amp;_xlfn.XMATCH($A39,'Platform review'!$A$1:$A$127)+19),3,FALSE),CHAR(34),""),", "))</f>
        <v>Custom Version Control</v>
      </c>
      <c r="V39" s="6" t="s">
        <v>122</v>
      </c>
    </row>
    <row r="40" spans="1:22" x14ac:dyDescent="0.25">
      <c r="B40" s="6" t="s">
        <v>122</v>
      </c>
      <c r="C40" s="19"/>
      <c r="D40" s="19" t="str">
        <f ca="1"/>
        <v>+Form-based Data</v>
      </c>
      <c r="E40" s="19" t="str">
        <f ca="1"/>
        <v>+Business Data Types</v>
      </c>
      <c r="F40" s="19" t="str">
        <f ca="1"/>
        <v>Boolean Expressions</v>
      </c>
      <c r="G40" s="19" t="str">
        <f ca="1"/>
        <v>Variables</v>
      </c>
      <c r="H40" s="6" t="s">
        <v>122</v>
      </c>
      <c r="I40" s="19"/>
      <c r="J40" s="19" t="str">
        <f ca="1"/>
        <v>Entity Diagrams</v>
      </c>
      <c r="K40" s="19" t="str">
        <f ca="1"/>
        <v>OAuth</v>
      </c>
      <c r="L40" s="19" t="str">
        <f ca="1"/>
        <v>Snippets</v>
      </c>
      <c r="M40" s="19" t="str">
        <f ca="1"/>
        <v>Boolean Expressions</v>
      </c>
      <c r="N40" s="19" t="str">
        <f ca="1"/>
        <v>REST API</v>
      </c>
      <c r="O40" s="19" t="str">
        <f ca="1"/>
        <v>Snippets (ZML)</v>
      </c>
      <c r="P40" s="6" t="s">
        <v>122</v>
      </c>
      <c r="Q40" s="19" t="str">
        <f ca="1"/>
        <v>Email Server (SMTP)</v>
      </c>
      <c r="R40" s="19" t="str">
        <f ca="1"/>
        <v>Relational Database</v>
      </c>
      <c r="S40" s="19" t="str">
        <f ca="1"/>
        <v>URL Configuration</v>
      </c>
      <c r="T40" s="19" t="str">
        <f ca="1"/>
        <v>On-Premise</v>
      </c>
      <c r="U40" s="19"/>
      <c r="V40" s="6" t="s">
        <v>122</v>
      </c>
    </row>
    <row r="41" spans="1:22" x14ac:dyDescent="0.25">
      <c r="B41" s="6" t="s">
        <v>122</v>
      </c>
      <c r="C41" s="19"/>
      <c r="D41" s="19" t="str">
        <f ca="1"/>
        <v>Entity Diagrams</v>
      </c>
      <c r="E41" s="19" t="str">
        <f ca="1"/>
        <v>Variables</v>
      </c>
      <c r="F41" s="19" t="str">
        <f ca="1"/>
        <v>Conditional Expressions</v>
      </c>
      <c r="G41" s="19"/>
      <c r="H41" s="6" t="s">
        <v>122</v>
      </c>
      <c r="I41" s="19"/>
      <c r="J41" s="19" t="str">
        <f ca="1"/>
        <v>One-to-One</v>
      </c>
      <c r="K41" s="19" t="str">
        <f ca="1"/>
        <v>URL</v>
      </c>
      <c r="L41" s="19" t="str">
        <f ca="1"/>
        <v>Scripts</v>
      </c>
      <c r="M41" s="19" t="str">
        <f ca="1"/>
        <v>Conditional Expressions</v>
      </c>
      <c r="N41" s="19" t="str">
        <f ca="1"/>
        <v>Scripts (Deluge)</v>
      </c>
      <c r="O41" s="19" t="str">
        <f ca="1"/>
        <v>HTML</v>
      </c>
      <c r="P41" s="6" t="s">
        <v>122</v>
      </c>
      <c r="Q41" s="19" t="str">
        <f ca="1"/>
        <v>Proxy server</v>
      </c>
      <c r="R41" s="19"/>
      <c r="S41" s="19"/>
      <c r="T41" s="19" t="str">
        <f ca="1"/>
        <v>Application IDE</v>
      </c>
      <c r="U41" s="19"/>
      <c r="V41" s="6" t="s">
        <v>122</v>
      </c>
    </row>
    <row r="42" spans="1:22" x14ac:dyDescent="0.25">
      <c r="B42" s="6" t="s">
        <v>122</v>
      </c>
      <c r="C42" s="19"/>
      <c r="D42" s="19" t="str">
        <f ca="1"/>
        <v>One-to-One</v>
      </c>
      <c r="E42" s="19" t="str">
        <f ca="1"/>
        <v>Boolean Expressions</v>
      </c>
      <c r="F42" s="19"/>
      <c r="G42" s="19"/>
      <c r="H42" s="6" t="s">
        <v>122</v>
      </c>
      <c r="I42" s="19"/>
      <c r="J42" s="19" t="str">
        <f ca="1"/>
        <v>One-to-Many</v>
      </c>
      <c r="K42" s="19" t="str">
        <f ca="1"/>
        <v>Cloud Services</v>
      </c>
      <c r="L42" s="19" t="str">
        <f ca="1"/>
        <v>Variables</v>
      </c>
      <c r="M42" s="19"/>
      <c r="N42" s="19" t="str">
        <f ca="1"/>
        <v>Expressions</v>
      </c>
      <c r="O42" s="19" t="str">
        <f ca="1"/>
        <v>IDE</v>
      </c>
      <c r="P42" s="6" t="s">
        <v>122</v>
      </c>
      <c r="Q42" s="19" t="str">
        <f ca="1"/>
        <v>SSL Certificates</v>
      </c>
      <c r="R42" s="19"/>
      <c r="S42" s="19"/>
      <c r="T42" s="19" t="str">
        <f ca="1"/>
        <v>Import/Export</v>
      </c>
      <c r="U42" s="19"/>
      <c r="V42" s="6" t="s">
        <v>122</v>
      </c>
    </row>
    <row r="43" spans="1:22" x14ac:dyDescent="0.25">
      <c r="B43" s="6" t="s">
        <v>122</v>
      </c>
      <c r="C43" s="19"/>
      <c r="D43" s="19" t="str">
        <f ca="1"/>
        <v>One-to-Many</v>
      </c>
      <c r="E43" s="19" t="str">
        <f ca="1"/>
        <v>Conditional Expressions</v>
      </c>
      <c r="F43" s="19"/>
      <c r="G43" s="19"/>
      <c r="H43" s="6" t="s">
        <v>122</v>
      </c>
      <c r="I43" s="19"/>
      <c r="J43" s="19" t="str">
        <f ca="1"/>
        <v>Many-to-Many</v>
      </c>
      <c r="K43" s="19" t="str">
        <f ca="1"/>
        <v>Local Storage</v>
      </c>
      <c r="L43" s="19" t="str">
        <f ca="1"/>
        <v>IT Data Types</v>
      </c>
      <c r="M43" s="19"/>
      <c r="N43" s="19" t="str">
        <f ca="1"/>
        <v>Conditional Expressions</v>
      </c>
      <c r="O43" s="19" t="str">
        <f ca="1"/>
        <v>Markup Language</v>
      </c>
      <c r="P43" s="6" t="s">
        <v>122</v>
      </c>
      <c r="Q43" s="19"/>
      <c r="R43" s="19"/>
      <c r="S43" s="19"/>
      <c r="T43" s="19" t="str">
        <f ca="1"/>
        <v>Scripts</v>
      </c>
      <c r="U43" s="19"/>
      <c r="V43" s="6" t="s">
        <v>122</v>
      </c>
    </row>
    <row r="44" spans="1:22" x14ac:dyDescent="0.25">
      <c r="B44" s="6" t="s">
        <v>122</v>
      </c>
      <c r="C44" s="19"/>
      <c r="D44" s="19" t="str">
        <f ca="1"/>
        <v>Many-to-Many</v>
      </c>
      <c r="E44" s="19"/>
      <c r="F44" s="19"/>
      <c r="G44" s="19"/>
      <c r="H44" s="6" t="s">
        <v>122</v>
      </c>
      <c r="I44" s="19"/>
      <c r="J44" s="19" t="str">
        <f ca="1"/>
        <v>+Business Data Types</v>
      </c>
      <c r="K44" s="19" t="str">
        <f ca="1"/>
        <v>+Integrated Data Sources</v>
      </c>
      <c r="L44" s="19" t="str">
        <f ca="1"/>
        <v>Programming Functions</v>
      </c>
      <c r="M44" s="19"/>
      <c r="N44" s="19"/>
      <c r="O44" s="19" t="str">
        <f ca="1"/>
        <v>Boolean Expressions</v>
      </c>
      <c r="P44" s="6" t="s">
        <v>122</v>
      </c>
      <c r="Q44" s="19"/>
      <c r="R44" s="19"/>
      <c r="S44" s="19"/>
      <c r="T44" s="19"/>
      <c r="U44" s="19"/>
      <c r="V44" s="6" t="s">
        <v>122</v>
      </c>
    </row>
    <row r="45" spans="1:22" x14ac:dyDescent="0.25">
      <c r="B45" s="6" t="s">
        <v>122</v>
      </c>
      <c r="C45" s="19"/>
      <c r="D45" s="19" t="str">
        <f ca="1"/>
        <v>+Business Data Types</v>
      </c>
      <c r="E45" s="19"/>
      <c r="F45" s="19"/>
      <c r="G45" s="19"/>
      <c r="H45" s="6" t="s">
        <v>122</v>
      </c>
      <c r="I45" s="19"/>
      <c r="J45" s="19"/>
      <c r="K45" s="19"/>
      <c r="L45" s="19" t="str">
        <f ca="1"/>
        <v>HTML</v>
      </c>
      <c r="M45" s="19"/>
      <c r="N45" s="19"/>
      <c r="O45" s="19" t="str">
        <f ca="1"/>
        <v>Iteration Statements</v>
      </c>
      <c r="P45" s="6" t="s">
        <v>122</v>
      </c>
      <c r="Q45" s="19"/>
      <c r="R45" s="19"/>
      <c r="S45" s="19"/>
      <c r="T45" s="19"/>
      <c r="U45" s="19"/>
      <c r="V45" s="6" t="s">
        <v>122</v>
      </c>
    </row>
    <row r="46" spans="1:22" x14ac:dyDescent="0.25">
      <c r="B46" s="6" t="s">
        <v>122</v>
      </c>
      <c r="C46" s="19"/>
      <c r="D46" s="19"/>
      <c r="E46" s="19"/>
      <c r="F46" s="19"/>
      <c r="G46" s="19"/>
      <c r="H46" s="6" t="s">
        <v>122</v>
      </c>
      <c r="I46" s="19"/>
      <c r="J46" s="19"/>
      <c r="K46" s="19"/>
      <c r="L46" s="19" t="str">
        <f ca="1"/>
        <v xml:space="preserve">+GUI Style Editor </v>
      </c>
      <c r="M46" s="19"/>
      <c r="N46" s="19"/>
      <c r="O46" s="19" t="str">
        <f ca="1"/>
        <v>Conditional Expressions</v>
      </c>
      <c r="P46" s="6" t="s">
        <v>122</v>
      </c>
      <c r="Q46" s="19"/>
      <c r="R46" s="19"/>
      <c r="S46" s="19"/>
      <c r="T46" s="19"/>
      <c r="U46" s="19"/>
      <c r="V46" s="6" t="s">
        <v>122</v>
      </c>
    </row>
    <row r="47" spans="1:22" x14ac:dyDescent="0.25">
      <c r="B47" s="6" t="s">
        <v>122</v>
      </c>
      <c r="C47" s="19"/>
      <c r="D47" s="19"/>
      <c r="E47" s="19"/>
      <c r="F47" s="19"/>
      <c r="G47" s="19"/>
      <c r="H47" s="6" t="s">
        <v>122</v>
      </c>
      <c r="I47" s="19"/>
      <c r="J47" s="19"/>
      <c r="K47" s="19"/>
      <c r="L47" s="19"/>
      <c r="M47" s="19"/>
      <c r="N47" s="19"/>
      <c r="O47" s="19"/>
      <c r="P47" s="6" t="s">
        <v>122</v>
      </c>
      <c r="Q47" s="19"/>
      <c r="R47" s="19"/>
      <c r="S47" s="19"/>
      <c r="T47" s="19"/>
      <c r="U47" s="19"/>
      <c r="V47" s="6" t="s">
        <v>122</v>
      </c>
    </row>
    <row r="48" spans="1:22" x14ac:dyDescent="0.25">
      <c r="B48" s="6" t="s">
        <v>122</v>
      </c>
      <c r="C48" s="19"/>
      <c r="D48" s="19"/>
      <c r="E48" s="19"/>
      <c r="F48" s="19"/>
      <c r="G48" s="19"/>
      <c r="H48" s="6" t="s">
        <v>122</v>
      </c>
      <c r="I48" s="19"/>
      <c r="J48" s="19"/>
      <c r="K48" s="19"/>
      <c r="L48" s="19"/>
      <c r="M48" s="19"/>
      <c r="N48" s="19"/>
      <c r="O48" s="19"/>
      <c r="P48" s="6" t="s">
        <v>122</v>
      </c>
      <c r="Q48" s="19"/>
      <c r="R48" s="19"/>
      <c r="S48" s="19"/>
      <c r="T48" s="19"/>
      <c r="U48" s="19"/>
      <c r="V48" s="6" t="s">
        <v>122</v>
      </c>
    </row>
    <row r="49" spans="1:22" x14ac:dyDescent="0.25">
      <c r="B49" s="6" t="s">
        <v>122</v>
      </c>
      <c r="C49" s="19"/>
      <c r="D49" s="19"/>
      <c r="E49" s="19"/>
      <c r="F49" s="19"/>
      <c r="G49" s="19"/>
      <c r="H49" s="6" t="s">
        <v>122</v>
      </c>
      <c r="I49" s="19"/>
      <c r="J49" s="19"/>
      <c r="K49" s="19"/>
      <c r="L49" s="19"/>
      <c r="M49" s="19"/>
      <c r="N49" s="19"/>
      <c r="O49" s="19"/>
      <c r="P49" s="6" t="s">
        <v>122</v>
      </c>
      <c r="Q49" s="19"/>
      <c r="R49" s="19"/>
      <c r="S49" s="19"/>
      <c r="T49" s="19"/>
      <c r="U49" s="19"/>
      <c r="V49" s="6" t="s">
        <v>122</v>
      </c>
    </row>
    <row r="50" spans="1:22" x14ac:dyDescent="0.25">
      <c r="B50" s="6" t="s">
        <v>122</v>
      </c>
      <c r="C50" s="19"/>
      <c r="D50" s="19"/>
      <c r="E50" s="19"/>
      <c r="F50" s="19"/>
      <c r="G50" s="19"/>
      <c r="H50" s="6" t="s">
        <v>122</v>
      </c>
      <c r="I50" s="19"/>
      <c r="J50" s="19"/>
      <c r="K50" s="19"/>
      <c r="L50" s="19"/>
      <c r="M50" s="19"/>
      <c r="N50" s="19"/>
      <c r="O50" s="19"/>
      <c r="P50" s="6" t="s">
        <v>122</v>
      </c>
      <c r="Q50" s="19"/>
      <c r="R50" s="19"/>
      <c r="S50" s="19"/>
      <c r="T50" s="19"/>
      <c r="U50" s="19"/>
      <c r="V50" s="6" t="s">
        <v>122</v>
      </c>
    </row>
    <row r="51" spans="1:22" x14ac:dyDescent="0.25">
      <c r="B51" s="6" t="s">
        <v>122</v>
      </c>
      <c r="C51" s="19"/>
      <c r="D51" s="19"/>
      <c r="E51" s="19"/>
      <c r="F51" s="19"/>
      <c r="G51" s="19"/>
      <c r="H51" s="6" t="s">
        <v>122</v>
      </c>
      <c r="I51" s="19"/>
      <c r="J51" s="19"/>
      <c r="K51" s="19"/>
      <c r="L51" s="19"/>
      <c r="M51" s="19"/>
      <c r="N51" s="19"/>
      <c r="O51" s="19"/>
      <c r="P51" s="6" t="s">
        <v>122</v>
      </c>
      <c r="Q51" s="19"/>
      <c r="R51" s="19"/>
      <c r="S51" s="19"/>
      <c r="T51" s="19"/>
      <c r="U51" s="19"/>
      <c r="V51" s="6" t="s">
        <v>122</v>
      </c>
    </row>
    <row r="52" spans="1:22" x14ac:dyDescent="0.25">
      <c r="B52" s="6" t="s">
        <v>122</v>
      </c>
      <c r="C52" s="19"/>
      <c r="D52" s="19"/>
      <c r="E52" s="19"/>
      <c r="F52" s="19"/>
      <c r="G52" s="19"/>
      <c r="H52" s="6" t="s">
        <v>122</v>
      </c>
      <c r="I52" s="19"/>
      <c r="J52" s="19"/>
      <c r="K52" s="19"/>
      <c r="L52" s="19"/>
      <c r="M52" s="19"/>
      <c r="N52" s="19"/>
      <c r="O52" s="19"/>
      <c r="P52" s="6" t="s">
        <v>122</v>
      </c>
      <c r="Q52" s="19"/>
      <c r="R52" s="19"/>
      <c r="S52" s="19"/>
      <c r="T52" s="19"/>
      <c r="U52" s="19"/>
      <c r="V52" s="6" t="s">
        <v>122</v>
      </c>
    </row>
    <row r="53" spans="1:22" x14ac:dyDescent="0.25">
      <c r="B53" s="6" t="s">
        <v>122</v>
      </c>
      <c r="C53" s="19"/>
      <c r="D53" s="19"/>
      <c r="E53" s="19"/>
      <c r="F53" s="19"/>
      <c r="G53" s="19"/>
      <c r="H53" s="6" t="s">
        <v>122</v>
      </c>
      <c r="I53" s="19"/>
      <c r="J53" s="19"/>
      <c r="K53" s="19"/>
      <c r="L53" s="19"/>
      <c r="M53" s="19"/>
      <c r="N53" s="19"/>
      <c r="O53" s="19"/>
      <c r="P53" s="6" t="s">
        <v>122</v>
      </c>
      <c r="Q53" s="19"/>
      <c r="R53" s="19"/>
      <c r="S53" s="19"/>
      <c r="T53" s="19"/>
      <c r="U53" s="19"/>
      <c r="V53" s="6" t="s">
        <v>122</v>
      </c>
    </row>
    <row r="54" spans="1:22" x14ac:dyDescent="0.25">
      <c r="B54" s="6" t="s">
        <v>122</v>
      </c>
      <c r="C54" s="19"/>
      <c r="D54" s="19"/>
      <c r="E54" s="19"/>
      <c r="F54" s="19"/>
      <c r="G54" s="19"/>
      <c r="H54" s="6" t="s">
        <v>122</v>
      </c>
      <c r="I54" s="19"/>
      <c r="J54" s="19"/>
      <c r="K54" s="19"/>
      <c r="L54" s="19"/>
      <c r="M54" s="19"/>
      <c r="N54" s="19"/>
      <c r="O54" s="19"/>
      <c r="P54" s="6" t="s">
        <v>122</v>
      </c>
      <c r="Q54" s="19"/>
      <c r="R54" s="19"/>
      <c r="S54" s="19"/>
      <c r="T54" s="19"/>
      <c r="U54" s="19"/>
      <c r="V54" s="6" t="s">
        <v>122</v>
      </c>
    </row>
    <row r="55" spans="1:22" x14ac:dyDescent="0.25">
      <c r="B55" s="6" t="s">
        <v>122</v>
      </c>
      <c r="C55" s="19"/>
      <c r="D55" s="19"/>
      <c r="E55" s="19"/>
      <c r="F55" s="19"/>
      <c r="G55" s="19"/>
      <c r="H55" s="6" t="s">
        <v>122</v>
      </c>
      <c r="I55" s="19"/>
      <c r="J55" s="19"/>
      <c r="K55" s="19"/>
      <c r="L55" s="19"/>
      <c r="M55" s="19"/>
      <c r="N55" s="19"/>
      <c r="O55" s="19"/>
      <c r="P55" s="6" t="s">
        <v>122</v>
      </c>
      <c r="Q55" s="19"/>
      <c r="R55" s="19"/>
      <c r="S55" s="19"/>
      <c r="T55" s="19"/>
      <c r="U55" s="19"/>
      <c r="V55" s="6" t="s">
        <v>122</v>
      </c>
    </row>
    <row r="56" spans="1:22" x14ac:dyDescent="0.25">
      <c r="A56" s="23"/>
      <c r="B56" s="24" t="s">
        <v>122</v>
      </c>
      <c r="C56" s="25"/>
      <c r="D56" s="25"/>
      <c r="E56" s="25"/>
      <c r="F56" s="25"/>
      <c r="G56" s="25"/>
      <c r="H56" s="24" t="s">
        <v>122</v>
      </c>
      <c r="I56" s="25"/>
      <c r="J56" s="25"/>
      <c r="K56" s="25"/>
      <c r="L56" s="25"/>
      <c r="M56" s="25"/>
      <c r="N56" s="25"/>
      <c r="O56" s="25"/>
      <c r="P56" s="24" t="s">
        <v>122</v>
      </c>
      <c r="Q56" s="25"/>
      <c r="R56" s="25"/>
      <c r="S56" s="25"/>
      <c r="T56" s="25"/>
      <c r="U56" s="25"/>
      <c r="V56" s="24" t="s">
        <v>122</v>
      </c>
    </row>
    <row r="57" spans="1:22" x14ac:dyDescent="0.25">
      <c r="A57" s="4" t="s">
        <v>79</v>
      </c>
      <c r="B57" s="6" t="s">
        <v>122</v>
      </c>
      <c r="C57" s="19" t="str" cm="1">
        <f t="array" aca="1" ref="C57" ca="1">_xlfn.TOCOL(_xlfn.TEXTSPLIT(SUBSTITUTE(VLOOKUP(C$2,INDIRECT("'Platform review'!$C"&amp;_xlfn.XMATCH($A57,'Platform review'!$A$1:$A$127)&amp;":$E"&amp;_xlfn.XMATCH($A57,'Platform review'!$A$1:$A$127)+19),3,FALSE),CHAR(34),""),", "))</f>
        <v>Custom Process Model</v>
      </c>
      <c r="D57" s="19" t="str" cm="1">
        <f t="array" aca="1" ref="D57:D61" ca="1">_xlfn.TOCOL(_xlfn.TEXTSPLIT(SUBSTITUTE(VLOOKUP(D$2,INDIRECT("'Platform review'!$C"&amp;_xlfn.XMATCH($A57,'Platform review'!$A$1:$A$127)&amp;":$E"&amp;_xlfn.XMATCH($A57,'Platform review'!$A$1:$A$127)+19),3,FALSE),CHAR(34),""),", "))</f>
        <v>Entity Relationships</v>
      </c>
      <c r="E57" s="19" t="str" cm="1">
        <f t="array" aca="1" ref="E57:E59" ca="1">_xlfn.TOCOL(_xlfn.TEXTSPLIT(SUBSTITUTE(VLOOKUP(E$2,INDIRECT("'Platform review'!$C"&amp;_xlfn.XMATCH($A57,'Platform review'!$A$1:$A$127)&amp;":$E"&amp;_xlfn.XMATCH($A57,'Platform review'!$A$1:$A$127)+19),3,FALSE),CHAR(34),""),", "))</f>
        <v>Model-driven Apps</v>
      </c>
      <c r="F57" s="19" t="str" cm="1">
        <f t="array" aca="1" ref="F57:F59" ca="1">_xlfn.TOCOL(_xlfn.TEXTSPLIT(SUBSTITUTE(VLOOKUP(F$2,INDIRECT("'Platform review'!$C"&amp;_xlfn.XMATCH($A57,'Platform review'!$A$1:$A$127)&amp;":$E"&amp;_xlfn.XMATCH($A57,'Platform review'!$A$1:$A$127)+19),3,FALSE),CHAR(34),""),", "))</f>
        <v>Boolean Expressions</v>
      </c>
      <c r="G57" s="19" t="str" cm="1">
        <f t="array" aca="1" ref="G57:G62" ca="1">_xlfn.TOCOL(_xlfn.TEXTSPLIT(SUBSTITUTE(VLOOKUP(G$2,INDIRECT("'Platform review'!$C"&amp;_xlfn.XMATCH($A57,'Platform review'!$A$1:$A$127)&amp;":$E"&amp;_xlfn.XMATCH($A57,'Platform review'!$A$1:$A$127)+19),3,FALSE),CHAR(34),""),", "))</f>
        <v>Formulas</v>
      </c>
      <c r="H57" s="6" t="s">
        <v>122</v>
      </c>
      <c r="I57" s="19" t="str" cm="1">
        <f t="array" aca="1" ref="I57" ca="1">_xlfn.TOCOL(_xlfn.TEXTSPLIT(SUBSTITUTE(VLOOKUP(I$2,INDIRECT("'Platform review'!$C"&amp;_xlfn.XMATCH($A57,'Platform review'!$A$1:$A$127)&amp;":$E"&amp;_xlfn.XMATCH($A57,'Platform review'!$A$1:$A$127)+19),3,FALSE),CHAR(34),""),", "))</f>
        <v>Custom Process Model (Business Process Flows)</v>
      </c>
      <c r="J57" s="19" t="str" cm="1">
        <f t="array" aca="1" ref="J57:J64" ca="1">_xlfn.TOCOL(_xlfn.TEXTSPLIT(SUBSTITUTE(VLOOKUP(J$2,INDIRECT("'Platform review'!$C"&amp;_xlfn.XMATCH($A57,'Platform review'!$A$1:$A$127)&amp;":$E"&amp;_xlfn.XMATCH($A57,'Platform review'!$A$1:$A$127)+19),3,FALSE),CHAR(34),""),", "))</f>
        <v>Web API (Microsoft Dataverse)</v>
      </c>
      <c r="K57" s="19" t="str" cm="1">
        <f t="array" aca="1" ref="K57:K62" ca="1">_xlfn.TOCOL(_xlfn.TEXTSPLIT(SUBSTITUTE(VLOOKUP(K$2,INDIRECT("'Platform review'!$C"&amp;_xlfn.XMATCH($A57,'Platform review'!$A$1:$A$127)&amp;":$E"&amp;_xlfn.XMATCH($A57,'Platform review'!$A$1:$A$127)+19),3,FALSE),CHAR(34),""),", "))</f>
        <v>Web API (Microsoft Dataverse)</v>
      </c>
      <c r="L57" s="19" t="str" cm="1">
        <f t="array" aca="1" ref="L57:L62" ca="1">_xlfn.TOCOL(_xlfn.TEXTSPLIT(SUBSTITUTE(VLOOKUP(L$2,INDIRECT("'Platform review'!$C"&amp;_xlfn.XMATCH($A57,'Platform review'!$A$1:$A$127)&amp;":$E"&amp;_xlfn.XMATCH($A57,'Platform review'!$A$1:$A$127)+19),3,FALSE),CHAR(34),""),", "))</f>
        <v>+AI Support (Copilot - Build apps through conversation)</v>
      </c>
      <c r="M57" s="19" t="str" cm="1">
        <f t="array" aca="1" ref="M57:M59" ca="1">_xlfn.TOCOL(_xlfn.TEXTSPLIT(SUBSTITUTE(VLOOKUP(M$2,INDIRECT("'Platform review'!$C"&amp;_xlfn.XMATCH($A57,'Platform review'!$A$1:$A$127)&amp;":$E"&amp;_xlfn.XMATCH($A57,'Platform review'!$A$1:$A$127)+19),3,FALSE),CHAR(34),""),", "))</f>
        <v>Boolean Expressions</v>
      </c>
      <c r="N57" s="19" t="str" cm="1">
        <f t="array" aca="1" ref="N57:N61" ca="1">_xlfn.TOCOL(_xlfn.TEXTSPLIT(SUBSTITUTE(VLOOKUP(N$2,INDIRECT("'Platform review'!$C"&amp;_xlfn.XMATCH($A57,'Platform review'!$A$1:$A$127)&amp;":$E"&amp;_xlfn.XMATCH($A57,'Platform review'!$A$1:$A$127)+19),3,FALSE),CHAR(34),""),", "))</f>
        <v>API</v>
      </c>
      <c r="O57" s="19" t="str" cm="1">
        <f t="array" aca="1" ref="O57:O72" ca="1">_xlfn.TOCOL(_xlfn.TEXTSPLIT(SUBSTITUTE(VLOOKUP(O$2,INDIRECT("'Platform review'!$C"&amp;_xlfn.XMATCH($A57,'Platform review'!$A$1:$A$127)&amp;":$E"&amp;_xlfn.XMATCH($A57,'Platform review'!$A$1:$A$127)+19),3,FALSE),CHAR(34),""),", "))</f>
        <v>SDK</v>
      </c>
      <c r="P57" s="6" t="s">
        <v>122</v>
      </c>
      <c r="Q57" s="19" t="str" cm="1">
        <f t="array" aca="1" ref="Q57" ca="1">_xlfn.TOCOL(_xlfn.TEXTSPLIT(SUBSTITUTE(VLOOKUP(Q$2,INDIRECT("'Platform review'!$C"&amp;_xlfn.XMATCH($A57,'Platform review'!$A$1:$A$127)&amp;":$E"&amp;_xlfn.XMATCH($A57,'Platform review'!$A$1:$A$127)+19),3,FALSE),CHAR(34),""),", "))</f>
        <v>+Cloud Based Environment</v>
      </c>
      <c r="R57" s="19" t="str" cm="1">
        <f t="array" aca="1" ref="R57:R58" ca="1">_xlfn.TOCOL(_xlfn.TEXTSPLIT(SUBSTITUTE(VLOOKUP(R$2,INDIRECT("'Platform review'!$C"&amp;_xlfn.XMATCH($A57,'Platform review'!$A$1:$A$127)&amp;":$E"&amp;_xlfn.XMATCH($A57,'Platform review'!$A$1:$A$127)+19),3,FALSE),CHAR(34),""),", "))</f>
        <v>+Embedded Database (Microsoft Dataverse)</v>
      </c>
      <c r="S57" s="19" t="str" cm="1">
        <f t="array" aca="1" ref="S57:S59" ca="1">_xlfn.TOCOL(_xlfn.TEXTSPLIT(SUBSTITUTE(VLOOKUP(S$2,INDIRECT("'Platform review'!$C"&amp;_xlfn.XMATCH($A57,'Platform review'!$A$1:$A$127)&amp;":$E"&amp;_xlfn.XMATCH($A57,'Platform review'!$A$1:$A$127)+19),3,FALSE),CHAR(34),""),", "))</f>
        <v>+Web Browser</v>
      </c>
      <c r="T57" s="19" t="str" cm="1">
        <f t="array" aca="1" ref="T57:T58" ca="1">_xlfn.TOCOL(_xlfn.TEXTSPLIT(SUBSTITUTE(VLOOKUP(T$2,INDIRECT("'Platform review'!$C"&amp;_xlfn.XMATCH($A57,'Platform review'!$A$1:$A$127)&amp;":$E"&amp;_xlfn.XMATCH($A57,'Platform review'!$A$1:$A$127)+19),3,FALSE),CHAR(34),""),", "))</f>
        <v>On-premises Data Gateway</v>
      </c>
      <c r="U57" s="19" t="str" cm="1">
        <f t="array" aca="1" ref="U57:U58" ca="1">_xlfn.TOCOL(_xlfn.TEXTSPLIT(SUBSTITUTE(VLOOKUP(U$2,INDIRECT("'Platform review'!$C"&amp;_xlfn.XMATCH($A57,'Platform review'!$A$1:$A$127)&amp;":$E"&amp;_xlfn.XMATCH($A57,'Platform review'!$A$1:$A$127)+19),3,FALSE),CHAR(34),""),", "))</f>
        <v>Git</v>
      </c>
      <c r="V57" s="6" t="s">
        <v>122</v>
      </c>
    </row>
    <row r="58" spans="1:22" x14ac:dyDescent="0.25">
      <c r="B58" s="6" t="s">
        <v>122</v>
      </c>
      <c r="C58" s="19"/>
      <c r="D58" s="19" t="str">
        <f ca="1"/>
        <v>+Predefined Entities</v>
      </c>
      <c r="E58" s="19" t="str">
        <f ca="1"/>
        <v>+Screen Templates / Sample Power Apps</v>
      </c>
      <c r="F58" s="19" t="str">
        <f ca="1"/>
        <v>Conditional Expressions</v>
      </c>
      <c r="G58" s="19" t="str">
        <f ca="1"/>
        <v>Variables</v>
      </c>
      <c r="H58" s="6" t="s">
        <v>122</v>
      </c>
      <c r="I58" s="19"/>
      <c r="J58" s="19" t="str">
        <f ca="1"/>
        <v>Types</v>
      </c>
      <c r="K58" s="19" t="str">
        <f ca="1"/>
        <v>SDK</v>
      </c>
      <c r="L58" s="19" t="str">
        <f ca="1"/>
        <v>+Templatized Formulas</v>
      </c>
      <c r="M58" s="19" t="str">
        <f ca="1"/>
        <v>Conditional Expressions</v>
      </c>
      <c r="N58" s="19" t="str">
        <f ca="1"/>
        <v>JavaScript</v>
      </c>
      <c r="O58" s="19" t="str">
        <f ca="1"/>
        <v>.NET</v>
      </c>
      <c r="P58" s="6" t="s">
        <v>122</v>
      </c>
      <c r="Q58" s="19"/>
      <c r="R58" s="19" t="str">
        <f ca="1"/>
        <v>Relational Database (MS SQL Server)</v>
      </c>
      <c r="S58" s="19" t="str">
        <f ca="1"/>
        <v>+Mobile App</v>
      </c>
      <c r="T58" s="19" t="str">
        <f ca="1"/>
        <v>+Software as a Service</v>
      </c>
      <c r="U58" s="19" t="str">
        <f ca="1"/>
        <v>Code Repository Concept</v>
      </c>
      <c r="V58" s="6" t="s">
        <v>122</v>
      </c>
    </row>
    <row r="59" spans="1:22" x14ac:dyDescent="0.25">
      <c r="B59" s="6" t="s">
        <v>122</v>
      </c>
      <c r="C59" s="19"/>
      <c r="D59" s="19" t="str">
        <f ca="1"/>
        <v>One-to-One</v>
      </c>
      <c r="E59" s="19" t="str">
        <f ca="1"/>
        <v>Responsive Web Design</v>
      </c>
      <c r="F59" s="19" t="str">
        <f ca="1"/>
        <v>+Business Rules (graphical)</v>
      </c>
      <c r="G59" s="19" t="str">
        <f ca="1"/>
        <v>+Power Fx - an Open-source programming language for low-code</v>
      </c>
      <c r="H59" s="6" t="s">
        <v>122</v>
      </c>
      <c r="I59" s="19"/>
      <c r="J59" s="19" t="str">
        <f ca="1"/>
        <v>Functions</v>
      </c>
      <c r="K59" s="19" t="str">
        <f ca="1"/>
        <v>.NET</v>
      </c>
      <c r="L59" s="19" t="str">
        <f ca="1"/>
        <v>IT Data Types</v>
      </c>
      <c r="M59" s="19" t="str">
        <f ca="1"/>
        <v>+Business Rules (graphical)</v>
      </c>
      <c r="N59" s="19" t="str">
        <f ca="1"/>
        <v>Expressions</v>
      </c>
      <c r="O59" s="19" t="str">
        <f ca="1"/>
        <v>Web API</v>
      </c>
      <c r="P59" s="6" t="s">
        <v>122</v>
      </c>
      <c r="Q59" s="19"/>
      <c r="R59" s="19"/>
      <c r="S59" s="19" t="str">
        <f ca="1"/>
        <v>Web Services</v>
      </c>
      <c r="T59" s="19"/>
      <c r="U59" s="19"/>
      <c r="V59" s="6" t="s">
        <v>122</v>
      </c>
    </row>
    <row r="60" spans="1:22" x14ac:dyDescent="0.25">
      <c r="B60" s="6" t="s">
        <v>122</v>
      </c>
      <c r="C60" s="19"/>
      <c r="D60" s="19" t="str">
        <f ca="1"/>
        <v>One-to-Many</v>
      </c>
      <c r="E60" s="19"/>
      <c r="F60" s="19"/>
      <c r="G60" s="19" t="str">
        <f ca="1"/>
        <v>+NLP</v>
      </c>
      <c r="H60" s="6" t="s">
        <v>122</v>
      </c>
      <c r="I60" s="19"/>
      <c r="J60" s="19" t="str">
        <f ca="1"/>
        <v>Actions</v>
      </c>
      <c r="K60" s="19" t="str">
        <f ca="1"/>
        <v>SQL (Azure SQL Database)</v>
      </c>
      <c r="L60" s="19" t="str">
        <f ca="1"/>
        <v>Programming Functions</v>
      </c>
      <c r="M60" s="19"/>
      <c r="N60" s="19" t="str">
        <f ca="1"/>
        <v>Conditional Expressions</v>
      </c>
      <c r="O60" s="19" t="str">
        <f ca="1"/>
        <v>Entity Types</v>
      </c>
      <c r="P60" s="6" t="s">
        <v>122</v>
      </c>
      <c r="Q60" s="19"/>
      <c r="R60" s="19"/>
      <c r="S60" s="19"/>
      <c r="T60" s="19"/>
      <c r="U60" s="19"/>
      <c r="V60" s="6" t="s">
        <v>122</v>
      </c>
    </row>
    <row r="61" spans="1:22" x14ac:dyDescent="0.25">
      <c r="B61" s="6" t="s">
        <v>122</v>
      </c>
      <c r="C61" s="19"/>
      <c r="D61" s="19" t="str">
        <f ca="1"/>
        <v>Many-to-Many</v>
      </c>
      <c r="E61" s="19"/>
      <c r="F61" s="19"/>
      <c r="G61" s="19" t="str">
        <f ca="1"/>
        <v>Boolean Expressions</v>
      </c>
      <c r="H61" s="6" t="s">
        <v>122</v>
      </c>
      <c r="I61" s="19"/>
      <c r="J61" s="19" t="str">
        <f ca="1"/>
        <v>One-to-One</v>
      </c>
      <c r="K61" s="19" t="str">
        <f ca="1"/>
        <v>Custom Query Language (Power Query M formula)</v>
      </c>
      <c r="L61" s="19" t="str">
        <f ca="1"/>
        <v>XML</v>
      </c>
      <c r="M61" s="19"/>
      <c r="N61" s="19" t="str">
        <f ca="1"/>
        <v>Object Model</v>
      </c>
      <c r="O61" s="19" t="str">
        <f ca="1"/>
        <v>Functions</v>
      </c>
      <c r="P61" s="6" t="s">
        <v>122</v>
      </c>
      <c r="Q61" s="19"/>
      <c r="R61" s="19"/>
      <c r="S61" s="19"/>
      <c r="T61" s="19"/>
      <c r="U61" s="19"/>
      <c r="V61" s="6" t="s">
        <v>122</v>
      </c>
    </row>
    <row r="62" spans="1:22" x14ac:dyDescent="0.25">
      <c r="B62" s="6" t="s">
        <v>122</v>
      </c>
      <c r="C62" s="19"/>
      <c r="D62" s="19"/>
      <c r="E62" s="19"/>
      <c r="F62" s="19"/>
      <c r="G62" s="19" t="str">
        <f ca="1"/>
        <v>Conditional Expressions</v>
      </c>
      <c r="H62" s="6" t="s">
        <v>122</v>
      </c>
      <c r="I62" s="19"/>
      <c r="J62" s="19" t="str">
        <f ca="1"/>
        <v>One-to-Many</v>
      </c>
      <c r="K62" s="19" t="str">
        <f ca="1"/>
        <v>Formulas</v>
      </c>
      <c r="L62" s="19" t="str">
        <f ca="1"/>
        <v>JavaScript</v>
      </c>
      <c r="M62" s="19"/>
      <c r="N62" s="19"/>
      <c r="O62" s="19" t="str">
        <f ca="1"/>
        <v>Query Functions</v>
      </c>
      <c r="P62" s="6" t="s">
        <v>122</v>
      </c>
      <c r="Q62" s="19"/>
      <c r="R62" s="19"/>
      <c r="S62" s="19"/>
      <c r="T62" s="19"/>
      <c r="U62" s="19"/>
      <c r="V62" s="6" t="s">
        <v>122</v>
      </c>
    </row>
    <row r="63" spans="1:22" x14ac:dyDescent="0.25">
      <c r="B63" s="6" t="s">
        <v>122</v>
      </c>
      <c r="C63" s="19"/>
      <c r="D63" s="19"/>
      <c r="E63" s="19"/>
      <c r="F63" s="19"/>
      <c r="G63" s="19"/>
      <c r="H63" s="6" t="s">
        <v>122</v>
      </c>
      <c r="I63" s="19"/>
      <c r="J63" s="19" t="str">
        <f ca="1"/>
        <v>Many-to-Many</v>
      </c>
      <c r="K63" s="19"/>
      <c r="L63" s="19"/>
      <c r="M63" s="19"/>
      <c r="N63" s="19"/>
      <c r="O63" s="19" t="str">
        <f ca="1"/>
        <v>Complex Types</v>
      </c>
      <c r="P63" s="6" t="s">
        <v>122</v>
      </c>
      <c r="Q63" s="19"/>
      <c r="R63" s="19"/>
      <c r="S63" s="19"/>
      <c r="T63" s="19"/>
      <c r="U63" s="19"/>
      <c r="V63" s="6" t="s">
        <v>122</v>
      </c>
    </row>
    <row r="64" spans="1:22" x14ac:dyDescent="0.25">
      <c r="B64" s="6" t="s">
        <v>122</v>
      </c>
      <c r="C64" s="19"/>
      <c r="D64" s="19"/>
      <c r="E64" s="19"/>
      <c r="F64" s="19"/>
      <c r="G64" s="19"/>
      <c r="H64" s="6" t="s">
        <v>122</v>
      </c>
      <c r="I64" s="19"/>
      <c r="J64" s="19" t="str">
        <f ca="1"/>
        <v>+Business Data Types</v>
      </c>
      <c r="K64" s="19"/>
      <c r="L64" s="19"/>
      <c r="M64" s="19"/>
      <c r="N64" s="19"/>
      <c r="O64" s="19" t="str">
        <f ca="1"/>
        <v>EnumTypes</v>
      </c>
      <c r="P64" s="6" t="s">
        <v>122</v>
      </c>
      <c r="Q64" s="19"/>
      <c r="R64" s="19"/>
      <c r="S64" s="19"/>
      <c r="T64" s="19"/>
      <c r="U64" s="19"/>
      <c r="V64" s="6" t="s">
        <v>122</v>
      </c>
    </row>
    <row r="65" spans="1:22" x14ac:dyDescent="0.25">
      <c r="B65" s="6" t="s">
        <v>122</v>
      </c>
      <c r="C65" s="19"/>
      <c r="D65" s="19"/>
      <c r="E65" s="19"/>
      <c r="F65" s="19"/>
      <c r="G65" s="19"/>
      <c r="H65" s="6" t="s">
        <v>122</v>
      </c>
      <c r="I65" s="19"/>
      <c r="J65" s="19"/>
      <c r="K65" s="19"/>
      <c r="L65" s="19"/>
      <c r="M65" s="19"/>
      <c r="N65" s="19"/>
      <c r="O65" s="19" t="str">
        <f ca="1"/>
        <v>Metadata</v>
      </c>
      <c r="P65" s="6" t="s">
        <v>122</v>
      </c>
      <c r="Q65" s="19"/>
      <c r="R65" s="19"/>
      <c r="S65" s="19"/>
      <c r="T65" s="19"/>
      <c r="U65" s="19"/>
      <c r="V65" s="6" t="s">
        <v>122</v>
      </c>
    </row>
    <row r="66" spans="1:22" x14ac:dyDescent="0.25">
      <c r="B66" s="6" t="s">
        <v>122</v>
      </c>
      <c r="C66" s="19"/>
      <c r="D66" s="19"/>
      <c r="E66" s="19"/>
      <c r="F66" s="19"/>
      <c r="G66" s="19"/>
      <c r="H66" s="6" t="s">
        <v>122</v>
      </c>
      <c r="I66" s="19"/>
      <c r="J66" s="19"/>
      <c r="K66" s="19"/>
      <c r="L66" s="19"/>
      <c r="M66" s="19"/>
      <c r="N66" s="19"/>
      <c r="O66" s="19" t="str">
        <f ca="1"/>
        <v>TypeScript</v>
      </c>
      <c r="P66" s="6" t="s">
        <v>122</v>
      </c>
      <c r="Q66" s="19"/>
      <c r="R66" s="19"/>
      <c r="S66" s="19"/>
      <c r="T66" s="19"/>
      <c r="U66" s="19"/>
      <c r="V66" s="6" t="s">
        <v>122</v>
      </c>
    </row>
    <row r="67" spans="1:22" x14ac:dyDescent="0.25">
      <c r="B67" s="6" t="s">
        <v>122</v>
      </c>
      <c r="C67" s="19"/>
      <c r="D67" s="19"/>
      <c r="E67" s="19"/>
      <c r="F67" s="19"/>
      <c r="G67" s="19"/>
      <c r="H67" s="6" t="s">
        <v>122</v>
      </c>
      <c r="I67" s="19"/>
      <c r="J67" s="19"/>
      <c r="K67" s="19"/>
      <c r="L67" s="19"/>
      <c r="M67" s="19"/>
      <c r="N67" s="19"/>
      <c r="O67" s="19" t="str">
        <f ca="1"/>
        <v>IDE (Visual Studio Code)</v>
      </c>
      <c r="P67" s="6" t="s">
        <v>122</v>
      </c>
      <c r="Q67" s="19"/>
      <c r="R67" s="19"/>
      <c r="S67" s="19"/>
      <c r="T67" s="19"/>
      <c r="U67" s="19"/>
      <c r="V67" s="6" t="s">
        <v>122</v>
      </c>
    </row>
    <row r="68" spans="1:22" x14ac:dyDescent="0.25">
      <c r="B68" s="6" t="s">
        <v>122</v>
      </c>
      <c r="C68" s="19"/>
      <c r="D68" s="19"/>
      <c r="E68" s="19"/>
      <c r="F68" s="19"/>
      <c r="G68" s="19"/>
      <c r="H68" s="6" t="s">
        <v>122</v>
      </c>
      <c r="I68" s="19"/>
      <c r="J68" s="19"/>
      <c r="K68" s="19"/>
      <c r="L68" s="19"/>
      <c r="M68" s="19"/>
      <c r="N68" s="19"/>
      <c r="O68" s="19" t="str">
        <f ca="1"/>
        <v>node.js</v>
      </c>
      <c r="P68" s="6" t="s">
        <v>122</v>
      </c>
      <c r="Q68" s="19"/>
      <c r="R68" s="19"/>
      <c r="S68" s="19"/>
      <c r="T68" s="19"/>
      <c r="U68" s="19"/>
      <c r="V68" s="6" t="s">
        <v>122</v>
      </c>
    </row>
    <row r="69" spans="1:22" x14ac:dyDescent="0.25">
      <c r="B69" s="6" t="s">
        <v>122</v>
      </c>
      <c r="C69" s="19"/>
      <c r="D69" s="19"/>
      <c r="E69" s="19"/>
      <c r="F69" s="19"/>
      <c r="G69" s="19"/>
      <c r="H69" s="6" t="s">
        <v>122</v>
      </c>
      <c r="I69" s="19"/>
      <c r="J69" s="19"/>
      <c r="K69" s="19"/>
      <c r="L69" s="19"/>
      <c r="M69" s="19"/>
      <c r="N69" s="19"/>
      <c r="O69" s="19" t="str">
        <f ca="1"/>
        <v>CLI (Microsoft Power Platform CLI)</v>
      </c>
      <c r="P69" s="6" t="s">
        <v>122</v>
      </c>
      <c r="Q69" s="19"/>
      <c r="R69" s="19"/>
      <c r="S69" s="19"/>
      <c r="T69" s="19"/>
      <c r="U69" s="19"/>
      <c r="V69" s="6" t="s">
        <v>122</v>
      </c>
    </row>
    <row r="70" spans="1:22" x14ac:dyDescent="0.25">
      <c r="B70" s="6" t="s">
        <v>122</v>
      </c>
      <c r="C70" s="19"/>
      <c r="D70" s="19"/>
      <c r="E70" s="19"/>
      <c r="F70" s="19"/>
      <c r="G70" s="19"/>
      <c r="H70" s="6" t="s">
        <v>122</v>
      </c>
      <c r="I70" s="19"/>
      <c r="J70" s="19"/>
      <c r="K70" s="19"/>
      <c r="L70" s="19"/>
      <c r="M70" s="19"/>
      <c r="N70" s="19"/>
      <c r="O70" s="19" t="str">
        <f ca="1"/>
        <v>Boolean Expressions</v>
      </c>
      <c r="P70" s="6" t="s">
        <v>122</v>
      </c>
      <c r="Q70" s="19"/>
      <c r="R70" s="19"/>
      <c r="S70" s="19"/>
      <c r="T70" s="19"/>
      <c r="U70" s="19"/>
      <c r="V70" s="6" t="s">
        <v>122</v>
      </c>
    </row>
    <row r="71" spans="1:22" x14ac:dyDescent="0.25">
      <c r="B71" s="6" t="s">
        <v>122</v>
      </c>
      <c r="C71" s="19"/>
      <c r="D71" s="19"/>
      <c r="E71" s="19"/>
      <c r="F71" s="19"/>
      <c r="G71" s="19"/>
      <c r="H71" s="6" t="s">
        <v>122</v>
      </c>
      <c r="I71" s="19"/>
      <c r="J71" s="19"/>
      <c r="K71" s="19"/>
      <c r="L71" s="19"/>
      <c r="M71" s="19"/>
      <c r="N71" s="19"/>
      <c r="O71" s="19" t="str">
        <f ca="1"/>
        <v>Iteration Statements</v>
      </c>
      <c r="P71" s="6" t="s">
        <v>122</v>
      </c>
      <c r="Q71" s="19"/>
      <c r="R71" s="19"/>
      <c r="S71" s="19"/>
      <c r="T71" s="19"/>
      <c r="U71" s="19"/>
      <c r="V71" s="6" t="s">
        <v>122</v>
      </c>
    </row>
    <row r="72" spans="1:22" x14ac:dyDescent="0.25">
      <c r="B72" s="6" t="s">
        <v>122</v>
      </c>
      <c r="C72" s="19"/>
      <c r="D72" s="19"/>
      <c r="E72" s="19"/>
      <c r="F72" s="19"/>
      <c r="G72" s="19"/>
      <c r="H72" s="6" t="s">
        <v>122</v>
      </c>
      <c r="I72" s="19"/>
      <c r="J72" s="19"/>
      <c r="K72" s="19"/>
      <c r="L72" s="19"/>
      <c r="M72" s="19"/>
      <c r="N72" s="19"/>
      <c r="O72" s="19" t="str">
        <f ca="1"/>
        <v>Conditional Expressions</v>
      </c>
      <c r="P72" s="6" t="s">
        <v>122</v>
      </c>
      <c r="Q72" s="19"/>
      <c r="R72" s="19"/>
      <c r="S72" s="19"/>
      <c r="T72" s="19"/>
      <c r="U72" s="19"/>
      <c r="V72" s="6" t="s">
        <v>122</v>
      </c>
    </row>
    <row r="73" spans="1:22" x14ac:dyDescent="0.25">
      <c r="B73" s="6" t="s">
        <v>122</v>
      </c>
      <c r="C73" s="19"/>
      <c r="D73" s="19"/>
      <c r="E73" s="19"/>
      <c r="F73" s="19"/>
      <c r="G73" s="19"/>
      <c r="H73" s="6" t="s">
        <v>122</v>
      </c>
      <c r="I73" s="19"/>
      <c r="J73" s="19"/>
      <c r="K73" s="19"/>
      <c r="L73" s="19"/>
      <c r="M73" s="19"/>
      <c r="N73" s="19"/>
      <c r="O73" s="19"/>
      <c r="P73" s="6" t="s">
        <v>122</v>
      </c>
      <c r="Q73" s="19"/>
      <c r="R73" s="19"/>
      <c r="S73" s="19"/>
      <c r="T73" s="19"/>
      <c r="U73" s="19"/>
      <c r="V73" s="6" t="s">
        <v>122</v>
      </c>
    </row>
    <row r="74" spans="1:22" x14ac:dyDescent="0.25">
      <c r="A74" s="23"/>
      <c r="B74" s="24" t="s">
        <v>122</v>
      </c>
      <c r="C74" s="25"/>
      <c r="D74" s="25"/>
      <c r="E74" s="25"/>
      <c r="F74" s="25"/>
      <c r="G74" s="25"/>
      <c r="H74" s="24" t="s">
        <v>122</v>
      </c>
      <c r="I74" s="25"/>
      <c r="J74" s="25"/>
      <c r="K74" s="25"/>
      <c r="L74" s="25"/>
      <c r="M74" s="25"/>
      <c r="N74" s="25"/>
      <c r="O74" s="25"/>
      <c r="P74" s="24" t="s">
        <v>122</v>
      </c>
      <c r="Q74" s="25"/>
      <c r="R74" s="25"/>
      <c r="S74" s="25"/>
      <c r="T74" s="25"/>
      <c r="U74" s="25"/>
      <c r="V74" s="24" t="s">
        <v>122</v>
      </c>
    </row>
    <row r="75" spans="1:22" x14ac:dyDescent="0.25">
      <c r="A75" s="4" t="s">
        <v>101</v>
      </c>
      <c r="B75" s="6" t="s">
        <v>122</v>
      </c>
      <c r="C75" s="19" t="str" cm="1">
        <f t="array" aca="1" ref="C75" ca="1">_xlfn.TOCOL(_xlfn.TEXTSPLIT(SUBSTITUTE(VLOOKUP(C$2,INDIRECT("'Platform review'!$C"&amp;_xlfn.XMATCH($A75,'Platform review'!$A$1:$A$127)&amp;":$E"&amp;_xlfn.XMATCH($A75,'Platform review'!$A$1:$A$127)+19),3,FALSE),CHAR(34),""),", "))</f>
        <v>Custom Process Model</v>
      </c>
      <c r="D75" s="19" t="str" cm="1">
        <f t="array" aca="1" ref="D75:D82" ca="1">_xlfn.TOCOL(_xlfn.TEXTSPLIT(SUBSTITUTE(VLOOKUP(D$2,INDIRECT("'Platform review'!$C"&amp;_xlfn.XMATCH($A75,'Platform review'!$A$1:$A$127)&amp;":$E"&amp;_xlfn.XMATCH($A75,'Platform review'!$A$1:$A$127)+19),3,FALSE),CHAR(34),""),", "))</f>
        <v>Entity Relationships</v>
      </c>
      <c r="E75" s="19" t="str" cm="1">
        <f t="array" aca="1" ref="E75:E80" ca="1">_xlfn.TOCOL(_xlfn.TEXTSPLIT(SUBSTITUTE(VLOOKUP(E$2,INDIRECT("'Platform review'!$C"&amp;_xlfn.XMATCH($A75,'Platform review'!$A$1:$A$127)&amp;":$E"&amp;_xlfn.XMATCH($A75,'Platform review'!$A$1:$A$127)+19),3,FALSE),CHAR(34),""),", "))</f>
        <v>+App templates</v>
      </c>
      <c r="F75" s="19" t="str" cm="1">
        <f t="array" aca="1" ref="F75:F77" ca="1">_xlfn.TOCOL(_xlfn.TEXTSPLIT(SUBSTITUTE(VLOOKUP(F$2,INDIRECT("'Platform review'!$C"&amp;_xlfn.XMATCH($A75,'Platform review'!$A$1:$A$127)&amp;":$E"&amp;_xlfn.XMATCH($A75,'Platform review'!$A$1:$A$127)+19),3,FALSE),CHAR(34),""),", "))</f>
        <v>Boolean Expressions</v>
      </c>
      <c r="G75" s="19" t="str" cm="1">
        <f t="array" aca="1" ref="G75:G84" ca="1">_xlfn.TOCOL(_xlfn.TEXTSPLIT(SUBSTITUTE(VLOOKUP(G$2,INDIRECT("'Platform review'!$C"&amp;_xlfn.XMATCH($A75,'Platform review'!$A$1:$A$127)&amp;":$E"&amp;_xlfn.XMATCH($A75,'Platform review'!$A$1:$A$127)+19),3,FALSE),CHAR(34),""),", "))</f>
        <v>+Actions</v>
      </c>
      <c r="H75" s="6" t="s">
        <v>122</v>
      </c>
      <c r="I75" s="19" t="str" cm="1">
        <f t="array" aca="1" ref="I75:I78" ca="1">_xlfn.TOCOL(_xlfn.TEXTSPLIT(SUBSTITUTE(VLOOKUP(I$2,INDIRECT("'Platform review'!$C"&amp;_xlfn.XMATCH($A75,'Platform review'!$A$1:$A$127)&amp;":$E"&amp;_xlfn.XMATCH($A75,'Platform review'!$A$1:$A$127)+19),3,FALSE),CHAR(34),""),", "))</f>
        <v>Custom Process Model (AppSheet Automation)</v>
      </c>
      <c r="J75" s="19" t="str" cm="1">
        <f t="array" aca="1" ref="J75:J85" ca="1">_xlfn.TOCOL(_xlfn.TEXTSPLIT(SUBSTITUTE(VLOOKUP(J$2,INDIRECT("'Platform review'!$C"&amp;_xlfn.XMATCH($A75,'Platform review'!$A$1:$A$127)&amp;":$E"&amp;_xlfn.XMATCH($A75,'Platform review'!$A$1:$A$127)+19),3,FALSE),CHAR(34),""),", "))</f>
        <v>Relational Database Concept</v>
      </c>
      <c r="K75" s="19" t="str" cm="1">
        <f t="array" aca="1" ref="K75:K78" ca="1">_xlfn.TOCOL(_xlfn.TEXTSPLIT(SUBSTITUTE(VLOOKUP(K$2,INDIRECT("'Platform review'!$C"&amp;_xlfn.XMATCH($A75,'Platform review'!$A$1:$A$127)&amp;":$E"&amp;_xlfn.XMATCH($A75,'Platform review'!$A$1:$A$127)+19),3,FALSE),CHAR(34),""),", "))</f>
        <v>Web API</v>
      </c>
      <c r="L75" s="19" t="str" cm="1">
        <f t="array" aca="1" ref="L75:L78" ca="1">_xlfn.TOCOL(_xlfn.TEXTSPLIT(SUBSTITUTE(VLOOKUP(L$2,INDIRECT("'Platform review'!$C"&amp;_xlfn.XMATCH($A75,'Platform review'!$A$1:$A$127)&amp;":$E"&amp;_xlfn.XMATCH($A75,'Platform review'!$A$1:$A$127)+19),3,FALSE),CHAR(34),""),", "))</f>
        <v>+View Types</v>
      </c>
      <c r="M75" s="19" t="str" cm="1">
        <f t="array" aca="1" ref="M75:M77" ca="1">_xlfn.TOCOL(_xlfn.TEXTSPLIT(SUBSTITUTE(VLOOKUP(M$2,INDIRECT("'Platform review'!$C"&amp;_xlfn.XMATCH($A75,'Platform review'!$A$1:$A$127)&amp;":$E"&amp;_xlfn.XMATCH($A75,'Platform review'!$A$1:$A$127)+19),3,FALSE),CHAR(34),""),", "))</f>
        <v>Boolean Expressions</v>
      </c>
      <c r="N75" s="19" t="str" cm="1">
        <f t="array" aca="1" ref="N75:N78" ca="1">_xlfn.TOCOL(_xlfn.TEXTSPLIT(SUBSTITUTE(VLOOKUP(N$2,INDIRECT("'Platform review'!$C"&amp;_xlfn.XMATCH($A75,'Platform review'!$A$1:$A$127)&amp;":$E"&amp;_xlfn.XMATCH($A75,'Platform review'!$A$1:$A$127)+19),3,FALSE),CHAR(34),""),", "))</f>
        <v>+Automations</v>
      </c>
      <c r="O75" s="19" t="str" cm="1">
        <f t="array" aca="1" ref="O75:O83" ca="1">_xlfn.TOCOL(_xlfn.TEXTSPLIT(SUBSTITUTE(VLOOKUP(O$2,INDIRECT("'Platform review'!$C"&amp;_xlfn.XMATCH($A75,'Platform review'!$A$1:$A$127)&amp;":$E"&amp;_xlfn.XMATCH($A75,'Platform review'!$A$1:$A$127)+19),3,FALSE),CHAR(34),""),", "))</f>
        <v>JavaScript</v>
      </c>
      <c r="P75" s="6" t="s">
        <v>122</v>
      </c>
      <c r="Q75" s="19" t="str" cm="1">
        <f t="array" aca="1" ref="Q75:Q76" ca="1">_xlfn.TOCOL(_xlfn.TEXTSPLIT(SUBSTITUTE(VLOOKUP(Q$2,INDIRECT("'Platform review'!$C"&amp;_xlfn.XMATCH($A75,'Platform review'!$A$1:$A$127)&amp;":$E"&amp;_xlfn.XMATCH($A75,'Platform review'!$A$1:$A$127)+19),3,FALSE),CHAR(34),""),", "))</f>
        <v>+Cloud Based Environment</v>
      </c>
      <c r="R75" s="19" t="str" cm="1">
        <f t="array" aca="1" ref="R75:R77" ca="1">_xlfn.TOCOL(_xlfn.TEXTSPLIT(SUBSTITUTE(VLOOKUP(R$2,INDIRECT("'Platform review'!$C"&amp;_xlfn.XMATCH($A75,'Platform review'!$A$1:$A$127)&amp;":$E"&amp;_xlfn.XMATCH($A75,'Platform review'!$A$1:$A$127)+19),3,FALSE),CHAR(34),""),", "))</f>
        <v>+Embedded Database (Spreadsheets)</v>
      </c>
      <c r="S75" s="19" t="str" cm="1">
        <f t="array" aca="1" ref="S75:S76" ca="1">_xlfn.TOCOL(_xlfn.TEXTSPLIT(SUBSTITUTE(VLOOKUP(S$2,INDIRECT("'Platform review'!$C"&amp;_xlfn.XMATCH($A75,'Platform review'!$A$1:$A$127)&amp;":$E"&amp;_xlfn.XMATCH($A75,'Platform review'!$A$1:$A$127)+19),3,FALSE),CHAR(34),""),", "))</f>
        <v>+Web Browser</v>
      </c>
      <c r="T75" s="19" t="str" cm="1">
        <f t="array" aca="1" ref="T75:T77" ca="1">_xlfn.TOCOL(_xlfn.TEXTSPLIT(SUBSTITUTE(VLOOKUP(T$2,INDIRECT("'Platform review'!$C"&amp;_xlfn.XMATCH($A75,'Platform review'!$A$1:$A$127)&amp;":$E"&amp;_xlfn.XMATCH($A75,'Platform review'!$A$1:$A$127)+19),3,FALSE),CHAR(34),""),", "))</f>
        <v>On-premises Data Gateway (Web Services)</v>
      </c>
      <c r="U75" s="19" t="str" cm="1">
        <f t="array" aca="1" ref="U75" ca="1">_xlfn.TOCOL(_xlfn.TEXTSPLIT(SUBSTITUTE(VLOOKUP(U$2,INDIRECT("'Platform review'!$C"&amp;_xlfn.XMATCH($A75,'Platform review'!$A$1:$A$127)&amp;":$E"&amp;_xlfn.XMATCH($A75,'Platform review'!$A$1:$A$127)+19),3,FALSE),CHAR(34),""),", "))</f>
        <v>Custom Version Control</v>
      </c>
      <c r="V75" s="6" t="s">
        <v>122</v>
      </c>
    </row>
    <row r="76" spans="1:22" x14ac:dyDescent="0.25">
      <c r="B76" s="6" t="s">
        <v>122</v>
      </c>
      <c r="C76" s="19"/>
      <c r="D76" s="19" t="str">
        <f ca="1"/>
        <v>+Item-Detail</v>
      </c>
      <c r="E76" s="19" t="str">
        <f ca="1"/>
        <v>+View Types</v>
      </c>
      <c r="F76" s="19" t="str">
        <f ca="1"/>
        <v>Conditional Expressions</v>
      </c>
      <c r="G76" s="19" t="str">
        <f ca="1"/>
        <v>Functions</v>
      </c>
      <c r="H76" s="6" t="s">
        <v>122</v>
      </c>
      <c r="I76" s="19" t="str">
        <f ca="1"/>
        <v>REST API</v>
      </c>
      <c r="J76" s="19" t="str">
        <f ca="1"/>
        <v>+Reference Column</v>
      </c>
      <c r="K76" s="19" t="str">
        <f ca="1"/>
        <v>+Cloud-based Spreadsheets</v>
      </c>
      <c r="L76" s="19" t="str">
        <f ca="1"/>
        <v>+UI Branding</v>
      </c>
      <c r="M76" s="19" t="str">
        <f ca="1"/>
        <v>Conditional Expressions</v>
      </c>
      <c r="N76" s="19" t="str">
        <f ca="1"/>
        <v>Expressions</v>
      </c>
      <c r="O76" s="19" t="str">
        <f ca="1"/>
        <v>Web API (AppSheet API)</v>
      </c>
      <c r="P76" s="6" t="s">
        <v>122</v>
      </c>
      <c r="Q76" s="19" t="str">
        <f ca="1"/>
        <v>Mobile App</v>
      </c>
      <c r="R76" s="19" t="str">
        <f ca="1"/>
        <v>Relational database</v>
      </c>
      <c r="S76" s="19" t="str">
        <f ca="1"/>
        <v>+Mobile App</v>
      </c>
      <c r="T76" s="19" t="str">
        <f ca="1"/>
        <v>+Software as a Service</v>
      </c>
      <c r="U76" s="19"/>
      <c r="V76" s="6" t="s">
        <v>122</v>
      </c>
    </row>
    <row r="77" spans="1:22" x14ac:dyDescent="0.25">
      <c r="B77" s="6" t="s">
        <v>122</v>
      </c>
      <c r="C77" s="19"/>
      <c r="D77" s="19" t="str">
        <f ca="1"/>
        <v>+Lookup/Drop-down</v>
      </c>
      <c r="E77" s="19" t="str">
        <f ca="1"/>
        <v>+UI Branding (no HTML/CSS)</v>
      </c>
      <c r="F77" s="19" t="str">
        <f ca="1"/>
        <v>+Lookup/Drop-down Data Patterns</v>
      </c>
      <c r="G77" s="19" t="str">
        <f ca="1"/>
        <v>Expressions</v>
      </c>
      <c r="H77" s="6" t="s">
        <v>122</v>
      </c>
      <c r="I77" s="19" t="str">
        <f ca="1"/>
        <v>JavaScript</v>
      </c>
      <c r="J77" s="19" t="str">
        <f ca="1"/>
        <v>+Lookup Column</v>
      </c>
      <c r="K77" s="19" t="str">
        <f ca="1"/>
        <v>SQL Databases. JDBC</v>
      </c>
      <c r="L77" s="19" t="str">
        <f ca="1"/>
        <v>+Conditional Formatting</v>
      </c>
      <c r="M77" s="19" t="str">
        <f ca="1"/>
        <v>+Column Expressions</v>
      </c>
      <c r="N77" s="19" t="str">
        <f ca="1"/>
        <v>Functions</v>
      </c>
      <c r="O77" s="19" t="str">
        <f ca="1"/>
        <v>HTML</v>
      </c>
      <c r="P77" s="6" t="s">
        <v>122</v>
      </c>
      <c r="Q77" s="19"/>
      <c r="R77" s="19" t="str">
        <f ca="1"/>
        <v>REST API</v>
      </c>
      <c r="S77" s="19"/>
      <c r="T77" s="19" t="str">
        <f ca="1"/>
        <v>+App Gallery</v>
      </c>
      <c r="U77" s="19"/>
      <c r="V77" s="6" t="s">
        <v>122</v>
      </c>
    </row>
    <row r="78" spans="1:22" x14ac:dyDescent="0.25">
      <c r="B78" s="6" t="s">
        <v>122</v>
      </c>
      <c r="C78" s="19"/>
      <c r="D78" s="19" t="str">
        <f ca="1"/>
        <v>Expressions</v>
      </c>
      <c r="E78" s="19" t="str">
        <f ca="1"/>
        <v>Conditional Expressions</v>
      </c>
      <c r="F78" s="19"/>
      <c r="G78" s="19" t="str">
        <f ca="1"/>
        <v>Events</v>
      </c>
      <c r="H78" s="6" t="s">
        <v>122</v>
      </c>
      <c r="I78" s="19" t="str">
        <f ca="1"/>
        <v>Conditional Expressions</v>
      </c>
      <c r="J78" s="19" t="str">
        <f ca="1"/>
        <v>Keys</v>
      </c>
      <c r="K78" s="19" t="str">
        <f ca="1"/>
        <v>Data Source Integration</v>
      </c>
      <c r="L78" s="19" t="str">
        <f ca="1"/>
        <v>+Business Data Types</v>
      </c>
      <c r="M78" s="19"/>
      <c r="N78" s="19" t="str">
        <f ca="1"/>
        <v>Conditional Expressions</v>
      </c>
      <c r="O78" s="19" t="str">
        <f ca="1"/>
        <v>JSON</v>
      </c>
      <c r="P78" s="6" t="s">
        <v>122</v>
      </c>
      <c r="Q78" s="19"/>
      <c r="R78" s="19"/>
      <c r="S78" s="19"/>
      <c r="T78" s="19"/>
      <c r="U78" s="19"/>
      <c r="V78" s="6" t="s">
        <v>122</v>
      </c>
    </row>
    <row r="79" spans="1:22" x14ac:dyDescent="0.25">
      <c r="B79" s="6" t="s">
        <v>122</v>
      </c>
      <c r="C79" s="19"/>
      <c r="D79" s="19" t="str">
        <f ca="1"/>
        <v>Enumerations</v>
      </c>
      <c r="E79" s="19" t="str">
        <f ca="1"/>
        <v>Expressions</v>
      </c>
      <c r="F79" s="19"/>
      <c r="G79" s="19" t="str">
        <f ca="1"/>
        <v>+Predefined Process Steps</v>
      </c>
      <c r="H79" s="6" t="s">
        <v>122</v>
      </c>
      <c r="I79" s="19"/>
      <c r="J79" s="19" t="str">
        <f ca="1"/>
        <v>Types</v>
      </c>
      <c r="K79" s="19"/>
      <c r="L79" s="19"/>
      <c r="M79" s="19"/>
      <c r="N79" s="19"/>
      <c r="O79" s="19" t="str">
        <f ca="1"/>
        <v>XML</v>
      </c>
      <c r="P79" s="6" t="s">
        <v>122</v>
      </c>
      <c r="Q79" s="19"/>
      <c r="R79" s="19"/>
      <c r="S79" s="19"/>
      <c r="T79" s="19"/>
      <c r="U79" s="19"/>
      <c r="V79" s="6" t="s">
        <v>122</v>
      </c>
    </row>
    <row r="80" spans="1:22" x14ac:dyDescent="0.25">
      <c r="B80" s="6" t="s">
        <v>122</v>
      </c>
      <c r="C80" s="19"/>
      <c r="D80" s="19" t="str">
        <f ca="1"/>
        <v>Data Types</v>
      </c>
      <c r="E80" s="19" t="str">
        <f ca="1"/>
        <v>Functions</v>
      </c>
      <c r="F80" s="19"/>
      <c r="G80" s="19" t="str">
        <f ca="1"/>
        <v>+Predefined Tasks</v>
      </c>
      <c r="H80" s="6" t="s">
        <v>122</v>
      </c>
      <c r="I80" s="19"/>
      <c r="J80" s="19" t="str">
        <f ca="1"/>
        <v>Expressions (App Formula Expression; Initial Value Expression)</v>
      </c>
      <c r="K80" s="19"/>
      <c r="L80" s="19"/>
      <c r="M80" s="19"/>
      <c r="N80" s="19"/>
      <c r="O80" s="19" t="str">
        <f ca="1"/>
        <v>Functions</v>
      </c>
      <c r="P80" s="6" t="s">
        <v>122</v>
      </c>
      <c r="Q80" s="19"/>
      <c r="R80" s="19"/>
      <c r="S80" s="19"/>
      <c r="T80" s="19"/>
      <c r="U80" s="19"/>
      <c r="V80" s="6" t="s">
        <v>122</v>
      </c>
    </row>
    <row r="81" spans="1:22" x14ac:dyDescent="0.25">
      <c r="B81" s="6" t="s">
        <v>122</v>
      </c>
      <c r="C81" s="19"/>
      <c r="D81" s="19" t="str">
        <f ca="1"/>
        <v>Constraints</v>
      </c>
      <c r="E81" s="19"/>
      <c r="F81" s="19"/>
      <c r="G81" s="19" t="str">
        <f ca="1"/>
        <v>Formulas</v>
      </c>
      <c r="H81" s="6" t="s">
        <v>122</v>
      </c>
      <c r="I81" s="19"/>
      <c r="J81" s="19" t="str">
        <f ca="1"/>
        <v>Functions (Deep Link)</v>
      </c>
      <c r="K81" s="19"/>
      <c r="L81" s="19"/>
      <c r="M81" s="19"/>
      <c r="N81" s="19"/>
      <c r="O81" s="19" t="str">
        <f ca="1"/>
        <v>Boolean Expressions</v>
      </c>
      <c r="P81" s="6" t="s">
        <v>122</v>
      </c>
      <c r="Q81" s="19"/>
      <c r="R81" s="19"/>
      <c r="S81" s="19"/>
      <c r="T81" s="19"/>
      <c r="U81" s="19"/>
      <c r="V81" s="6" t="s">
        <v>122</v>
      </c>
    </row>
    <row r="82" spans="1:22" x14ac:dyDescent="0.25">
      <c r="B82" s="6" t="s">
        <v>122</v>
      </c>
      <c r="C82" s="19"/>
      <c r="D82" s="19" t="str">
        <f ca="1"/>
        <v>Conditional Expressions</v>
      </c>
      <c r="E82" s="19"/>
      <c r="F82" s="19"/>
      <c r="G82" s="19" t="str">
        <f ca="1"/>
        <v>Variables</v>
      </c>
      <c r="H82" s="6" t="s">
        <v>122</v>
      </c>
      <c r="I82" s="19"/>
      <c r="J82" s="19" t="str">
        <f ca="1"/>
        <v>+References</v>
      </c>
      <c r="K82" s="19"/>
      <c r="L82" s="19"/>
      <c r="M82" s="19"/>
      <c r="N82" s="19"/>
      <c r="O82" s="19" t="str">
        <f ca="1"/>
        <v>Conditional Expressions</v>
      </c>
      <c r="P82" s="6" t="s">
        <v>122</v>
      </c>
      <c r="Q82" s="19"/>
      <c r="R82" s="19"/>
      <c r="S82" s="19"/>
      <c r="T82" s="19"/>
      <c r="U82" s="19"/>
      <c r="V82" s="6" t="s">
        <v>122</v>
      </c>
    </row>
    <row r="83" spans="1:22" x14ac:dyDescent="0.25">
      <c r="B83" s="6" t="s">
        <v>122</v>
      </c>
      <c r="C83" s="19"/>
      <c r="D83" s="19"/>
      <c r="E83" s="19"/>
      <c r="F83" s="19"/>
      <c r="G83" s="19" t="str">
        <f ca="1"/>
        <v>Boolean Expressions</v>
      </c>
      <c r="H83" s="6" t="s">
        <v>122</v>
      </c>
      <c r="I83" s="19"/>
      <c r="J83" s="19" t="str">
        <f ca="1"/>
        <v>+Slices (Subset od data; columns and actions)</v>
      </c>
      <c r="K83" s="19"/>
      <c r="L83" s="19"/>
      <c r="M83" s="19"/>
      <c r="N83" s="19"/>
      <c r="O83" s="19" t="str">
        <f ca="1"/>
        <v>Expressions</v>
      </c>
      <c r="P83" s="6" t="s">
        <v>122</v>
      </c>
      <c r="Q83" s="19"/>
      <c r="R83" s="19"/>
      <c r="S83" s="19"/>
      <c r="T83" s="19"/>
      <c r="U83" s="19"/>
      <c r="V83" s="6" t="s">
        <v>122</v>
      </c>
    </row>
    <row r="84" spans="1:22" x14ac:dyDescent="0.25">
      <c r="B84" s="6" t="s">
        <v>122</v>
      </c>
      <c r="C84" s="19"/>
      <c r="D84" s="19"/>
      <c r="E84" s="19"/>
      <c r="F84" s="19"/>
      <c r="G84" s="19" t="str">
        <f ca="1"/>
        <v>Conditional Expressions</v>
      </c>
      <c r="H84" s="6" t="s">
        <v>122</v>
      </c>
      <c r="I84" s="19"/>
      <c r="J84" s="19" t="str">
        <f ca="1"/>
        <v>+Business Data Types</v>
      </c>
      <c r="K84" s="19"/>
      <c r="L84" s="19"/>
      <c r="M84" s="19"/>
      <c r="N84" s="19"/>
      <c r="O84" s="19"/>
      <c r="P84" s="6" t="s">
        <v>122</v>
      </c>
      <c r="Q84" s="19"/>
      <c r="R84" s="19"/>
      <c r="S84" s="19"/>
      <c r="T84" s="19"/>
      <c r="U84" s="19"/>
      <c r="V84" s="6" t="s">
        <v>122</v>
      </c>
    </row>
    <row r="85" spans="1:22" x14ac:dyDescent="0.25">
      <c r="B85" s="6" t="s">
        <v>122</v>
      </c>
      <c r="C85" s="19"/>
      <c r="D85" s="19"/>
      <c r="E85" s="19"/>
      <c r="F85" s="19"/>
      <c r="G85" s="19"/>
      <c r="H85" s="6" t="s">
        <v>122</v>
      </c>
      <c r="I85" s="19"/>
      <c r="J85" s="19" t="str">
        <f ca="1"/>
        <v>Conditional Expressions</v>
      </c>
      <c r="K85" s="19"/>
      <c r="L85" s="19"/>
      <c r="M85" s="19"/>
      <c r="N85" s="19"/>
      <c r="O85" s="19"/>
      <c r="P85" s="6" t="s">
        <v>122</v>
      </c>
      <c r="Q85" s="19"/>
      <c r="R85" s="19"/>
      <c r="S85" s="19"/>
      <c r="T85" s="19"/>
      <c r="U85" s="19"/>
      <c r="V85" s="6" t="s">
        <v>122</v>
      </c>
    </row>
    <row r="86" spans="1:22" x14ac:dyDescent="0.25">
      <c r="B86" s="6" t="s">
        <v>122</v>
      </c>
      <c r="C86" s="19"/>
      <c r="D86" s="19"/>
      <c r="E86" s="19"/>
      <c r="F86" s="19"/>
      <c r="G86" s="19"/>
      <c r="H86" s="6" t="s">
        <v>122</v>
      </c>
      <c r="I86" s="19"/>
      <c r="J86" s="19"/>
      <c r="K86" s="19"/>
      <c r="L86" s="19"/>
      <c r="M86" s="19"/>
      <c r="N86" s="19"/>
      <c r="O86" s="19"/>
      <c r="P86" s="6" t="s">
        <v>122</v>
      </c>
      <c r="Q86" s="19"/>
      <c r="R86" s="19"/>
      <c r="S86" s="19"/>
      <c r="T86" s="19"/>
      <c r="U86" s="19"/>
      <c r="V86" s="6" t="s">
        <v>122</v>
      </c>
    </row>
    <row r="87" spans="1:22" x14ac:dyDescent="0.25">
      <c r="B87" s="6" t="s">
        <v>122</v>
      </c>
      <c r="C87" s="19"/>
      <c r="D87" s="19"/>
      <c r="E87" s="19"/>
      <c r="F87" s="19"/>
      <c r="G87" s="19"/>
      <c r="H87" s="6" t="s">
        <v>122</v>
      </c>
      <c r="I87" s="19"/>
      <c r="J87" s="19"/>
      <c r="K87" s="19"/>
      <c r="L87" s="19"/>
      <c r="M87" s="19"/>
      <c r="N87" s="19"/>
      <c r="O87" s="19"/>
      <c r="P87" s="6" t="s">
        <v>122</v>
      </c>
      <c r="Q87" s="19"/>
      <c r="R87" s="19"/>
      <c r="S87" s="19"/>
      <c r="T87" s="19"/>
      <c r="U87" s="19"/>
      <c r="V87" s="6" t="s">
        <v>122</v>
      </c>
    </row>
    <row r="88" spans="1:22" x14ac:dyDescent="0.25">
      <c r="B88" s="6" t="s">
        <v>122</v>
      </c>
      <c r="C88" s="19"/>
      <c r="D88" s="19"/>
      <c r="E88" s="19"/>
      <c r="F88" s="19"/>
      <c r="G88" s="19"/>
      <c r="H88" s="6" t="s">
        <v>122</v>
      </c>
      <c r="I88" s="19"/>
      <c r="J88" s="19"/>
      <c r="K88" s="19"/>
      <c r="L88" s="19"/>
      <c r="M88" s="19"/>
      <c r="N88" s="19"/>
      <c r="O88" s="19"/>
      <c r="P88" s="6" t="s">
        <v>122</v>
      </c>
      <c r="Q88" s="19"/>
      <c r="R88" s="19"/>
      <c r="S88" s="19"/>
      <c r="T88" s="19"/>
      <c r="U88" s="19"/>
      <c r="V88" s="6" t="s">
        <v>122</v>
      </c>
    </row>
    <row r="89" spans="1:22" x14ac:dyDescent="0.25">
      <c r="B89" s="6" t="s">
        <v>122</v>
      </c>
      <c r="C89" s="19"/>
      <c r="D89" s="19"/>
      <c r="E89" s="19"/>
      <c r="F89" s="19"/>
      <c r="G89" s="19"/>
      <c r="H89" s="6" t="s">
        <v>122</v>
      </c>
      <c r="I89" s="19"/>
      <c r="J89" s="19"/>
      <c r="K89" s="19"/>
      <c r="L89" s="19"/>
      <c r="M89" s="19"/>
      <c r="N89" s="19"/>
      <c r="O89" s="19"/>
      <c r="P89" s="6" t="s">
        <v>122</v>
      </c>
      <c r="Q89" s="19"/>
      <c r="R89" s="19"/>
      <c r="S89" s="19"/>
      <c r="T89" s="19"/>
      <c r="U89" s="19"/>
      <c r="V89" s="6" t="s">
        <v>122</v>
      </c>
    </row>
    <row r="90" spans="1:22" x14ac:dyDescent="0.25">
      <c r="B90" s="6" t="s">
        <v>122</v>
      </c>
      <c r="C90" s="19"/>
      <c r="D90" s="19"/>
      <c r="E90" s="19"/>
      <c r="F90" s="19"/>
      <c r="G90" s="19"/>
      <c r="H90" s="6" t="s">
        <v>122</v>
      </c>
      <c r="I90" s="19"/>
      <c r="J90" s="19"/>
      <c r="K90" s="19"/>
      <c r="L90" s="19"/>
      <c r="M90" s="19"/>
      <c r="N90" s="19"/>
      <c r="O90" s="19"/>
      <c r="P90" s="6" t="s">
        <v>122</v>
      </c>
      <c r="Q90" s="19"/>
      <c r="R90" s="19"/>
      <c r="S90" s="19"/>
      <c r="T90" s="19"/>
      <c r="U90" s="19"/>
      <c r="V90" s="6" t="s">
        <v>122</v>
      </c>
    </row>
    <row r="91" spans="1:22" x14ac:dyDescent="0.25">
      <c r="B91" s="6" t="s">
        <v>122</v>
      </c>
      <c r="C91" s="19"/>
      <c r="D91" s="19"/>
      <c r="E91" s="19"/>
      <c r="F91" s="19"/>
      <c r="G91" s="19"/>
      <c r="H91" s="6" t="s">
        <v>122</v>
      </c>
      <c r="I91" s="19"/>
      <c r="J91" s="19"/>
      <c r="K91" s="19"/>
      <c r="L91" s="19"/>
      <c r="M91" s="19"/>
      <c r="N91" s="19"/>
      <c r="O91" s="19"/>
      <c r="P91" s="6" t="s">
        <v>122</v>
      </c>
      <c r="Q91" s="19"/>
      <c r="R91" s="19"/>
      <c r="S91" s="19"/>
      <c r="T91" s="19"/>
      <c r="U91" s="19"/>
      <c r="V91" s="6" t="s">
        <v>122</v>
      </c>
    </row>
    <row r="92" spans="1:22" x14ac:dyDescent="0.25">
      <c r="A92" s="23"/>
      <c r="B92" s="24" t="s">
        <v>122</v>
      </c>
      <c r="C92" s="25"/>
      <c r="D92" s="25"/>
      <c r="E92" s="25"/>
      <c r="F92" s="25"/>
      <c r="G92" s="25"/>
      <c r="H92" s="24" t="s">
        <v>122</v>
      </c>
      <c r="I92" s="25"/>
      <c r="J92" s="25"/>
      <c r="K92" s="25"/>
      <c r="L92" s="25"/>
      <c r="M92" s="25"/>
      <c r="N92" s="25"/>
      <c r="O92" s="25"/>
      <c r="P92" s="24" t="s">
        <v>122</v>
      </c>
      <c r="Q92" s="25"/>
      <c r="R92" s="25"/>
      <c r="S92" s="25"/>
      <c r="T92" s="25"/>
      <c r="U92" s="25"/>
      <c r="V92" s="24" t="s">
        <v>122</v>
      </c>
    </row>
    <row r="93" spans="1:22" x14ac:dyDescent="0.25">
      <c r="A93" s="4" t="s">
        <v>2</v>
      </c>
      <c r="B93" s="6" t="s">
        <v>122</v>
      </c>
      <c r="C93" s="19" t="str" cm="1">
        <f t="array" aca="1" ref="C93" ca="1">_xlfn.TOCOL(_xlfn.TEXTSPLIT(SUBSTITUTE(VLOOKUP(C$2,INDIRECT("'Platform review'!$C"&amp;_xlfn.XMATCH($A93,'Platform review'!$A$1:$A$127)&amp;":$E"&amp;_xlfn.XMATCH($A93,'Platform review'!$A$1:$A$127)+19),3,FALSE),CHAR(34),""),", "))</f>
        <v>+BPMN Process Model</v>
      </c>
      <c r="D93" s="19" t="str" cm="1">
        <f t="array" aca="1" ref="D93:D96" ca="1">_xlfn.TOCOL(_xlfn.TEXTSPLIT(SUBSTITUTE(VLOOKUP(D$2,INDIRECT("'Platform review'!$C"&amp;_xlfn.XMATCH($A93,'Platform review'!$A$1:$A$127)&amp;":$E"&amp;_xlfn.XMATCH($A93,'Platform review'!$A$1:$A$127)+19),3,FALSE),CHAR(34),""),", "))</f>
        <v>Enumerations</v>
      </c>
      <c r="E93" s="19" t="str" cm="1">
        <f t="array" aca="1" ref="E93:E98" ca="1">_xlfn.TOCOL(_xlfn.TEXTSPLIT(SUBSTITUTE(VLOOKUP(E$2,INDIRECT("'Platform review'!$C"&amp;_xlfn.XMATCH($A93,'Platform review'!$A$1:$A$127)&amp;":$E"&amp;_xlfn.XMATCH($A93,'Platform review'!$A$1:$A$127)+19),3,FALSE),CHAR(34),""),", "))</f>
        <v>+App templates (CUBBE)</v>
      </c>
      <c r="F93" s="19" t="str" cm="1">
        <f t="array" aca="1" ref="F93:F97" ca="1">_xlfn.TOCOL(_xlfn.TEXTSPLIT(SUBSTITUTE(VLOOKUP(F$2,INDIRECT("'Platform review'!$C"&amp;_xlfn.XMATCH($A93,'Platform review'!$A$1:$A$127)&amp;":$E"&amp;_xlfn.XMATCH($A93,'Platform review'!$A$1:$A$127)+19),3,FALSE),CHAR(34),""),", "))</f>
        <v>+Business Rules (graphical)</v>
      </c>
      <c r="G93" s="19" t="str" cm="1">
        <f t="array" aca="1" ref="G93:G99" ca="1">_xlfn.TOCOL(_xlfn.TEXTSPLIT(SUBSTITUTE(VLOOKUP(G$2,INDIRECT("'Platform review'!$C"&amp;_xlfn.XMATCH($A93,'Platform review'!$A$1:$A$127)&amp;":$E"&amp;_xlfn.XMATCH($A93,'Platform review'!$A$1:$A$127)+19),3,FALSE),CHAR(34),""),", "))</f>
        <v>+Actions</v>
      </c>
      <c r="H93" s="6" t="s">
        <v>122</v>
      </c>
      <c r="I93" s="19" t="str" cm="1">
        <f t="array" aca="1" ref="I93" ca="1">_xlfn.TOCOL(_xlfn.TEXTSPLIT(SUBSTITUTE(VLOOKUP(I$2,INDIRECT("'Platform review'!$C"&amp;_xlfn.XMATCH($A93,'Platform review'!$A$1:$A$127)&amp;":$E"&amp;_xlfn.XMATCH($A93,'Platform review'!$A$1:$A$127)+19),3,FALSE),CHAR(34),""),", "))</f>
        <v>+BPMN Process Model</v>
      </c>
      <c r="J93" s="19" t="str" cm="1">
        <f t="array" aca="1" ref="J93:J95" ca="1">_xlfn.TOCOL(_xlfn.TEXTSPLIT(SUBSTITUTE(VLOOKUP(J$2,INDIRECT("'Platform review'!$C"&amp;_xlfn.XMATCH($A93,'Platform review'!$A$1:$A$127)&amp;":$E"&amp;_xlfn.XMATCH($A93,'Platform review'!$A$1:$A$127)+19),3,FALSE),CHAR(34),""),", "))</f>
        <v>Types</v>
      </c>
      <c r="K93" s="19" t="str" cm="1">
        <f t="array" aca="1" ref="K93:K96" ca="1">_xlfn.TOCOL(_xlfn.TEXTSPLIT(SUBSTITUTE(VLOOKUP(K$2,INDIRECT("'Platform review'!$C"&amp;_xlfn.XMATCH($A93,'Platform review'!$A$1:$A$127)&amp;":$E"&amp;_xlfn.XMATCH($A93,'Platform review'!$A$1:$A$127)+19),3,FALSE),CHAR(34),""),", "))</f>
        <v>SQL</v>
      </c>
      <c r="L93" s="19" t="str" cm="1">
        <f t="array" aca="1" ref="L93:L96" ca="1">_xlfn.TOCOL(_xlfn.TEXTSPLIT(SUBSTITUTE(VLOOKUP(L$2,INDIRECT("'Platform review'!$C"&amp;_xlfn.XMATCH($A93,'Platform review'!$A$1:$A$127)&amp;":$E"&amp;_xlfn.XMATCH($A93,'Platform review'!$A$1:$A$127)+19),3,FALSE),CHAR(34),""),", "))</f>
        <v>+Business Data Types</v>
      </c>
      <c r="M93" s="19" t="str" cm="1">
        <f t="array" aca="1" ref="M93:M97" ca="1">_xlfn.TOCOL(_xlfn.TEXTSPLIT(SUBSTITUTE(VLOOKUP(M$2,INDIRECT("'Platform review'!$C"&amp;_xlfn.XMATCH($A93,'Platform review'!$A$1:$A$127)&amp;":$E"&amp;_xlfn.XMATCH($A93,'Platform review'!$A$1:$A$127)+19),3,FALSE),CHAR(34),""),", "))</f>
        <v>+Business Rules (graphical)</v>
      </c>
      <c r="N93" s="19" t="str" cm="1">
        <f t="array" aca="1" ref="N93:N96" ca="1">_xlfn.TOCOL(_xlfn.TEXTSPLIT(SUBSTITUTE(VLOOKUP(N$2,INDIRECT("'Platform review'!$C"&amp;_xlfn.XMATCH($A93,'Platform review'!$A$1:$A$127)&amp;":$E"&amp;_xlfn.XMATCH($A93,'Platform review'!$A$1:$A$127)+19),3,FALSE),CHAR(34),""),", "))</f>
        <v>Expressions</v>
      </c>
      <c r="O93" s="19" t="str" cm="1">
        <f t="array" aca="1" ref="O93:O98" ca="1">_xlfn.TOCOL(_xlfn.TEXTSPLIT(SUBSTITUTE(VLOOKUP(O$2,INDIRECT("'Platform review'!$C"&amp;_xlfn.XMATCH($A93,'Platform review'!$A$1:$A$127)&amp;":$E"&amp;_xlfn.XMATCH($A93,'Platform review'!$A$1:$A$127)+19),3,FALSE),CHAR(34),""),", "))</f>
        <v>JavaScript</v>
      </c>
      <c r="P93" s="6" t="s">
        <v>122</v>
      </c>
      <c r="Q93" s="19" t="str" cm="1">
        <f t="array" aca="1" ref="Q93:Q94" ca="1">_xlfn.TOCOL(_xlfn.TEXTSPLIT(SUBSTITUTE(VLOOKUP(Q$2,INDIRECT("'Platform review'!$C"&amp;_xlfn.XMATCH($A93,'Platform review'!$A$1:$A$127)&amp;":$E"&amp;_xlfn.XMATCH($A93,'Platform review'!$A$1:$A$127)+19),3,FALSE),CHAR(34),""),", "))</f>
        <v>+Cloud Based Environment</v>
      </c>
      <c r="R93" s="19" t="str" cm="1">
        <f t="array" aca="1" ref="R93:R94" ca="1">_xlfn.TOCOL(_xlfn.TEXTSPLIT(SUBSTITUTE(VLOOKUP(R$2,INDIRECT("'Platform review'!$C"&amp;_xlfn.XMATCH($A93,'Platform review'!$A$1:$A$127)&amp;":$E"&amp;_xlfn.XMATCH($A93,'Platform review'!$A$1:$A$127)+19),3,FALSE),CHAR(34),""),", "))</f>
        <v>+Embedded Database (Postgres or Oracle)</v>
      </c>
      <c r="S93" s="19" t="str" cm="1">
        <f t="array" aca="1" ref="S93" ca="1">_xlfn.TOCOL(_xlfn.TEXTSPLIT(SUBSTITUTE(VLOOKUP(S$2,INDIRECT("'Platform review'!$C"&amp;_xlfn.XMATCH($A93,'Platform review'!$A$1:$A$127)&amp;":$E"&amp;_xlfn.XMATCH($A93,'Platform review'!$A$1:$A$127)+19),3,FALSE),CHAR(34),""),", "))</f>
        <v>+Web Browser</v>
      </c>
      <c r="T93" s="19" t="str" cm="1">
        <f t="array" aca="1" ref="T93" ca="1">_xlfn.TOCOL(_xlfn.TEXTSPLIT(SUBSTITUTE(VLOOKUP(T$2,INDIRECT("'Platform review'!$C"&amp;_xlfn.XMATCH($A93,'Platform review'!$A$1:$A$127)&amp;":$E"&amp;_xlfn.XMATCH($A93,'Platform review'!$A$1:$A$127)+19),3,FALSE),CHAR(34),""),", "))</f>
        <v>+Software as a Service</v>
      </c>
      <c r="U93" s="19" t="str" cm="1">
        <f t="array" aca="1" ref="U93" ca="1">_xlfn.TOCOL(_xlfn.TEXTSPLIT(SUBSTITUTE(VLOOKUP(U$2,INDIRECT("'Platform review'!$C"&amp;_xlfn.XMATCH($A93,'Platform review'!$A$1:$A$127)&amp;":$E"&amp;_xlfn.XMATCH($A93,'Platform review'!$A$1:$A$127)+19),3,FALSE),CHAR(34),""),", "))</f>
        <v>Custom Version Control</v>
      </c>
      <c r="V93" s="6" t="s">
        <v>122</v>
      </c>
    </row>
    <row r="94" spans="1:22" x14ac:dyDescent="0.25">
      <c r="B94" s="6" t="s">
        <v>122</v>
      </c>
      <c r="C94" s="19"/>
      <c r="D94" s="19" t="str">
        <f ca="1"/>
        <v>+Business Data Types</v>
      </c>
      <c r="E94" s="19" t="str">
        <f ca="1"/>
        <v>+View Types</v>
      </c>
      <c r="F94" s="19" t="str">
        <f ca="1"/>
        <v>Boolean Expressions</v>
      </c>
      <c r="G94" s="19" t="str">
        <f ca="1"/>
        <v>Expressions</v>
      </c>
      <c r="H94" s="6" t="s">
        <v>122</v>
      </c>
      <c r="I94" s="19"/>
      <c r="J94" s="19" t="str">
        <f ca="1"/>
        <v>+References</v>
      </c>
      <c r="K94" s="19" t="str">
        <f ca="1"/>
        <v>JDBC</v>
      </c>
      <c r="L94" s="19" t="str">
        <f ca="1"/>
        <v>+GUI Style Editor</v>
      </c>
      <c r="M94" s="19" t="str">
        <f ca="1"/>
        <v>Boolean expressions</v>
      </c>
      <c r="N94" s="19" t="str">
        <f ca="1"/>
        <v>Conditional Expressions</v>
      </c>
      <c r="O94" s="19" t="str">
        <f ca="1"/>
        <v>HTML</v>
      </c>
      <c r="P94" s="6" t="s">
        <v>122</v>
      </c>
      <c r="Q94" s="19" t="str">
        <f ca="1"/>
        <v>Email Server (SMTP)</v>
      </c>
      <c r="R94" s="19" t="str">
        <f ca="1"/>
        <v>Relational database</v>
      </c>
      <c r="S94" s="19"/>
      <c r="T94" s="19"/>
      <c r="U94" s="19"/>
      <c r="V94" s="6" t="s">
        <v>122</v>
      </c>
    </row>
    <row r="95" spans="1:22" x14ac:dyDescent="0.25">
      <c r="B95" s="6" t="s">
        <v>122</v>
      </c>
      <c r="C95" s="19"/>
      <c r="D95" s="19" t="str">
        <f ca="1"/>
        <v>XML/XPath</v>
      </c>
      <c r="E95" s="19" t="str">
        <f ca="1"/>
        <v>+Business Data Types</v>
      </c>
      <c r="F95" s="19" t="str">
        <f ca="1"/>
        <v>Conditional Expressions</v>
      </c>
      <c r="G95" s="19" t="str">
        <f ca="1"/>
        <v>Events</v>
      </c>
      <c r="H95" s="6" t="s">
        <v>122</v>
      </c>
      <c r="I95" s="19"/>
      <c r="J95" s="19" t="str">
        <f ca="1"/>
        <v>+Business Data Types</v>
      </c>
      <c r="K95" s="19" t="str">
        <f ca="1"/>
        <v>Data source integration</v>
      </c>
      <c r="L95" s="19" t="str">
        <f ca="1"/>
        <v>+WYSIWYG</v>
      </c>
      <c r="M95" s="19" t="str">
        <f ca="1"/>
        <v>Conditional Expressions</v>
      </c>
      <c r="N95" s="19" t="str">
        <f ca="1"/>
        <v>API</v>
      </c>
      <c r="O95" s="19" t="str">
        <f ca="1"/>
        <v>XML</v>
      </c>
      <c r="P95" s="6" t="s">
        <v>122</v>
      </c>
      <c r="Q95" s="19"/>
      <c r="R95" s="19"/>
      <c r="S95" s="19"/>
      <c r="T95" s="19"/>
      <c r="U95" s="19"/>
      <c r="V95" s="6" t="s">
        <v>122</v>
      </c>
    </row>
    <row r="96" spans="1:22" x14ac:dyDescent="0.25">
      <c r="B96" s="6" t="s">
        <v>122</v>
      </c>
      <c r="C96" s="19"/>
      <c r="D96" s="19" t="str">
        <f ca="1"/>
        <v>+Form-based Data</v>
      </c>
      <c r="E96" s="19" t="str">
        <f ca="1"/>
        <v>Conditional Expressions</v>
      </c>
      <c r="F96" s="19" t="str">
        <f ca="1"/>
        <v>+Lookup/Drop-down Data Patterns (dictionaries and multi field groups)</v>
      </c>
      <c r="G96" s="19" t="str">
        <f ca="1"/>
        <v>Variables</v>
      </c>
      <c r="H96" s="6" t="s">
        <v>122</v>
      </c>
      <c r="I96" s="19"/>
      <c r="J96" s="19"/>
      <c r="K96" s="19" t="str">
        <f ca="1"/>
        <v>Formulas</v>
      </c>
      <c r="L96" s="19" t="str">
        <f ca="1"/>
        <v>XML</v>
      </c>
      <c r="M96" s="19" t="str">
        <f ca="1"/>
        <v>Data fields</v>
      </c>
      <c r="N96" s="19" t="str">
        <f ca="1"/>
        <v>Scripts</v>
      </c>
      <c r="O96" s="19" t="str">
        <f ca="1"/>
        <v>Boolean Expressions</v>
      </c>
      <c r="P96" s="6" t="s">
        <v>122</v>
      </c>
      <c r="Q96" s="19"/>
      <c r="R96" s="19"/>
      <c r="S96" s="19"/>
      <c r="T96" s="19"/>
      <c r="U96" s="19"/>
      <c r="V96" s="6" t="s">
        <v>122</v>
      </c>
    </row>
    <row r="97" spans="1:22" x14ac:dyDescent="0.25">
      <c r="B97" s="6" t="s">
        <v>122</v>
      </c>
      <c r="C97" s="19"/>
      <c r="D97" s="19"/>
      <c r="E97" s="19" t="str">
        <f ca="1"/>
        <v>Expressions</v>
      </c>
      <c r="F97" s="19" t="str">
        <f ca="1"/>
        <v>Scripts (Groovy)</v>
      </c>
      <c r="G97" s="19" t="str">
        <f ca="1"/>
        <v>Boolean Expressions</v>
      </c>
      <c r="H97" s="6" t="s">
        <v>122</v>
      </c>
      <c r="I97" s="19"/>
      <c r="J97" s="19"/>
      <c r="K97" s="19"/>
      <c r="L97" s="19"/>
      <c r="M97" s="19" t="str">
        <f ca="1"/>
        <v>Scripts</v>
      </c>
      <c r="N97" s="19"/>
      <c r="O97" s="19" t="str">
        <f ca="1"/>
        <v>Conditional Expressions</v>
      </c>
      <c r="P97" s="6" t="s">
        <v>122</v>
      </c>
      <c r="Q97" s="19"/>
      <c r="R97" s="19"/>
      <c r="S97" s="19"/>
      <c r="T97" s="19"/>
      <c r="U97" s="19"/>
      <c r="V97" s="6" t="s">
        <v>122</v>
      </c>
    </row>
    <row r="98" spans="1:22" x14ac:dyDescent="0.25">
      <c r="B98" s="6" t="s">
        <v>122</v>
      </c>
      <c r="C98" s="19"/>
      <c r="D98" s="19"/>
      <c r="E98" s="19" t="str">
        <f ca="1"/>
        <v>Variables</v>
      </c>
      <c r="F98" s="19"/>
      <c r="G98" s="19" t="str">
        <f ca="1"/>
        <v>Conditional Expressions</v>
      </c>
      <c r="H98" s="6" t="s">
        <v>122</v>
      </c>
      <c r="I98" s="19"/>
      <c r="J98" s="19"/>
      <c r="K98" s="19"/>
      <c r="L98" s="19"/>
      <c r="M98" s="19"/>
      <c r="N98" s="19"/>
      <c r="O98" s="19" t="str">
        <f ca="1"/>
        <v>Expressions</v>
      </c>
      <c r="P98" s="6" t="s">
        <v>122</v>
      </c>
      <c r="Q98" s="19"/>
      <c r="R98" s="19"/>
      <c r="S98" s="19"/>
      <c r="T98" s="19"/>
      <c r="U98" s="19"/>
      <c r="V98" s="6" t="s">
        <v>122</v>
      </c>
    </row>
    <row r="99" spans="1:22" x14ac:dyDescent="0.25">
      <c r="B99" s="6" t="s">
        <v>122</v>
      </c>
      <c r="C99" s="19"/>
      <c r="D99" s="19"/>
      <c r="E99" s="19"/>
      <c r="F99" s="19"/>
      <c r="G99" s="19" t="str">
        <f ca="1"/>
        <v>SQL</v>
      </c>
      <c r="H99" s="6" t="s">
        <v>122</v>
      </c>
      <c r="I99" s="19"/>
      <c r="J99" s="19"/>
      <c r="K99" s="19"/>
      <c r="L99" s="19"/>
      <c r="M99" s="19"/>
      <c r="N99" s="19"/>
      <c r="O99" s="19"/>
      <c r="P99" s="6" t="s">
        <v>122</v>
      </c>
      <c r="Q99" s="19"/>
      <c r="R99" s="19"/>
      <c r="S99" s="19"/>
      <c r="T99" s="19"/>
      <c r="U99" s="19"/>
      <c r="V99" s="6" t="s">
        <v>122</v>
      </c>
    </row>
    <row r="100" spans="1:22" x14ac:dyDescent="0.25">
      <c r="B100" s="6" t="s">
        <v>122</v>
      </c>
      <c r="C100" s="19"/>
      <c r="D100" s="19"/>
      <c r="E100" s="19"/>
      <c r="F100" s="19"/>
      <c r="G100" s="19"/>
      <c r="H100" s="6" t="s">
        <v>122</v>
      </c>
      <c r="I100" s="19"/>
      <c r="J100" s="19"/>
      <c r="K100" s="19"/>
      <c r="L100" s="19"/>
      <c r="M100" s="19"/>
      <c r="N100" s="19"/>
      <c r="O100" s="19"/>
      <c r="P100" s="6" t="s">
        <v>122</v>
      </c>
      <c r="Q100" s="19"/>
      <c r="R100" s="19"/>
      <c r="S100" s="19"/>
      <c r="T100" s="19"/>
      <c r="U100" s="19"/>
      <c r="V100" s="6" t="s">
        <v>122</v>
      </c>
    </row>
    <row r="101" spans="1:22" x14ac:dyDescent="0.25">
      <c r="B101" s="6" t="s">
        <v>122</v>
      </c>
      <c r="C101" s="19"/>
      <c r="D101" s="19"/>
      <c r="E101" s="19"/>
      <c r="F101" s="19"/>
      <c r="G101" s="19"/>
      <c r="H101" s="6" t="s">
        <v>122</v>
      </c>
      <c r="I101" s="19"/>
      <c r="J101" s="19"/>
      <c r="K101" s="19"/>
      <c r="L101" s="19"/>
      <c r="M101" s="19"/>
      <c r="N101" s="19"/>
      <c r="O101" s="19"/>
      <c r="P101" s="6" t="s">
        <v>122</v>
      </c>
      <c r="Q101" s="19"/>
      <c r="R101" s="19"/>
      <c r="S101" s="19"/>
      <c r="T101" s="19"/>
      <c r="U101" s="19"/>
      <c r="V101" s="6" t="s">
        <v>122</v>
      </c>
    </row>
    <row r="102" spans="1:22" x14ac:dyDescent="0.25">
      <c r="B102" s="6" t="s">
        <v>122</v>
      </c>
      <c r="C102" s="19"/>
      <c r="D102" s="19"/>
      <c r="E102" s="19"/>
      <c r="F102" s="19"/>
      <c r="G102" s="19"/>
      <c r="H102" s="6" t="s">
        <v>122</v>
      </c>
      <c r="I102" s="19"/>
      <c r="J102" s="19"/>
      <c r="K102" s="19"/>
      <c r="L102" s="19"/>
      <c r="M102" s="19"/>
      <c r="N102" s="19"/>
      <c r="O102" s="19"/>
      <c r="P102" s="6" t="s">
        <v>122</v>
      </c>
      <c r="Q102" s="19"/>
      <c r="R102" s="19"/>
      <c r="S102" s="19"/>
      <c r="T102" s="19"/>
      <c r="U102" s="19"/>
      <c r="V102" s="6" t="s">
        <v>122</v>
      </c>
    </row>
    <row r="103" spans="1:22" x14ac:dyDescent="0.25">
      <c r="B103" s="6" t="s">
        <v>122</v>
      </c>
      <c r="C103" s="19"/>
      <c r="D103" s="19"/>
      <c r="E103" s="19"/>
      <c r="F103" s="19"/>
      <c r="G103" s="19"/>
      <c r="H103" s="6" t="s">
        <v>122</v>
      </c>
      <c r="I103" s="19"/>
      <c r="J103" s="19"/>
      <c r="K103" s="19"/>
      <c r="L103" s="19"/>
      <c r="M103" s="19"/>
      <c r="N103" s="19"/>
      <c r="O103" s="19"/>
      <c r="P103" s="6" t="s">
        <v>122</v>
      </c>
      <c r="Q103" s="19"/>
      <c r="R103" s="19"/>
      <c r="S103" s="19"/>
      <c r="T103" s="19"/>
      <c r="U103" s="19"/>
      <c r="V103" s="6" t="s">
        <v>122</v>
      </c>
    </row>
    <row r="104" spans="1:22" x14ac:dyDescent="0.25">
      <c r="B104" s="6" t="s">
        <v>122</v>
      </c>
      <c r="C104" s="19"/>
      <c r="D104" s="19"/>
      <c r="E104" s="19"/>
      <c r="F104" s="19"/>
      <c r="G104" s="19"/>
      <c r="H104" s="6" t="s">
        <v>122</v>
      </c>
      <c r="I104" s="19"/>
      <c r="J104" s="19"/>
      <c r="K104" s="19"/>
      <c r="L104" s="19"/>
      <c r="M104" s="19"/>
      <c r="N104" s="19"/>
      <c r="O104" s="19"/>
      <c r="P104" s="6" t="s">
        <v>122</v>
      </c>
      <c r="Q104" s="19"/>
      <c r="R104" s="19"/>
      <c r="S104" s="19"/>
      <c r="T104" s="19"/>
      <c r="U104" s="19"/>
      <c r="V104" s="6" t="s">
        <v>122</v>
      </c>
    </row>
    <row r="105" spans="1:22" x14ac:dyDescent="0.25">
      <c r="B105" s="6" t="s">
        <v>122</v>
      </c>
      <c r="C105" s="19"/>
      <c r="D105" s="19"/>
      <c r="E105" s="19"/>
      <c r="F105" s="19"/>
      <c r="G105" s="19"/>
      <c r="H105" s="6" t="s">
        <v>122</v>
      </c>
      <c r="I105" s="19"/>
      <c r="J105" s="19"/>
      <c r="K105" s="19"/>
      <c r="L105" s="19"/>
      <c r="M105" s="19"/>
      <c r="N105" s="19"/>
      <c r="O105" s="19"/>
      <c r="P105" s="6" t="s">
        <v>122</v>
      </c>
      <c r="Q105" s="19"/>
      <c r="R105" s="19"/>
      <c r="S105" s="19"/>
      <c r="T105" s="19"/>
      <c r="U105" s="19"/>
      <c r="V105" s="6" t="s">
        <v>122</v>
      </c>
    </row>
    <row r="106" spans="1:22" x14ac:dyDescent="0.25">
      <c r="B106" s="6" t="s">
        <v>122</v>
      </c>
      <c r="C106" s="19"/>
      <c r="D106" s="19"/>
      <c r="E106" s="19"/>
      <c r="F106" s="19"/>
      <c r="G106" s="19"/>
      <c r="H106" s="6" t="s">
        <v>122</v>
      </c>
      <c r="I106" s="19"/>
      <c r="J106" s="19"/>
      <c r="K106" s="19"/>
      <c r="L106" s="19"/>
      <c r="M106" s="19"/>
      <c r="N106" s="19"/>
      <c r="O106" s="19"/>
      <c r="P106" s="6" t="s">
        <v>122</v>
      </c>
      <c r="Q106" s="19"/>
      <c r="R106" s="19"/>
      <c r="S106" s="19"/>
      <c r="T106" s="19"/>
      <c r="U106" s="19"/>
      <c r="V106" s="6" t="s">
        <v>122</v>
      </c>
    </row>
    <row r="107" spans="1:22" x14ac:dyDescent="0.25">
      <c r="B107" s="6" t="s">
        <v>122</v>
      </c>
      <c r="C107" s="19"/>
      <c r="D107" s="19"/>
      <c r="E107" s="19"/>
      <c r="F107" s="19"/>
      <c r="G107" s="19"/>
      <c r="H107" s="6" t="s">
        <v>122</v>
      </c>
      <c r="I107" s="19"/>
      <c r="J107" s="19"/>
      <c r="K107" s="19"/>
      <c r="L107" s="19"/>
      <c r="M107" s="19"/>
      <c r="N107" s="19"/>
      <c r="O107" s="19"/>
      <c r="P107" s="6" t="s">
        <v>122</v>
      </c>
      <c r="Q107" s="19"/>
      <c r="R107" s="19"/>
      <c r="S107" s="19"/>
      <c r="T107" s="19"/>
      <c r="U107" s="19"/>
      <c r="V107" s="6" t="s">
        <v>122</v>
      </c>
    </row>
    <row r="108" spans="1:22" x14ac:dyDescent="0.25">
      <c r="B108" s="6" t="s">
        <v>122</v>
      </c>
      <c r="C108" s="19"/>
      <c r="D108" s="19"/>
      <c r="E108" s="19"/>
      <c r="F108" s="19"/>
      <c r="G108" s="19"/>
      <c r="H108" s="6" t="s">
        <v>122</v>
      </c>
      <c r="I108" s="19"/>
      <c r="J108" s="19"/>
      <c r="K108" s="19"/>
      <c r="L108" s="19"/>
      <c r="M108" s="19"/>
      <c r="N108" s="19"/>
      <c r="O108" s="19"/>
      <c r="P108" s="6" t="s">
        <v>122</v>
      </c>
      <c r="Q108" s="19"/>
      <c r="R108" s="19"/>
      <c r="S108" s="19"/>
      <c r="T108" s="19"/>
      <c r="U108" s="19"/>
      <c r="V108" s="6" t="s">
        <v>122</v>
      </c>
    </row>
    <row r="109" spans="1:22" x14ac:dyDescent="0.25">
      <c r="B109" s="6" t="s">
        <v>122</v>
      </c>
      <c r="C109" s="19"/>
      <c r="D109" s="19"/>
      <c r="E109" s="19"/>
      <c r="F109" s="19"/>
      <c r="G109" s="19"/>
      <c r="H109" s="6" t="s">
        <v>122</v>
      </c>
      <c r="I109" s="19"/>
      <c r="J109" s="19"/>
      <c r="K109" s="19"/>
      <c r="L109" s="19"/>
      <c r="M109" s="19"/>
      <c r="N109" s="19"/>
      <c r="O109" s="19"/>
      <c r="P109" s="6" t="s">
        <v>122</v>
      </c>
      <c r="Q109" s="19"/>
      <c r="R109" s="19"/>
      <c r="S109" s="19"/>
      <c r="T109" s="19"/>
      <c r="U109" s="19"/>
      <c r="V109" s="6" t="s">
        <v>122</v>
      </c>
    </row>
    <row r="110" spans="1:22" x14ac:dyDescent="0.25">
      <c r="A110" s="23"/>
      <c r="B110" s="6" t="s">
        <v>122</v>
      </c>
      <c r="C110" s="25"/>
      <c r="D110" s="25"/>
      <c r="E110" s="25"/>
      <c r="F110" s="25"/>
      <c r="G110" s="25"/>
      <c r="H110" s="6" t="s">
        <v>122</v>
      </c>
      <c r="I110" s="25"/>
      <c r="J110" s="25"/>
      <c r="K110" s="25"/>
      <c r="L110" s="25"/>
      <c r="M110" s="25"/>
      <c r="N110" s="25"/>
      <c r="O110" s="25"/>
      <c r="P110" s="6" t="s">
        <v>122</v>
      </c>
      <c r="Q110" s="25"/>
      <c r="R110" s="25"/>
      <c r="S110" s="25"/>
      <c r="T110" s="25"/>
      <c r="U110" s="25"/>
      <c r="V110" s="6" t="s">
        <v>122</v>
      </c>
    </row>
    <row r="113" spans="1:22" ht="20.25" thickBot="1" x14ac:dyDescent="0.35">
      <c r="A113" s="26" t="s">
        <v>376</v>
      </c>
    </row>
    <row r="114" spans="1:22" s="19" customFormat="1" ht="16.5" thickTop="1" x14ac:dyDescent="0.25"/>
    <row r="115" spans="1:22" s="19" customFormat="1" x14ac:dyDescent="0.25">
      <c r="B115" s="6" t="s">
        <v>122</v>
      </c>
      <c r="C115" s="28" t="str">
        <f>C2</f>
        <v>Workflow model</v>
      </c>
      <c r="D115" s="28" t="str">
        <f>D2</f>
        <v>Database model</v>
      </c>
      <c r="E115" s="28" t="str">
        <f>E2</f>
        <v>UI model</v>
      </c>
      <c r="F115" s="28" t="str">
        <f>F2</f>
        <v>Validations</v>
      </c>
      <c r="G115" s="28" t="str">
        <f>G2</f>
        <v>Application logic</v>
      </c>
      <c r="H115" s="6" t="s">
        <v>122</v>
      </c>
      <c r="I115" s="28" t="str">
        <f t="shared" ref="I115:O115" si="0">I2</f>
        <v>Workflow design and development</v>
      </c>
      <c r="J115" s="28" t="str">
        <f t="shared" si="0"/>
        <v>Database design</v>
      </c>
      <c r="K115" s="28" t="str">
        <f t="shared" si="0"/>
        <v>Fetching data</v>
      </c>
      <c r="L115" s="28" t="str">
        <f t="shared" si="0"/>
        <v>GUI design and development</v>
      </c>
      <c r="M115" s="28" t="str">
        <f t="shared" si="0"/>
        <v>Data validation development</v>
      </c>
      <c r="N115" s="28" t="str">
        <f t="shared" si="0"/>
        <v>Actions design and development</v>
      </c>
      <c r="O115" s="28" t="str">
        <f t="shared" si="0"/>
        <v>Programming</v>
      </c>
      <c r="P115" s="6" t="s">
        <v>122</v>
      </c>
      <c r="Q115" s="28" t="str">
        <f>Q2</f>
        <v>Runtime server installation</v>
      </c>
      <c r="R115" s="28" t="str">
        <f>R2</f>
        <v>Database installation</v>
      </c>
      <c r="S115" s="28" t="str">
        <f>S2</f>
        <v>Client module installation</v>
      </c>
      <c r="T115" s="28" t="str">
        <f>T2</f>
        <v>Deployment</v>
      </c>
      <c r="U115" s="28" t="str">
        <f>U2</f>
        <v>Version control</v>
      </c>
      <c r="V115" s="6" t="s">
        <v>122</v>
      </c>
    </row>
    <row r="116" spans="1:22" x14ac:dyDescent="0.25">
      <c r="A116" s="27"/>
      <c r="B116" s="6" t="s">
        <v>122</v>
      </c>
      <c r="C116" s="19" t="str" cm="1">
        <f t="array" ref="C116:C117">_xlfn._xlws.SORT(_xlfn.UNIQUE(_xlfn.TOCOL(_xlfn.TEXTSPLIT(SUBSTITUTE(_xlfn.TEXTJOIN(", ",TRUE,_xlfn._xlws.FILTER('Platform review'!$E$1:$E$127,'Platform review'!$C$1:$C$127=C$115,"-")),CHAR(34),""),", "))))</f>
        <v>+BPMN Process Model</v>
      </c>
      <c r="D116" s="19" t="str" cm="1">
        <f t="array" ref="D116:D139">_xlfn._xlws.SORT(_xlfn.UNIQUE(_xlfn.TOCOL(_xlfn.TEXTSPLIT(SUBSTITUTE(_xlfn.TEXTJOIN(", ",TRUE,_xlfn._xlws.FILTER('Platform review'!$E$1:$E$127,'Platform review'!$C$1:$C$127=D$115,"-")),CHAR(34),""),", "))))</f>
        <v>+Business Data Types</v>
      </c>
      <c r="E116" s="19" t="str" cm="1">
        <f t="array" ref="E116:E132">_xlfn._xlws.SORT(_xlfn.UNIQUE(_xlfn.TOCOL(_xlfn.TEXTSPLIT(SUBSTITUTE(_xlfn.TEXTJOIN(", ",TRUE,_xlfn._xlws.FILTER('Platform review'!$E$1:$E$127,'Platform review'!$C$1:$C$127=E$115,"-")),CHAR(34),""),", "))))</f>
        <v>+App templates</v>
      </c>
      <c r="F116" s="19" t="str" cm="1">
        <f t="array" ref="F116:F127">_xlfn._xlws.SORT(_xlfn.UNIQUE(_xlfn.TOCOL(_xlfn.TEXTSPLIT(SUBSTITUTE(_xlfn.TEXTJOIN(", ",TRUE,_xlfn._xlws.FILTER('Platform review'!$E$1:$E$127,'Platform review'!$C$1:$C$127=F$115,"-")),CHAR(34),""),", "))))</f>
        <v>+Business Rules (graphical)</v>
      </c>
      <c r="G116" s="19" t="str" cm="1">
        <f t="array" ref="G116:G139">_xlfn._xlws.SORT(_xlfn.UNIQUE(_xlfn.TOCOL(_xlfn.TEXTSPLIT(SUBSTITUTE(_xlfn.TEXTJOIN(", ",TRUE,_xlfn._xlws.FILTER('Platform review'!$E$1:$E$127,'Platform review'!$C$1:$C$127=G$115,"-")),CHAR(34),""),", "))))</f>
        <v>+Actions</v>
      </c>
      <c r="H116" s="6" t="s">
        <v>122</v>
      </c>
      <c r="I116" s="19" t="str" cm="1">
        <f t="array" ref="I116:I125">_xlfn._xlws.SORT(_xlfn.UNIQUE(_xlfn.TOCOL(_xlfn.TEXTSPLIT(SUBSTITUTE(_xlfn.TEXTJOIN(", ",TRUE,_xlfn._xlws.FILTER('Platform review'!$E$1:$E$127,'Platform review'!$C$1:$C$127=I$115,"-")),CHAR(34),""),", "))))</f>
        <v>+BPMN Process Model</v>
      </c>
      <c r="J116" s="19" t="str" cm="1">
        <f t="array" ref="J116:J137">_xlfn._xlws.SORT(_xlfn.UNIQUE(_xlfn.TOCOL(_xlfn.TEXTSPLIT(SUBSTITUTE(_xlfn.TEXTJOIN(", ",TRUE,_xlfn._xlws.FILTER('Platform review'!$E$1:$E$127,'Platform review'!$C$1:$C$127=J$115,"-")),CHAR(34),""),", "))))</f>
        <v>+Business Data Types</v>
      </c>
      <c r="K116" s="19" t="str" cm="1">
        <f t="array" ref="K116:K139">_xlfn._xlws.SORT(_xlfn.UNIQUE(_xlfn.TOCOL(_xlfn.TEXTSPLIT(SUBSTITUTE(_xlfn.TEXTJOIN(", ",TRUE,_xlfn._xlws.FILTER('Platform review'!$E$1:$E$127,'Platform review'!$C$1:$C$127=K$115,"-")),CHAR(34),""),", "))))</f>
        <v>.NET</v>
      </c>
      <c r="L116" s="19" t="str" cm="1">
        <f t="array" ref="L116:L142">_xlfn._xlws.SORT(_xlfn.UNIQUE(_xlfn.TOCOL(_xlfn.TEXTSPLIT(SUBSTITUTE(_xlfn.TEXTJOIN(", ",TRUE,_xlfn._xlws.FILTER('Platform review'!$E$1:$E$127,'Platform review'!$C$1:$C$127=L$115,"-")),CHAR(34),""),", "))))</f>
        <v>+AI Support (Copilot - Build apps through conversation)</v>
      </c>
      <c r="M116" s="19" t="str" cm="1">
        <f t="array" ref="M116:M123">_xlfn._xlws.SORT(_xlfn.UNIQUE(_xlfn.TOCOL(_xlfn.TEXTSPLIT(SUBSTITUTE(_xlfn.TEXTJOIN(", ",TRUE,_xlfn._xlws.FILTER('Platform review'!$E$1:$E$127,'Platform review'!$C$1:$C$127=M$115,"-")),CHAR(34),""),", "))))</f>
        <v>+Business Rules (graphical)</v>
      </c>
      <c r="N116" s="19" t="str" cm="1">
        <f t="array" ref="N116:N129">_xlfn._xlws.SORT(_xlfn.UNIQUE(_xlfn.TOCOL(_xlfn.TEXTSPLIT(SUBSTITUTE(_xlfn.TEXTJOIN(", ",TRUE,_xlfn._xlws.FILTER('Platform review'!$E$1:$E$127,'Platform review'!$C$1:$C$127=N$115,"-")),CHAR(34),""),", "))))</f>
        <v>+AI Assisted Development</v>
      </c>
      <c r="O116" s="19" t="str" cm="1">
        <f t="array" ref="O116:O149">_xlfn._xlws.SORT(_xlfn.UNIQUE(_xlfn.TOCOL(_xlfn.TEXTSPLIT(SUBSTITUTE(_xlfn.TEXTJOIN(", ",TRUE,_xlfn._xlws.FILTER('Platform review'!$E$1:$E$127,'Platform review'!$C$1:$C$127=O$115,"-")),CHAR(34),""),", "))))</f>
        <v>.NET</v>
      </c>
      <c r="P116" s="6" t="s">
        <v>122</v>
      </c>
      <c r="Q116" s="19" t="str" cm="1">
        <f t="array" ref="Q116:Q139">_xlfn._xlws.SORT(_xlfn.UNIQUE(_xlfn.TOCOL(_xlfn.TEXTSPLIT(SUBSTITUTE(_xlfn.TEXTJOIN(", ",TRUE,_xlfn._xlws.FILTER('Platform review'!$E$1:$E$127,'Platform review'!$C$1:$C$127=Q$115,"-")),CHAR(34),""),", "))))</f>
        <v>+Cloud Based Environment</v>
      </c>
      <c r="R116" s="19" t="str" cm="1">
        <f t="array" ref="R116:R123">_xlfn._xlws.SORT(_xlfn.UNIQUE(_xlfn.TOCOL(_xlfn.TEXTSPLIT(SUBSTITUTE(_xlfn.TEXTJOIN(", ",TRUE,_xlfn._xlws.FILTER('Platform review'!$E$1:$E$127,'Platform review'!$C$1:$C$127=R$115,"-")),CHAR(34),""),", "))))</f>
        <v>+Embedded Database (Microsoft Dataverse)</v>
      </c>
      <c r="S116" s="19" t="str" cm="1">
        <f t="array" ref="S116:S123">_xlfn._xlws.SORT(_xlfn.UNIQUE(_xlfn.TOCOL(_xlfn.TEXTSPLIT(SUBSTITUTE(_xlfn.TEXTJOIN(", ",TRUE,_xlfn._xlws.FILTER('Platform review'!$E$1:$E$127,'Platform review'!$C$1:$C$127=S$115,"-")),CHAR(34),""),", "))))</f>
        <v>.NET Framework</v>
      </c>
      <c r="T116" s="19" t="str" cm="1">
        <f t="array" ref="T116:T130">_xlfn._xlws.SORT(_xlfn.UNIQUE(_xlfn.TOCOL(_xlfn.TEXTSPLIT(SUBSTITUTE(_xlfn.TEXTJOIN(", ",TRUE,_xlfn._xlws.FILTER('Platform review'!$E$1:$E$127,'Platform review'!$C$1:$C$127=T$115,"-")),CHAR(34),""),", "))))</f>
        <v>+App Gallery</v>
      </c>
      <c r="U116" s="19" t="str" cm="1">
        <f t="array" ref="U116:U118">_xlfn._xlws.SORT(_xlfn.UNIQUE(_xlfn.TOCOL(_xlfn.TEXTSPLIT(SUBSTITUTE(_xlfn.TEXTJOIN(", ",TRUE,_xlfn._xlws.FILTER('Platform review'!$E$1:$E$127,'Platform review'!$C$1:$C$127=U$115,"-")),CHAR(34),""),", "))))</f>
        <v>Code Repository Concept</v>
      </c>
      <c r="V116" s="6" t="s">
        <v>122</v>
      </c>
    </row>
    <row r="117" spans="1:22" x14ac:dyDescent="0.25">
      <c r="A117" s="19"/>
      <c r="B117" s="6" t="s">
        <v>122</v>
      </c>
      <c r="C117" s="19" t="str">
        <v>Custom Process Model</v>
      </c>
      <c r="D117" s="19" t="str">
        <v>+Form-based Data</v>
      </c>
      <c r="E117" s="19" t="str">
        <v>+App templates (CUBBE)</v>
      </c>
      <c r="F117" s="19" t="str">
        <v>+Lookup/Drop-down Data Patterns</v>
      </c>
      <c r="G117" s="19" t="str">
        <v>+Graphical actions</v>
      </c>
      <c r="H117" s="6" t="s">
        <v>122</v>
      </c>
      <c r="I117" s="19" t="str">
        <v>Conditional Expressions</v>
      </c>
      <c r="J117" s="19" t="str">
        <v>+Custom Database Model</v>
      </c>
      <c r="K117" s="19" t="str">
        <v>+Cloud-based Spreadsheets</v>
      </c>
      <c r="L117" s="19" t="str">
        <v>+Business Data Types</v>
      </c>
      <c r="M117" s="19" t="str">
        <v>+Column Expressions</v>
      </c>
      <c r="N117" s="19" t="str">
        <v>+Automations</v>
      </c>
      <c r="O117" s="19" t="str">
        <v>+Visual Programming</v>
      </c>
      <c r="P117" s="6" t="s">
        <v>122</v>
      </c>
      <c r="Q117" s="19" t="str">
        <v>API</v>
      </c>
      <c r="R117" s="19" t="str">
        <v>+Embedded Database (Postgres or Oracle)</v>
      </c>
      <c r="S117" s="19" t="str">
        <v>+Mobile App</v>
      </c>
      <c r="T117" s="19" t="str">
        <v>+Software as a Service</v>
      </c>
      <c r="U117" s="19" t="str">
        <v>Custom Version Control</v>
      </c>
      <c r="V117" s="6" t="s">
        <v>122</v>
      </c>
    </row>
    <row r="118" spans="1:22" x14ac:dyDescent="0.25">
      <c r="A118" s="19"/>
      <c r="B118" s="6" t="s">
        <v>122</v>
      </c>
      <c r="C118" s="19"/>
      <c r="D118" s="19" t="str">
        <v>+Item-Detail</v>
      </c>
      <c r="E118" s="19" t="str">
        <v>+Business Data Types</v>
      </c>
      <c r="F118" s="19" t="str">
        <v>+Lookup/Drop-down Data Patterns (dictionaries and multi field groups)</v>
      </c>
      <c r="G118" s="19" t="str">
        <v>+NLP</v>
      </c>
      <c r="H118" s="6" t="s">
        <v>122</v>
      </c>
      <c r="I118" s="19" t="str">
        <v>Custom Process Model</v>
      </c>
      <c r="J118" s="19" t="str">
        <v>+Lookup Column</v>
      </c>
      <c r="K118" s="19" t="str">
        <v>+GUI Queries</v>
      </c>
      <c r="L118" s="19" t="str">
        <v>+Conditional Formatting</v>
      </c>
      <c r="M118" s="19" t="str">
        <v>Boolean Expressions</v>
      </c>
      <c r="N118" s="19" t="str">
        <v>+Built-in Connectors</v>
      </c>
      <c r="O118" s="19" t="str">
        <v>Boolean Expressions</v>
      </c>
      <c r="P118" s="6" t="s">
        <v>122</v>
      </c>
      <c r="Q118" s="19" t="str">
        <v>Compiler Service</v>
      </c>
      <c r="R118" s="19" t="str">
        <v>+Embedded Database (Postgres)</v>
      </c>
      <c r="S118" s="19" t="str">
        <v>+Web Browser</v>
      </c>
      <c r="T118" s="19" t="str">
        <v>Application IDE</v>
      </c>
      <c r="U118" s="19" t="str">
        <v>Git</v>
      </c>
      <c r="V118" s="6" t="s">
        <v>122</v>
      </c>
    </row>
    <row r="119" spans="1:22" x14ac:dyDescent="0.25">
      <c r="A119" s="19"/>
      <c r="B119" s="6" t="s">
        <v>122</v>
      </c>
      <c r="C119" s="19"/>
      <c r="D119" s="19" t="str">
        <v>+Lookup/Drop-down</v>
      </c>
      <c r="E119" s="19" t="str">
        <v>+Screen Templates</v>
      </c>
      <c r="F119" s="19" t="str">
        <v>Arithmetic Expressions</v>
      </c>
      <c r="G119" s="19" t="str">
        <v>+Power Fx - an Open-source programming language for low-code</v>
      </c>
      <c r="H119" s="6" t="s">
        <v>122</v>
      </c>
      <c r="I119" s="19" t="str">
        <v>Custom Process Model (AppSheet Automation)</v>
      </c>
      <c r="J119" s="19" t="str">
        <v>+Reference Column</v>
      </c>
      <c r="K119" s="19" t="str">
        <v>+Human Language</v>
      </c>
      <c r="L119" s="19" t="str">
        <v>+GUI Style Editor</v>
      </c>
      <c r="M119" s="19" t="str">
        <v>Conditional Expressions</v>
      </c>
      <c r="N119" s="19" t="str">
        <v>API</v>
      </c>
      <c r="O119" s="19" t="str">
        <v>CLI (Microsoft Power Platform CLI)</v>
      </c>
      <c r="P119" s="6" t="s">
        <v>122</v>
      </c>
      <c r="Q119" s="19" t="str">
        <v>Database Synchronization</v>
      </c>
      <c r="R119" s="19" t="str">
        <v>+Embedded Database (Spreadsheets)</v>
      </c>
      <c r="S119" s="19" t="str">
        <v>API</v>
      </c>
      <c r="T119" s="19" t="str">
        <v>CI/CD</v>
      </c>
      <c r="U119" s="19"/>
      <c r="V119" s="6" t="s">
        <v>122</v>
      </c>
    </row>
    <row r="120" spans="1:22" x14ac:dyDescent="0.25">
      <c r="A120" s="19"/>
      <c r="B120" s="6" t="s">
        <v>122</v>
      </c>
      <c r="C120" s="19"/>
      <c r="D120" s="19" t="str">
        <v>+Predefined Entities</v>
      </c>
      <c r="E120" s="19" t="str">
        <v>+Screen Templates / Sample Power Apps</v>
      </c>
      <c r="F120" s="19" t="str">
        <v>Boolean Expressions</v>
      </c>
      <c r="G120" s="19" t="str">
        <v>+Predefined Process Steps</v>
      </c>
      <c r="H120" s="6" t="s">
        <v>122</v>
      </c>
      <c r="I120" s="19" t="str">
        <v>Custom Process Model (Business Process Flows)</v>
      </c>
      <c r="J120" s="19" t="str">
        <v>+References</v>
      </c>
      <c r="K120" s="19" t="str">
        <v>+Integrated Data Sources</v>
      </c>
      <c r="L120" s="19" t="str">
        <v xml:space="preserve">+GUI Style Editor </v>
      </c>
      <c r="M120" s="19" t="str">
        <v>Data Fields</v>
      </c>
      <c r="N120" s="19" t="str">
        <v>Conditional Expressions</v>
      </c>
      <c r="O120" s="19" t="str">
        <v>Complex Types</v>
      </c>
      <c r="P120" s="6" t="s">
        <v>122</v>
      </c>
      <c r="Q120" s="19" t="str">
        <v>Deployment Controller Service</v>
      </c>
      <c r="R120" s="19" t="str">
        <v>File Storage</v>
      </c>
      <c r="S120" s="19" t="str">
        <v>Binaries</v>
      </c>
      <c r="T120" s="19" t="str">
        <v>Cloud Computing</v>
      </c>
      <c r="U120" s="19"/>
      <c r="V120" s="6" t="s">
        <v>122</v>
      </c>
    </row>
    <row r="121" spans="1:22" x14ac:dyDescent="0.25">
      <c r="A121" s="19"/>
      <c r="B121" s="6" t="s">
        <v>122</v>
      </c>
      <c r="C121" s="19"/>
      <c r="D121" s="19" t="str">
        <v>Association</v>
      </c>
      <c r="E121" s="19" t="str">
        <v>+Screen templates / Zoho - Pre-built Apps</v>
      </c>
      <c r="F121" s="19" t="str">
        <v>Conditional Expressions</v>
      </c>
      <c r="G121" s="19" t="str">
        <v>+Predefined Tasks</v>
      </c>
      <c r="H121" s="6" t="s">
        <v>122</v>
      </c>
      <c r="I121" s="19" t="str">
        <v>Events</v>
      </c>
      <c r="J121" s="19" t="str">
        <v>+Slices (Subset od data; columns and actions)</v>
      </c>
      <c r="K121" s="19" t="str">
        <v>Cloud Services</v>
      </c>
      <c r="L121" s="19" t="str">
        <v>+Templatized Formulas</v>
      </c>
      <c r="M121" s="19" t="str">
        <v>Domain Model</v>
      </c>
      <c r="N121" s="19" t="str">
        <v>Expressions</v>
      </c>
      <c r="O121" s="19" t="str">
        <v>Conditional Expressions</v>
      </c>
      <c r="P121" s="6" t="s">
        <v>122</v>
      </c>
      <c r="Q121" s="19" t="str">
        <v>Email Server (SMTP)</v>
      </c>
      <c r="R121" s="19" t="str">
        <v>Relational Database</v>
      </c>
      <c r="S121" s="19" t="str">
        <v>HTTPS Server</v>
      </c>
      <c r="T121" s="19" t="str">
        <v>Cloud Services</v>
      </c>
      <c r="U121" s="19"/>
      <c r="V121" s="6" t="s">
        <v>122</v>
      </c>
    </row>
    <row r="122" spans="1:22" x14ac:dyDescent="0.25">
      <c r="A122" s="19"/>
      <c r="B122" s="6" t="s">
        <v>122</v>
      </c>
      <c r="C122" s="19"/>
      <c r="D122" s="19" t="str">
        <v>Conditional Expressions</v>
      </c>
      <c r="E122" s="19" t="str">
        <v>+UI Branding (no HTML/CSS)</v>
      </c>
      <c r="F122" s="19" t="str">
        <v>Enumerations</v>
      </c>
      <c r="G122" s="19" t="str">
        <v>Activity Diagram</v>
      </c>
      <c r="H122" s="6" t="s">
        <v>122</v>
      </c>
      <c r="I122" s="19" t="str">
        <v>Java API</v>
      </c>
      <c r="J122" s="19" t="str">
        <v>Actions</v>
      </c>
      <c r="K122" s="19" t="str">
        <v>Custom Query Language (Power Query M formula)</v>
      </c>
      <c r="L122" s="19" t="str">
        <v>+UI Branding</v>
      </c>
      <c r="M122" s="19" t="str">
        <v>Scripts</v>
      </c>
      <c r="N122" s="19" t="str">
        <v>Functions</v>
      </c>
      <c r="O122" s="19" t="str">
        <v>Eclipse</v>
      </c>
      <c r="P122" s="6" t="s">
        <v>122</v>
      </c>
      <c r="Q122" s="19" t="str">
        <v>File Storage</v>
      </c>
      <c r="R122" s="19" t="str">
        <v>Relational Database (MS SQL Server)</v>
      </c>
      <c r="S122" s="19" t="str">
        <v>URL Configuration</v>
      </c>
      <c r="T122" s="19" t="str">
        <v>Docker</v>
      </c>
      <c r="U122" s="19"/>
      <c r="V122" s="6" t="s">
        <v>122</v>
      </c>
    </row>
    <row r="123" spans="1:22" x14ac:dyDescent="0.25">
      <c r="A123" s="19"/>
      <c r="B123" s="6" t="s">
        <v>122</v>
      </c>
      <c r="C123" s="19"/>
      <c r="D123" s="19" t="str">
        <v>Constraints</v>
      </c>
      <c r="E123" s="19" t="str">
        <v>+View Types</v>
      </c>
      <c r="F123" s="19" t="str">
        <v>JavaScript</v>
      </c>
      <c r="G123" s="19" t="str">
        <v>Algorithms</v>
      </c>
      <c r="H123" s="6" t="s">
        <v>122</v>
      </c>
      <c r="I123" s="19" t="str">
        <v>JavaScript</v>
      </c>
      <c r="J123" s="19" t="str">
        <v>Conditional Expressions</v>
      </c>
      <c r="K123" s="19" t="str">
        <v>Data Source Integration</v>
      </c>
      <c r="L123" s="19" t="str">
        <v>+View Types</v>
      </c>
      <c r="M123" s="19" t="str">
        <v>Scripts (Deluge)</v>
      </c>
      <c r="N123" s="19" t="str">
        <v>Java</v>
      </c>
      <c r="O123" s="19" t="str">
        <v>Emulators Andoid iOS</v>
      </c>
      <c r="P123" s="6" t="s">
        <v>122</v>
      </c>
      <c r="Q123" s="19" t="str">
        <v>HTTPS Server</v>
      </c>
      <c r="R123" s="19" t="str">
        <v>REST API</v>
      </c>
      <c r="S123" s="19" t="str">
        <v>Web Services</v>
      </c>
      <c r="T123" s="19" t="str">
        <v>Import/Export</v>
      </c>
      <c r="U123" s="19"/>
      <c r="V123" s="6" t="s">
        <v>122</v>
      </c>
    </row>
    <row r="124" spans="1:22" x14ac:dyDescent="0.25">
      <c r="A124" s="19"/>
      <c r="B124" s="6" t="s">
        <v>122</v>
      </c>
      <c r="C124" s="19"/>
      <c r="D124" s="19" t="str">
        <v>Data Structure</v>
      </c>
      <c r="E124" s="19" t="str">
        <v>Boolean Expressions</v>
      </c>
      <c r="F124" s="19" t="str">
        <v>Scripts (Deluge)</v>
      </c>
      <c r="G124" s="19" t="str">
        <v>Boolean Expressions</v>
      </c>
      <c r="H124" s="6" t="s">
        <v>122</v>
      </c>
      <c r="I124" s="19" t="str">
        <v>REST API</v>
      </c>
      <c r="J124" s="19" t="str">
        <v>Denormalization</v>
      </c>
      <c r="K124" s="19" t="str">
        <v>Formulas</v>
      </c>
      <c r="L124" s="19" t="str">
        <v>+WYSIWYG</v>
      </c>
      <c r="M124" s="19"/>
      <c r="N124" s="19" t="str">
        <v>JavaScript</v>
      </c>
      <c r="O124" s="19" t="str">
        <v>Entity Types</v>
      </c>
      <c r="P124" s="6" t="s">
        <v>122</v>
      </c>
      <c r="Q124" s="19" t="str">
        <v>Java</v>
      </c>
      <c r="R124" s="19"/>
      <c r="S124" s="19"/>
      <c r="T124" s="19" t="str">
        <v>Kubernetes</v>
      </c>
      <c r="U124" s="19"/>
      <c r="V124" s="6" t="s">
        <v>122</v>
      </c>
    </row>
    <row r="125" spans="1:22" x14ac:dyDescent="0.25">
      <c r="A125" s="19"/>
      <c r="B125" s="6" t="s">
        <v>122</v>
      </c>
      <c r="C125" s="19"/>
      <c r="D125" s="19" t="str">
        <v>Data Types</v>
      </c>
      <c r="E125" s="19" t="str">
        <v>Conditional Expressions</v>
      </c>
      <c r="F125" s="19" t="str">
        <v>Scripts (Groovy)</v>
      </c>
      <c r="G125" s="19" t="str">
        <v>Conditional Expressions</v>
      </c>
      <c r="H125" s="6" t="s">
        <v>122</v>
      </c>
      <c r="I125" s="19" t="str">
        <v>Triggers</v>
      </c>
      <c r="J125" s="19" t="str">
        <v>Entity Diagrams</v>
      </c>
      <c r="K125" s="19" t="str">
        <v>JDBC</v>
      </c>
      <c r="L125" s="19" t="str">
        <v>CSS</v>
      </c>
      <c r="M125" s="19"/>
      <c r="N125" s="19" t="str">
        <v>Object Model</v>
      </c>
      <c r="O125" s="19" t="str">
        <v>EnumTypes</v>
      </c>
      <c r="P125" s="6" t="s">
        <v>122</v>
      </c>
      <c r="Q125" s="19" t="str">
        <v>Load Balancing</v>
      </c>
      <c r="R125" s="19"/>
      <c r="S125" s="19"/>
      <c r="T125" s="19" t="str">
        <v>On-Premise</v>
      </c>
      <c r="U125" s="19"/>
      <c r="V125" s="6" t="s">
        <v>122</v>
      </c>
    </row>
    <row r="126" spans="1:22" x14ac:dyDescent="0.25">
      <c r="A126" s="19"/>
      <c r="B126" s="6" t="s">
        <v>122</v>
      </c>
      <c r="C126" s="19"/>
      <c r="D126" s="19" t="str">
        <v>Denormalization</v>
      </c>
      <c r="E126" s="19" t="str">
        <v>Data Types</v>
      </c>
      <c r="F126" s="19" t="str">
        <v>String Functions</v>
      </c>
      <c r="G126" s="19" t="str">
        <v>Control Structures</v>
      </c>
      <c r="H126" s="6" t="s">
        <v>122</v>
      </c>
      <c r="I126" s="19"/>
      <c r="J126" s="19" t="str">
        <v>Expressions (App Formula Expression; Initial Value Expression)</v>
      </c>
      <c r="K126" s="19" t="str">
        <v>Local Storage</v>
      </c>
      <c r="L126" s="19" t="str">
        <v>Event Propagation</v>
      </c>
      <c r="M126" s="19"/>
      <c r="N126" s="19" t="str">
        <v>REST API</v>
      </c>
      <c r="O126" s="19" t="str">
        <v>Expressions</v>
      </c>
      <c r="P126" s="6" t="s">
        <v>122</v>
      </c>
      <c r="Q126" s="19" t="str">
        <v>Log Service</v>
      </c>
      <c r="R126" s="19"/>
      <c r="S126" s="19"/>
      <c r="T126" s="19" t="str">
        <v>On-premises Data Gateway</v>
      </c>
      <c r="U126" s="19"/>
      <c r="V126" s="6" t="s">
        <v>122</v>
      </c>
    </row>
    <row r="127" spans="1:22" x14ac:dyDescent="0.25">
      <c r="A127" s="19"/>
      <c r="B127" s="6" t="s">
        <v>122</v>
      </c>
      <c r="C127" s="19"/>
      <c r="D127" s="19" t="str">
        <v>Domain Model</v>
      </c>
      <c r="E127" s="19" t="str">
        <v>Expressions</v>
      </c>
      <c r="F127" s="19" t="str">
        <v>Transactions</v>
      </c>
      <c r="G127" s="19" t="str">
        <v>Data Types</v>
      </c>
      <c r="H127" s="6" t="s">
        <v>122</v>
      </c>
      <c r="I127" s="19"/>
      <c r="J127" s="19" t="str">
        <v>Functions</v>
      </c>
      <c r="K127" s="19" t="str">
        <v>OAuth</v>
      </c>
      <c r="L127" s="19" t="str">
        <v>Grid</v>
      </c>
      <c r="M127" s="19"/>
      <c r="N127" s="19" t="str">
        <v>Scripts</v>
      </c>
      <c r="O127" s="19" t="str">
        <v>Functions</v>
      </c>
      <c r="P127" s="6" t="s">
        <v>122</v>
      </c>
      <c r="Q127" s="19" t="str">
        <v>Mobile App</v>
      </c>
      <c r="R127" s="19"/>
      <c r="S127" s="19"/>
      <c r="T127" s="19" t="str">
        <v>On-premises Data Gateway (Web Services)</v>
      </c>
      <c r="U127" s="19"/>
      <c r="V127" s="6" t="s">
        <v>122</v>
      </c>
    </row>
    <row r="128" spans="1:22" x14ac:dyDescent="0.25">
      <c r="A128" s="19"/>
      <c r="B128" s="6" t="s">
        <v>122</v>
      </c>
      <c r="C128" s="19"/>
      <c r="D128" s="19" t="str">
        <v>Entity Diagrams</v>
      </c>
      <c r="E128" s="19" t="str">
        <v>Functions</v>
      </c>
      <c r="F128" s="19"/>
      <c r="G128" s="19" t="str">
        <v>Events</v>
      </c>
      <c r="H128" s="6" t="s">
        <v>122</v>
      </c>
      <c r="I128" s="19"/>
      <c r="J128" s="19" t="str">
        <v>Functions (Deep Link)</v>
      </c>
      <c r="K128" s="19" t="str">
        <v>Odata</v>
      </c>
      <c r="L128" s="19" t="str">
        <v>HTML</v>
      </c>
      <c r="M128" s="19"/>
      <c r="N128" s="19" t="str">
        <v>Scripts (Deluge)</v>
      </c>
      <c r="O128" s="19" t="str">
        <v>HTML</v>
      </c>
      <c r="P128" s="6" t="s">
        <v>122</v>
      </c>
      <c r="Q128" s="19" t="str">
        <v>OQL</v>
      </c>
      <c r="R128" s="19"/>
      <c r="S128" s="19"/>
      <c r="T128" s="19" t="str">
        <v>REST API</v>
      </c>
      <c r="U128" s="19"/>
      <c r="V128" s="6" t="s">
        <v>122</v>
      </c>
    </row>
    <row r="129" spans="1:22" x14ac:dyDescent="0.25">
      <c r="A129" s="19"/>
      <c r="B129" s="6" t="s">
        <v>122</v>
      </c>
      <c r="C129" s="19"/>
      <c r="D129" s="19" t="str">
        <v>Entity Relationships</v>
      </c>
      <c r="E129" s="19" t="str">
        <v>Model-driven Apps</v>
      </c>
      <c r="F129" s="19"/>
      <c r="G129" s="19" t="str">
        <v>Expressions</v>
      </c>
      <c r="H129" s="6" t="s">
        <v>122</v>
      </c>
      <c r="I129" s="19"/>
      <c r="J129" s="19" t="str">
        <v>Keys</v>
      </c>
      <c r="K129" s="19" t="str">
        <v>OQL</v>
      </c>
      <c r="L129" s="19" t="str">
        <v>IT Data Types</v>
      </c>
      <c r="M129" s="19"/>
      <c r="N129" s="19" t="str">
        <v>SOAP</v>
      </c>
      <c r="O129" s="19" t="str">
        <v>HTML DOM</v>
      </c>
      <c r="P129" s="6" t="s">
        <v>122</v>
      </c>
      <c r="Q129" s="19" t="str">
        <v>Proxy server</v>
      </c>
      <c r="R129" s="19"/>
      <c r="S129" s="19"/>
      <c r="T129" s="19" t="str">
        <v>Scripts</v>
      </c>
      <c r="U129" s="19"/>
      <c r="V129" s="6" t="s">
        <v>122</v>
      </c>
    </row>
    <row r="130" spans="1:22" x14ac:dyDescent="0.25">
      <c r="A130" s="19"/>
      <c r="B130" s="6" t="s">
        <v>122</v>
      </c>
      <c r="C130" s="19"/>
      <c r="D130" s="19" t="str">
        <v>Enumerations</v>
      </c>
      <c r="E130" s="19" t="str">
        <v>Reactive Web App</v>
      </c>
      <c r="F130" s="19"/>
      <c r="G130" s="19" t="str">
        <v>Formulas</v>
      </c>
      <c r="H130" s="6" t="s">
        <v>122</v>
      </c>
      <c r="I130" s="19"/>
      <c r="J130" s="19" t="str">
        <v>Many-to-Many</v>
      </c>
      <c r="K130" s="19" t="str">
        <v>REST API (Custom Connectors)</v>
      </c>
      <c r="L130" s="19" t="str">
        <v>JavaScript</v>
      </c>
      <c r="M130" s="19"/>
      <c r="N130" s="19"/>
      <c r="O130" s="19" t="str">
        <v>IDE</v>
      </c>
      <c r="P130" s="6" t="s">
        <v>122</v>
      </c>
      <c r="Q130" s="19" t="str">
        <v>Relational Database</v>
      </c>
      <c r="R130" s="19"/>
      <c r="S130" s="19"/>
      <c r="T130" s="19" t="str">
        <v>SOAP</v>
      </c>
      <c r="U130" s="19"/>
      <c r="V130" s="6" t="s">
        <v>122</v>
      </c>
    </row>
    <row r="131" spans="1:22" x14ac:dyDescent="0.25">
      <c r="A131" s="19"/>
      <c r="B131" s="6" t="s">
        <v>122</v>
      </c>
      <c r="C131" s="19"/>
      <c r="D131" s="19" t="str">
        <v>Expressions</v>
      </c>
      <c r="E131" s="19" t="str">
        <v>Responsive Web Design</v>
      </c>
      <c r="F131" s="19"/>
      <c r="G131" s="19" t="str">
        <v>Functions</v>
      </c>
      <c r="H131" s="6" t="s">
        <v>122</v>
      </c>
      <c r="I131" s="19"/>
      <c r="J131" s="19" t="str">
        <v>One-to-Many</v>
      </c>
      <c r="K131" s="19" t="str">
        <v>SDK</v>
      </c>
      <c r="L131" s="19" t="str">
        <v>Master Detail</v>
      </c>
      <c r="M131" s="19"/>
      <c r="N131" s="19"/>
      <c r="O131" s="19" t="str">
        <v>IDE (Visual Studio Code)</v>
      </c>
      <c r="P131" s="6" t="s">
        <v>122</v>
      </c>
      <c r="Q131" s="19" t="str">
        <v>REST API</v>
      </c>
      <c r="R131" s="19"/>
      <c r="S131" s="19"/>
      <c r="T131" s="19"/>
      <c r="U131" s="19"/>
      <c r="V131" s="6" t="s">
        <v>122</v>
      </c>
    </row>
    <row r="132" spans="1:22" x14ac:dyDescent="0.25">
      <c r="A132" s="19"/>
      <c r="B132" s="6" t="s">
        <v>122</v>
      </c>
      <c r="C132" s="19"/>
      <c r="D132" s="19" t="str">
        <v>Foreign Key</v>
      </c>
      <c r="E132" s="19" t="str">
        <v>Variables</v>
      </c>
      <c r="F132" s="19"/>
      <c r="G132" s="19" t="str">
        <v>Java</v>
      </c>
      <c r="H132" s="6" t="s">
        <v>122</v>
      </c>
      <c r="I132" s="19"/>
      <c r="J132" s="19" t="str">
        <v>One-to-One</v>
      </c>
      <c r="K132" s="19" t="str">
        <v>SQL</v>
      </c>
      <c r="L132" s="19" t="str">
        <v>Programming Functions</v>
      </c>
      <c r="M132" s="19"/>
      <c r="N132" s="19"/>
      <c r="O132" s="19" t="str">
        <v>Iteration Statements</v>
      </c>
      <c r="P132" s="6" t="s">
        <v>122</v>
      </c>
      <c r="Q132" s="19" t="str">
        <v>SAML Authentication</v>
      </c>
      <c r="R132" s="19"/>
      <c r="S132" s="19"/>
      <c r="T132" s="19"/>
      <c r="U132" s="19"/>
      <c r="V132" s="6" t="s">
        <v>122</v>
      </c>
    </row>
    <row r="133" spans="1:22" x14ac:dyDescent="0.25">
      <c r="A133" s="19"/>
      <c r="B133" s="6" t="s">
        <v>122</v>
      </c>
      <c r="C133" s="19"/>
      <c r="D133" s="19" t="str">
        <v>Indexes</v>
      </c>
      <c r="E133" s="19"/>
      <c r="F133" s="19"/>
      <c r="G133" s="19" t="str">
        <v>JavaScript</v>
      </c>
      <c r="H133" s="6" t="s">
        <v>122</v>
      </c>
      <c r="I133" s="19"/>
      <c r="J133" s="19" t="str">
        <v>Relational Database</v>
      </c>
      <c r="K133" s="19" t="str">
        <v>SQL (Azure SQL Database)</v>
      </c>
      <c r="L133" s="19" t="str">
        <v>Reactive Web App</v>
      </c>
      <c r="M133" s="19"/>
      <c r="N133" s="19"/>
      <c r="O133" s="19" t="str">
        <v>Java</v>
      </c>
      <c r="P133" s="6" t="s">
        <v>122</v>
      </c>
      <c r="Q133" s="19" t="str">
        <v>Scheduler Service</v>
      </c>
      <c r="R133" s="19"/>
      <c r="S133" s="19"/>
      <c r="T133" s="19"/>
      <c r="U133" s="19"/>
      <c r="V133" s="6" t="s">
        <v>122</v>
      </c>
    </row>
    <row r="134" spans="1:22" x14ac:dyDescent="0.25">
      <c r="A134" s="19"/>
      <c r="B134" s="6" t="s">
        <v>122</v>
      </c>
      <c r="C134" s="19"/>
      <c r="D134" s="19" t="str">
        <v>Many-to-Many</v>
      </c>
      <c r="E134" s="19"/>
      <c r="F134" s="19"/>
      <c r="G134" s="19" t="str">
        <v>Microservices</v>
      </c>
      <c r="H134" s="6" t="s">
        <v>122</v>
      </c>
      <c r="I134" s="19"/>
      <c r="J134" s="19" t="str">
        <v>Relational Database Concept</v>
      </c>
      <c r="K134" s="19" t="str">
        <v>SQL Databases. JDBC</v>
      </c>
      <c r="L134" s="19" t="str">
        <v>Responsive Breakpoints</v>
      </c>
      <c r="M134" s="19"/>
      <c r="N134" s="19"/>
      <c r="O134" s="19" t="str">
        <v>Java API</v>
      </c>
      <c r="P134" s="6" t="s">
        <v>122</v>
      </c>
      <c r="Q134" s="19" t="str">
        <v>Shared Libraries</v>
      </c>
      <c r="R134" s="19"/>
      <c r="S134" s="19"/>
      <c r="T134" s="19"/>
      <c r="U134" s="19"/>
      <c r="V134" s="6" t="s">
        <v>122</v>
      </c>
    </row>
    <row r="135" spans="1:22" x14ac:dyDescent="0.25">
      <c r="A135" s="19"/>
      <c r="B135" s="6" t="s">
        <v>122</v>
      </c>
      <c r="C135" s="19"/>
      <c r="D135" s="19" t="str">
        <v>One-to-Many</v>
      </c>
      <c r="E135" s="19"/>
      <c r="F135" s="19"/>
      <c r="G135" s="19" t="str">
        <v>Regular Expressions</v>
      </c>
      <c r="H135" s="6" t="s">
        <v>122</v>
      </c>
      <c r="I135" s="19"/>
      <c r="J135" s="19" t="str">
        <v>SQL</v>
      </c>
      <c r="K135" s="19" t="str">
        <v>SQL Queries</v>
      </c>
      <c r="L135" s="19" t="str">
        <v>Responsive Web Design</v>
      </c>
      <c r="M135" s="19"/>
      <c r="N135" s="19"/>
      <c r="O135" s="19" t="str">
        <v>JavaScript</v>
      </c>
      <c r="P135" s="6" t="s">
        <v>122</v>
      </c>
      <c r="Q135" s="19" t="str">
        <v>SOAP</v>
      </c>
      <c r="R135" s="19"/>
      <c r="S135" s="19"/>
      <c r="T135" s="19"/>
      <c r="U135" s="19"/>
      <c r="V135" s="6" t="s">
        <v>122</v>
      </c>
    </row>
    <row r="136" spans="1:22" x14ac:dyDescent="0.25">
      <c r="A136" s="19"/>
      <c r="B136" s="6" t="s">
        <v>122</v>
      </c>
      <c r="C136" s="19"/>
      <c r="D136" s="19" t="str">
        <v>One-to-One</v>
      </c>
      <c r="E136" s="19"/>
      <c r="F136" s="19"/>
      <c r="G136" s="19" t="str">
        <v>Sequence Flow</v>
      </c>
      <c r="H136" s="6" t="s">
        <v>122</v>
      </c>
      <c r="I136" s="19"/>
      <c r="J136" s="19" t="str">
        <v>Types</v>
      </c>
      <c r="K136" s="19" t="str">
        <v>URL</v>
      </c>
      <c r="L136" s="19" t="str">
        <v>SASS (SCSS)</v>
      </c>
      <c r="M136" s="19"/>
      <c r="N136" s="19"/>
      <c r="O136" s="19" t="str">
        <v>JSON</v>
      </c>
      <c r="P136" s="6" t="s">
        <v>122</v>
      </c>
      <c r="Q136" s="19" t="str">
        <v>SSL Certificates</v>
      </c>
      <c r="R136" s="19"/>
      <c r="S136" s="19"/>
      <c r="T136" s="19"/>
      <c r="U136" s="19"/>
      <c r="V136" s="6" t="s">
        <v>122</v>
      </c>
    </row>
    <row r="137" spans="1:22" x14ac:dyDescent="0.25">
      <c r="A137" s="19"/>
      <c r="B137" s="6" t="s">
        <v>122</v>
      </c>
      <c r="C137" s="19"/>
      <c r="D137" s="19" t="str">
        <v>Primary Key</v>
      </c>
      <c r="E137" s="19"/>
      <c r="F137" s="19"/>
      <c r="G137" s="19" t="str">
        <v>SQL</v>
      </c>
      <c r="H137" s="6" t="s">
        <v>122</v>
      </c>
      <c r="I137" s="19"/>
      <c r="J137" s="19" t="str">
        <v>Web API (Microsoft Dataverse)</v>
      </c>
      <c r="K137" s="19" t="str">
        <v>Web API</v>
      </c>
      <c r="L137" s="19" t="str">
        <v>Scripts</v>
      </c>
      <c r="M137" s="19"/>
      <c r="N137" s="19"/>
      <c r="O137" s="19" t="str">
        <v>Markup Language</v>
      </c>
      <c r="P137" s="6" t="s">
        <v>122</v>
      </c>
      <c r="Q137" s="19" t="str">
        <v>Swagger</v>
      </c>
      <c r="R137" s="19"/>
      <c r="S137" s="19"/>
      <c r="T137" s="19"/>
      <c r="U137" s="19"/>
      <c r="V137" s="6" t="s">
        <v>122</v>
      </c>
    </row>
    <row r="138" spans="1:22" x14ac:dyDescent="0.25">
      <c r="A138" s="19"/>
      <c r="B138" s="6" t="s">
        <v>122</v>
      </c>
      <c r="C138" s="19"/>
      <c r="D138" s="19" t="str">
        <v>XML/XPath</v>
      </c>
      <c r="E138" s="19"/>
      <c r="F138" s="19"/>
      <c r="G138" s="19" t="str">
        <v>SQL/OQL</v>
      </c>
      <c r="H138" s="6" t="s">
        <v>122</v>
      </c>
      <c r="I138" s="19"/>
      <c r="J138" s="19"/>
      <c r="K138" s="19" t="str">
        <v>Web API (Microsoft Dataverse)</v>
      </c>
      <c r="L138" s="19" t="str">
        <v>Snippets</v>
      </c>
      <c r="M138" s="19"/>
      <c r="N138" s="19"/>
      <c r="O138" s="19" t="str">
        <v>Metadata</v>
      </c>
      <c r="P138" s="6" t="s">
        <v>122</v>
      </c>
      <c r="Q138" s="19" t="str">
        <v>WSDL</v>
      </c>
      <c r="R138" s="19"/>
      <c r="S138" s="19"/>
      <c r="T138" s="19"/>
      <c r="U138" s="19"/>
      <c r="V138" s="6" t="s">
        <v>122</v>
      </c>
    </row>
    <row r="139" spans="1:22" x14ac:dyDescent="0.25">
      <c r="A139" s="19"/>
      <c r="B139" s="6" t="s">
        <v>122</v>
      </c>
      <c r="C139" s="19"/>
      <c r="D139" s="19" t="str">
        <v>XPath</v>
      </c>
      <c r="E139" s="19"/>
      <c r="F139" s="19"/>
      <c r="G139" s="19" t="str">
        <v>Variables</v>
      </c>
      <c r="H139" s="6" t="s">
        <v>122</v>
      </c>
      <c r="I139" s="19"/>
      <c r="J139" s="19"/>
      <c r="K139" s="19" t="str">
        <v>Xpath</v>
      </c>
      <c r="L139" s="19" t="str">
        <v>Style Classes</v>
      </c>
      <c r="M139" s="19"/>
      <c r="N139" s="19"/>
      <c r="O139" s="19" t="str">
        <v>Native Mobile App</v>
      </c>
      <c r="P139" s="6" t="s">
        <v>122</v>
      </c>
      <c r="Q139" s="19" t="str">
        <v>Xpath</v>
      </c>
      <c r="R139" s="19"/>
      <c r="S139" s="19"/>
      <c r="T139" s="19"/>
      <c r="U139" s="19"/>
      <c r="V139" s="6" t="s">
        <v>122</v>
      </c>
    </row>
    <row r="140" spans="1:22" x14ac:dyDescent="0.25">
      <c r="A140" s="19"/>
      <c r="B140" s="6" t="s">
        <v>122</v>
      </c>
      <c r="C140" s="19"/>
      <c r="D140" s="19"/>
      <c r="E140" s="19"/>
      <c r="F140" s="19"/>
      <c r="G140" s="19"/>
      <c r="H140" s="6" t="s">
        <v>122</v>
      </c>
      <c r="I140" s="19"/>
      <c r="J140" s="19"/>
      <c r="K140" s="19"/>
      <c r="L140" s="19" t="str">
        <v>Themes</v>
      </c>
      <c r="M140" s="19"/>
      <c r="N140" s="19"/>
      <c r="O140" s="19" t="str">
        <v>node.js</v>
      </c>
      <c r="P140" s="6" t="s">
        <v>122</v>
      </c>
      <c r="Q140" s="19"/>
      <c r="R140" s="19"/>
      <c r="S140" s="19"/>
      <c r="T140" s="19"/>
      <c r="U140" s="19"/>
      <c r="V140" s="6" t="s">
        <v>122</v>
      </c>
    </row>
    <row r="141" spans="1:22" x14ac:dyDescent="0.25">
      <c r="A141" s="19"/>
      <c r="B141" s="6" t="s">
        <v>122</v>
      </c>
      <c r="C141" s="19"/>
      <c r="D141" s="19"/>
      <c r="E141" s="19"/>
      <c r="F141" s="19"/>
      <c r="G141" s="19"/>
      <c r="H141" s="6" t="s">
        <v>122</v>
      </c>
      <c r="I141" s="19"/>
      <c r="J141" s="19"/>
      <c r="K141" s="19"/>
      <c r="L141" s="19" t="str">
        <v>Variables</v>
      </c>
      <c r="M141" s="19"/>
      <c r="N141" s="19"/>
      <c r="O141" s="19" t="str">
        <v>PWA</v>
      </c>
      <c r="P141" s="6" t="s">
        <v>122</v>
      </c>
      <c r="Q141" s="19"/>
      <c r="R141" s="19"/>
      <c r="S141" s="19"/>
      <c r="T141" s="19"/>
      <c r="U141" s="19"/>
      <c r="V141" s="6" t="s">
        <v>122</v>
      </c>
    </row>
    <row r="142" spans="1:22" x14ac:dyDescent="0.25">
      <c r="A142" s="19"/>
      <c r="B142" s="6" t="s">
        <v>122</v>
      </c>
      <c r="C142" s="19"/>
      <c r="D142" s="19"/>
      <c r="E142" s="19"/>
      <c r="F142" s="19"/>
      <c r="G142" s="19"/>
      <c r="H142" s="6" t="s">
        <v>122</v>
      </c>
      <c r="I142" s="19"/>
      <c r="J142" s="19"/>
      <c r="K142" s="19"/>
      <c r="L142" s="19" t="str">
        <v>XML</v>
      </c>
      <c r="M142" s="19"/>
      <c r="N142" s="19"/>
      <c r="O142" s="19" t="str">
        <v>Query Functions</v>
      </c>
      <c r="P142" s="6" t="s">
        <v>122</v>
      </c>
      <c r="Q142" s="19"/>
      <c r="R142" s="19"/>
      <c r="S142" s="19"/>
      <c r="T142" s="19"/>
      <c r="U142" s="19"/>
      <c r="V142" s="6" t="s">
        <v>122</v>
      </c>
    </row>
    <row r="143" spans="1:22" x14ac:dyDescent="0.25">
      <c r="A143" s="19"/>
      <c r="B143" s="6" t="s">
        <v>122</v>
      </c>
      <c r="C143" s="19"/>
      <c r="D143" s="19"/>
      <c r="E143" s="19"/>
      <c r="F143" s="19"/>
      <c r="G143" s="19"/>
      <c r="H143" s="6" t="s">
        <v>122</v>
      </c>
      <c r="I143" s="19"/>
      <c r="J143" s="19"/>
      <c r="K143" s="19"/>
      <c r="L143" s="19"/>
      <c r="M143" s="19"/>
      <c r="N143" s="19"/>
      <c r="O143" s="19" t="str">
        <v>Scripts (Deluge)</v>
      </c>
      <c r="P143" s="6" t="s">
        <v>122</v>
      </c>
      <c r="Q143" s="19"/>
      <c r="R143" s="19"/>
      <c r="S143" s="19"/>
      <c r="T143" s="19"/>
      <c r="U143" s="19"/>
      <c r="V143" s="6" t="s">
        <v>122</v>
      </c>
    </row>
    <row r="144" spans="1:22" x14ac:dyDescent="0.25">
      <c r="A144" s="19"/>
      <c r="B144" s="6" t="s">
        <v>122</v>
      </c>
      <c r="C144" s="19"/>
      <c r="D144" s="19"/>
      <c r="E144" s="19"/>
      <c r="F144" s="19"/>
      <c r="G144" s="19"/>
      <c r="H144" s="6" t="s">
        <v>122</v>
      </c>
      <c r="I144" s="19"/>
      <c r="J144" s="19"/>
      <c r="K144" s="19"/>
      <c r="L144" s="19"/>
      <c r="M144" s="19"/>
      <c r="N144" s="19"/>
      <c r="O144" s="19" t="str">
        <v>SDK</v>
      </c>
      <c r="P144" s="6" t="s">
        <v>122</v>
      </c>
      <c r="Q144" s="19"/>
      <c r="R144" s="19"/>
      <c r="S144" s="19"/>
      <c r="T144" s="19"/>
      <c r="U144" s="19"/>
      <c r="V144" s="6" t="s">
        <v>122</v>
      </c>
    </row>
    <row r="145" spans="1:22" x14ac:dyDescent="0.25">
      <c r="A145" s="19"/>
      <c r="B145" s="6" t="s">
        <v>122</v>
      </c>
      <c r="C145" s="19"/>
      <c r="D145" s="19"/>
      <c r="E145" s="19"/>
      <c r="F145" s="19"/>
      <c r="G145" s="19"/>
      <c r="H145" s="6" t="s">
        <v>122</v>
      </c>
      <c r="I145" s="19"/>
      <c r="J145" s="19"/>
      <c r="K145" s="19"/>
      <c r="L145" s="19"/>
      <c r="M145" s="19"/>
      <c r="N145" s="19"/>
      <c r="O145" s="19" t="str">
        <v>Snippets (ZML)</v>
      </c>
      <c r="P145" s="6" t="s">
        <v>122</v>
      </c>
      <c r="Q145" s="19"/>
      <c r="R145" s="19"/>
      <c r="S145" s="19"/>
      <c r="T145" s="19"/>
      <c r="U145" s="19"/>
      <c r="V145" s="6" t="s">
        <v>122</v>
      </c>
    </row>
    <row r="146" spans="1:22" x14ac:dyDescent="0.25">
      <c r="A146" s="19"/>
      <c r="B146" s="6" t="s">
        <v>122</v>
      </c>
      <c r="C146" s="19"/>
      <c r="D146" s="19"/>
      <c r="E146" s="19"/>
      <c r="F146" s="19"/>
      <c r="G146" s="19"/>
      <c r="H146" s="6" t="s">
        <v>122</v>
      </c>
      <c r="I146" s="19"/>
      <c r="J146" s="19"/>
      <c r="K146" s="19"/>
      <c r="L146" s="19"/>
      <c r="M146" s="19"/>
      <c r="N146" s="19"/>
      <c r="O146" s="19" t="str">
        <v>TypeScript</v>
      </c>
      <c r="P146" s="6" t="s">
        <v>122</v>
      </c>
      <c r="Q146" s="19"/>
      <c r="R146" s="19"/>
      <c r="S146" s="19"/>
      <c r="T146" s="19"/>
      <c r="U146" s="19"/>
      <c r="V146" s="6" t="s">
        <v>122</v>
      </c>
    </row>
    <row r="147" spans="1:22" x14ac:dyDescent="0.25">
      <c r="A147" s="19"/>
      <c r="B147" s="6" t="s">
        <v>122</v>
      </c>
      <c r="C147" s="19"/>
      <c r="D147" s="19"/>
      <c r="E147" s="19"/>
      <c r="F147" s="19"/>
      <c r="G147" s="19"/>
      <c r="H147" s="6" t="s">
        <v>122</v>
      </c>
      <c r="I147" s="19"/>
      <c r="J147" s="19"/>
      <c r="K147" s="19"/>
      <c r="L147" s="19"/>
      <c r="M147" s="19"/>
      <c r="N147" s="19"/>
      <c r="O147" s="19" t="str">
        <v>Web API</v>
      </c>
      <c r="P147" s="6" t="s">
        <v>122</v>
      </c>
      <c r="Q147" s="19"/>
      <c r="R147" s="19"/>
      <c r="S147" s="19"/>
      <c r="T147" s="19"/>
      <c r="U147" s="19"/>
      <c r="V147" s="6" t="s">
        <v>122</v>
      </c>
    </row>
    <row r="148" spans="1:22" x14ac:dyDescent="0.25">
      <c r="A148" s="19"/>
      <c r="B148" s="6" t="s">
        <v>122</v>
      </c>
      <c r="C148" s="19"/>
      <c r="D148" s="19"/>
      <c r="E148" s="19"/>
      <c r="F148" s="19"/>
      <c r="G148" s="19"/>
      <c r="H148" s="6" t="s">
        <v>122</v>
      </c>
      <c r="I148" s="19"/>
      <c r="J148" s="19"/>
      <c r="K148" s="19"/>
      <c r="L148" s="19"/>
      <c r="M148" s="19"/>
      <c r="N148" s="19"/>
      <c r="O148" s="19" t="str">
        <v>Web API (AppSheet API)</v>
      </c>
      <c r="P148" s="6" t="s">
        <v>122</v>
      </c>
      <c r="Q148" s="19"/>
      <c r="R148" s="19"/>
      <c r="S148" s="19"/>
      <c r="T148" s="19"/>
      <c r="U148" s="19"/>
      <c r="V148" s="6" t="s">
        <v>122</v>
      </c>
    </row>
    <row r="149" spans="1:22" x14ac:dyDescent="0.25">
      <c r="A149" s="19"/>
      <c r="B149" s="6" t="s">
        <v>122</v>
      </c>
      <c r="C149" s="19"/>
      <c r="D149" s="19"/>
      <c r="E149" s="19"/>
      <c r="F149" s="19"/>
      <c r="G149" s="19"/>
      <c r="H149" s="6" t="s">
        <v>122</v>
      </c>
      <c r="I149" s="19"/>
      <c r="J149" s="19"/>
      <c r="K149" s="19"/>
      <c r="L149" s="19"/>
      <c r="M149" s="19"/>
      <c r="N149" s="19"/>
      <c r="O149" s="19" t="str">
        <v>XML</v>
      </c>
      <c r="P149" s="6" t="s">
        <v>122</v>
      </c>
      <c r="Q149" s="19"/>
      <c r="R149" s="19"/>
      <c r="S149" s="19"/>
      <c r="T149" s="19"/>
      <c r="U149" s="19"/>
      <c r="V149" s="6" t="s">
        <v>122</v>
      </c>
    </row>
    <row r="150" spans="1:22" x14ac:dyDescent="0.25">
      <c r="A150" s="19"/>
      <c r="B150" s="6" t="s">
        <v>122</v>
      </c>
      <c r="C150" s="25"/>
      <c r="D150" s="25"/>
      <c r="E150" s="25"/>
      <c r="F150" s="25"/>
      <c r="G150" s="25"/>
      <c r="H150" s="6" t="s">
        <v>122</v>
      </c>
      <c r="I150" s="25"/>
      <c r="J150" s="25"/>
      <c r="K150" s="25"/>
      <c r="L150" s="25"/>
      <c r="M150" s="25"/>
      <c r="N150" s="25"/>
      <c r="O150" s="25"/>
      <c r="P150" s="6" t="s">
        <v>122</v>
      </c>
      <c r="Q150" s="25"/>
      <c r="R150" s="25"/>
      <c r="S150" s="25"/>
      <c r="T150" s="25"/>
      <c r="U150" s="25"/>
      <c r="V150" s="6" t="s">
        <v>122</v>
      </c>
    </row>
    <row r="151" spans="1:22" x14ac:dyDescent="0.2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DB58E-5999-4934-922C-18AD830C951C}">
  <dimension ref="A1:AC216"/>
  <sheetViews>
    <sheetView topLeftCell="C1" zoomScaleNormal="100" workbookViewId="0">
      <selection activeCell="C1" sqref="C1"/>
    </sheetView>
  </sheetViews>
  <sheetFormatPr defaultColWidth="8.875" defaultRowHeight="15.75" x14ac:dyDescent="0.25"/>
  <cols>
    <col min="1" max="1" width="24.625" customWidth="1"/>
    <col min="3" max="3" width="14.625" bestFit="1" customWidth="1"/>
    <col min="4" max="4" width="20.375" customWidth="1"/>
    <col min="5" max="5" width="25.875" bestFit="1" customWidth="1"/>
    <col min="6" max="6" width="23.5" style="8" customWidth="1"/>
    <col min="7" max="7" width="14.625" bestFit="1" customWidth="1"/>
    <col min="8" max="8" width="17.875" customWidth="1"/>
    <col min="9" max="9" width="23.125" customWidth="1"/>
    <col min="10" max="10" width="3.625" style="2" customWidth="1"/>
    <col min="11" max="15" width="3.625" style="2" bestFit="1" customWidth="1"/>
    <col min="17" max="22" width="3.625" bestFit="1" customWidth="1"/>
    <col min="24" max="29" width="3.625" bestFit="1" customWidth="1"/>
  </cols>
  <sheetData>
    <row r="1" spans="1:29" s="4" customFormat="1" ht="99.75" customHeight="1" x14ac:dyDescent="0.25">
      <c r="A1" s="27" t="str" cm="1">
        <f t="array" ref="A1:A210">_xlfn.UNIQUE(CLASSIFICATION[[#All],[CONC generalized keywords]],FALSE,FALSE)</f>
        <v>CONC generalized keywords</v>
      </c>
      <c r="C1" s="27" t="str">
        <f>'Platform review'!B1</f>
        <v>Project stage</v>
      </c>
      <c r="D1" s="27" t="str">
        <f>'Platform review'!C1</f>
        <v>Project tasks</v>
      </c>
      <c r="E1" s="27" t="str">
        <f>'Platform review'!E1</f>
        <v>Keywords</v>
      </c>
      <c r="F1" s="35" t="s">
        <v>406</v>
      </c>
      <c r="G1" s="30" t="str">
        <f>C1</f>
        <v>Project stage</v>
      </c>
      <c r="H1" s="30" t="str">
        <f>D1</f>
        <v>Project tasks</v>
      </c>
      <c r="I1" s="30" t="str">
        <f>E1</f>
        <v>Keywords</v>
      </c>
      <c r="J1" s="31" t="str">
        <f>'Platform review'!A2</f>
        <v>Mendix</v>
      </c>
      <c r="K1" s="31" t="str">
        <f>'Platform review'!A23</f>
        <v>Outsystems</v>
      </c>
      <c r="L1" s="31" t="str">
        <f>'Platform review'!A44</f>
        <v>Zoho Creator</v>
      </c>
      <c r="M1" s="31" t="str">
        <f>'Platform review'!A65</f>
        <v>MS Power App</v>
      </c>
      <c r="N1" s="31" t="str">
        <f>'Platform review'!A86</f>
        <v>Google AppSheet</v>
      </c>
      <c r="O1" s="31" t="str">
        <f>'Platform review'!A107</f>
        <v>Aurea</v>
      </c>
      <c r="Q1" s="31" t="str">
        <f>'Platform review'!$A$2</f>
        <v>Mendix</v>
      </c>
      <c r="R1" s="31" t="str">
        <f>'Platform review'!$A$23</f>
        <v>Outsystems</v>
      </c>
      <c r="S1" s="31" t="str">
        <f>'Platform review'!$A$44</f>
        <v>Zoho Creator</v>
      </c>
      <c r="T1" s="31" t="str">
        <f>'Platform review'!$A$65</f>
        <v>MS Power App</v>
      </c>
      <c r="U1" s="31" t="str">
        <f>'Platform review'!$A$86</f>
        <v>Google AppSheet</v>
      </c>
      <c r="V1" s="31" t="str">
        <f>'Platform review'!$A$107</f>
        <v>Aurea</v>
      </c>
      <c r="X1" s="31" t="str">
        <f>'Platform review'!$A$2</f>
        <v>Mendix</v>
      </c>
      <c r="Y1" s="31" t="str">
        <f>'Platform review'!$A$23</f>
        <v>Outsystems</v>
      </c>
      <c r="Z1" s="31" t="str">
        <f>'Platform review'!$A$44</f>
        <v>Zoho Creator</v>
      </c>
      <c r="AA1" s="31" t="str">
        <f>'Platform review'!$A$65</f>
        <v>MS Power App</v>
      </c>
      <c r="AB1" s="31" t="str">
        <f>'Platform review'!$A$86</f>
        <v>Google AppSheet</v>
      </c>
      <c r="AC1" s="31" t="str">
        <f>'Platform review'!$A$107</f>
        <v>Aurea</v>
      </c>
    </row>
    <row r="2" spans="1:29" x14ac:dyDescent="0.25">
      <c r="A2" s="19" t="str">
        <v>Design,Workflow model,+BPMN Process Model</v>
      </c>
      <c r="B2" t="s">
        <v>377</v>
      </c>
      <c r="C2" s="19" t="str" cm="1">
        <f t="array" ref="C2:E2">IF(_xlfn.CHOOSECOLS(_xlfn.TEXTSPLIT(A2,","), 1)&lt;&gt;_xlfn.CHOOSECOLS(_xlfn.TEXTSPLIT(A1,","), 1),_xlfn.TEXTSPLIT(A2,","),"")</f>
        <v>Design</v>
      </c>
      <c r="D2" s="19" t="str">
        <v>Workflow model</v>
      </c>
      <c r="E2" s="19" t="str">
        <v>+BPMN Process Model</v>
      </c>
      <c r="F2" s="36" t="str" cm="1">
        <f t="array" ref="F2">_xlfn.TEXTJOIN(",",TRUE,_xlfn._xlws.FILTER(CLASSIFICATION[Keyword], ($E2=CLASSIFICATION[Keyword Aggr])*($D2=CLASSIFICATION[Functional Scope Aggr])))</f>
        <v>+BPMN Process Model</v>
      </c>
      <c r="G2" s="32" t="str">
        <f>IF(C2&lt;&gt;C1,C2,"")</f>
        <v>Design</v>
      </c>
      <c r="H2" s="32" t="str">
        <f>IF(D2&lt;&gt;D1,D2,"")</f>
        <v>Workflow model</v>
      </c>
      <c r="I2" s="32" t="str">
        <f t="shared" ref="I2:I17" si="0">E2</f>
        <v>+BPMN Process Model</v>
      </c>
      <c r="J2" s="33" t="str" cm="1">
        <f t="array" aca="1" ref="J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($E2=CLASSIFICATION[[Keyword Aggr]:[Keyword Aggr]])*($D2=CLASSIFICATION[[Functional Scope Aggr]:[Functional Scope Aggr]])),
_xlpm._platform_keywords, _xlfn.TEXTSPLIT(SUBSTITUTE(SUBSTITUTE(VLOOKUP($D2,_xlpm._platform_range,3,FALSE),"+"&amp;CHAR(34),"+"),CHAR(34),""),", "),
_xlpm._exists, SUMPRODUCT(--ISNUMBER(MATCH(_xlpm._platform_keywords,_xlpm._original_keywords,0)))&gt;0,
_xlfn.IFS(AND(_xlpm._exists,LEFT($E2,1)="+"),"+",_xlpm._exists,"*",NOT(_xlpm._exists),"")
)</f>
        <v>+</v>
      </c>
      <c r="K2" s="33" t="str" cm="1">
        <f t="array" aca="1" ref="K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($E2=CLASSIFICATION[[Keyword Aggr]:[Keyword Aggr]])*($D2=CLASSIFICATION[[Functional Scope Aggr]:[Functional Scope Aggr]])),
_xlpm._platform_keywords, _xlfn.TEXTSPLIT(SUBSTITUTE(SUBSTITUTE(VLOOKUP($D2,_xlpm._platform_range,3,FALSE),"+"&amp;CHAR(34),"+"),CHAR(34),""),", "),
_xlpm._exists, SUMPRODUCT(--ISNUMBER(MATCH(_xlpm._platform_keywords,_xlpm._original_keywords,0)))&gt;0,
_xlfn.IFS(AND(_xlpm._exists,LEFT($E2,1)="+"),"+",_xlpm._exists,"*",NOT(_xlpm._exists),"")
)</f>
        <v/>
      </c>
      <c r="L2" s="33" t="str" cm="1">
        <f t="array" aca="1" ref="L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($E2=CLASSIFICATION[[Keyword Aggr]:[Keyword Aggr]])*($D2=CLASSIFICATION[[Functional Scope Aggr]:[Functional Scope Aggr]])),
_xlpm._platform_keywords, _xlfn.TEXTSPLIT(SUBSTITUTE(SUBSTITUTE(VLOOKUP($D2,_xlpm._platform_range,3,FALSE),"+"&amp;CHAR(34),"+"),CHAR(34),""),", "),
_xlpm._exists, SUMPRODUCT(--ISNUMBER(MATCH(_xlpm._platform_keywords,_xlpm._original_keywords,0)))&gt;0,
_xlfn.IFS(AND(_xlpm._exists,LEFT($E2,1)="+"),"+",_xlpm._exists,"*",NOT(_xlpm._exists),"")
)</f>
        <v/>
      </c>
      <c r="M2" s="33" t="str" cm="1">
        <f t="array" aca="1" ref="M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($E2=CLASSIFICATION[[Keyword Aggr]:[Keyword Aggr]])*($D2=CLASSIFICATION[[Functional Scope Aggr]:[Functional Scope Aggr]])),
_xlpm._platform_keywords, _xlfn.TEXTSPLIT(SUBSTITUTE(SUBSTITUTE(VLOOKUP($D2,_xlpm._platform_range,3,FALSE),"+"&amp;CHAR(34),"+"),CHAR(34),""),", "),
_xlpm._exists, SUMPRODUCT(--ISNUMBER(MATCH(_xlpm._platform_keywords,_xlpm._original_keywords,0)))&gt;0,
_xlfn.IFS(AND(_xlpm._exists,LEFT($E2,1)="+"),"+",_xlpm._exists,"*",NOT(_xlpm._exists),"")
)</f>
        <v/>
      </c>
      <c r="N2" s="33" t="str" cm="1">
        <f t="array" aca="1" ref="N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($E2=CLASSIFICATION[[Keyword Aggr]:[Keyword Aggr]])*($D2=CLASSIFICATION[[Functional Scope Aggr]:[Functional Scope Aggr]])),
_xlpm._platform_keywords, _xlfn.TEXTSPLIT(SUBSTITUTE(SUBSTITUTE(VLOOKUP($D2,_xlpm._platform_range,3,FALSE),"+"&amp;CHAR(34),"+"),CHAR(34),""),", "),
_xlpm._exists, SUMPRODUCT(--ISNUMBER(MATCH(_xlpm._platform_keywords,_xlpm._original_keywords,0)))&gt;0,
_xlfn.IFS(AND(_xlpm._exists,LEFT($E2,1)="+"),"+",_xlpm._exists,"*",NOT(_xlpm._exists),"")
)</f>
        <v/>
      </c>
      <c r="O2" s="33" t="str" cm="1">
        <f t="array" aca="1" ref="O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($E2=CLASSIFICATION[[Keyword Aggr]:[Keyword Aggr]])*($D2=CLASSIFICATION[[Functional Scope Aggr]:[Functional Scope Aggr]])),
_xlpm._platform_keywords, _xlfn.TEXTSPLIT(SUBSTITUTE(SUBSTITUTE(VLOOKUP($D2,_xlpm._platform_range,3,FALSE),"+"&amp;CHAR(34),"+"),CHAR(34),""),", "),
_xlpm._exists, SUMPRODUCT(--ISNUMBER(MATCH(_xlpm._platform_keywords,_xlpm._original_keywords,0)))&gt;0,
_xlfn.IFS(AND(_xlpm._exists,LEFT($E2,1)="+"),"+",_xlpm._exists,"*",NOT(_xlpm._exists),"")
)</f>
        <v>+</v>
      </c>
      <c r="Q2" s="33" cm="1">
        <f t="array" aca="1" ref="Q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($E2=CLASSIFICATION[[Keyword Aggr]:[Keyword Aggr]])*($D2=CLASSIFICATION[[Functional Scope Aggr]:[Functional Scope Aggr]])),
_xlpm._platform_keywords, _xlfn.TEXTSPLIT(SUBSTITUTE(SUBSTITUTE(VLOOKUP($D2,_xlpm._platform_range,3,FALSE),"+"&amp;CHAR(34),"+"),CHAR(34),""),", "),
_xlpm._exists, SUMPRODUCT(--ISNUMBER(MATCH(_xlpm._platform_keywords,_xlpm._original_keywords,0)))&gt;0,
_xlfn.IFS(_xlpm._exists,1,NOT(_xlpm._exists),"")
)</f>
        <v>1</v>
      </c>
      <c r="R2" s="33" t="str" cm="1">
        <f t="array" aca="1" ref="R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($E2=CLASSIFICATION[[Keyword Aggr]:[Keyword Aggr]])*($D2=CLASSIFICATION[[Functional Scope Aggr]:[Functional Scope Aggr]])),
_xlpm._platform_keywords, _xlfn.TEXTSPLIT(SUBSTITUTE(SUBSTITUTE(VLOOKUP($D2,_xlpm._platform_range,3,FALSE),"+"&amp;CHAR(34),"+"),CHAR(34),""),", "),
_xlpm._exists, SUMPRODUCT(--ISNUMBER(MATCH(_xlpm._platform_keywords,_xlpm._original_keywords,0)))&gt;0,
_xlfn.IFS(_xlpm._exists,1,NOT(_xlpm._exists),"")
)</f>
        <v/>
      </c>
      <c r="S2" s="33" t="str" cm="1">
        <f t="array" aca="1" ref="S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($E2=CLASSIFICATION[[Keyword Aggr]:[Keyword Aggr]])*($D2=CLASSIFICATION[[Functional Scope Aggr]:[Functional Scope Aggr]])),
_xlpm._platform_keywords, _xlfn.TEXTSPLIT(SUBSTITUTE(SUBSTITUTE(VLOOKUP($D2,_xlpm._platform_range,3,FALSE),"+"&amp;CHAR(34),"+"),CHAR(34),""),", "),
_xlpm._exists, SUMPRODUCT(--ISNUMBER(MATCH(_xlpm._platform_keywords,_xlpm._original_keywords,0)))&gt;0,
_xlfn.IFS(_xlpm._exists,1,NOT(_xlpm._exists),"")
)</f>
        <v/>
      </c>
      <c r="T2" s="33" t="str" cm="1">
        <f t="array" aca="1" ref="T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($E2=CLASSIFICATION[[Keyword Aggr]:[Keyword Aggr]])*($D2=CLASSIFICATION[[Functional Scope Aggr]:[Functional Scope Aggr]])),
_xlpm._platform_keywords, _xlfn.TEXTSPLIT(SUBSTITUTE(SUBSTITUTE(VLOOKUP($D2,_xlpm._platform_range,3,FALSE),"+"&amp;CHAR(34),"+"),CHAR(34),""),", "),
_xlpm._exists, SUMPRODUCT(--ISNUMBER(MATCH(_xlpm._platform_keywords,_xlpm._original_keywords,0)))&gt;0,
_xlfn.IFS(_xlpm._exists,1,NOT(_xlpm._exists),"")
)</f>
        <v/>
      </c>
      <c r="U2" s="33" t="str" cm="1">
        <f t="array" aca="1" ref="U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($E2=CLASSIFICATION[[Keyword Aggr]:[Keyword Aggr]])*($D2=CLASSIFICATION[[Functional Scope Aggr]:[Functional Scope Aggr]])),
_xlpm._platform_keywords, _xlfn.TEXTSPLIT(SUBSTITUTE(SUBSTITUTE(VLOOKUP($D2,_xlpm._platform_range,3,FALSE),"+"&amp;CHAR(34),"+"),CHAR(34),""),", "),
_xlpm._exists, SUMPRODUCT(--ISNUMBER(MATCH(_xlpm._platform_keywords,_xlpm._original_keywords,0)))&gt;0,
_xlfn.IFS(_xlpm._exists,1,NOT(_xlpm._exists),"")
)</f>
        <v/>
      </c>
      <c r="V2" s="33" cm="1">
        <f t="array" aca="1" ref="V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($E2=CLASSIFICATION[[Keyword Aggr]:[Keyword Aggr]])*($D2=CLASSIFICATION[[Functional Scope Aggr]:[Functional Scope Aggr]])),
_xlpm._platform_keywords, _xlfn.TEXTSPLIT(SUBSTITUTE(SUBSTITUTE(VLOOKUP($D2,_xlpm._platform_range,3,FALSE),"+"&amp;CHAR(34),"+"),CHAR(34),""),", "),
_xlpm._exists, SUMPRODUCT(--ISNUMBER(MATCH(_xlpm._platform_keywords,_xlpm._original_keywords,0)))&gt;0,
_xlfn.IFS(_xlpm._exists,1,NOT(_xlpm._exists),"")
)</f>
        <v>1</v>
      </c>
      <c r="X2" s="33">
        <f ca="1">IF($H2&lt;&gt;"",COUNTIFS(J$2:J$500,"~*",$D$2:$D$500,$H2),"")</f>
        <v>0</v>
      </c>
      <c r="Y2" s="33">
        <f t="shared" ref="Y2:AC2" ca="1" si="1">IF($H2&lt;&gt;"",COUNTIFS(K$2:K$500,"~*",$D$2:$D$500,$H2),"")</f>
        <v>1</v>
      </c>
      <c r="Z2" s="33">
        <f t="shared" ca="1" si="1"/>
        <v>1</v>
      </c>
      <c r="AA2" s="33">
        <f t="shared" ca="1" si="1"/>
        <v>1</v>
      </c>
      <c r="AB2" s="33">
        <f t="shared" ca="1" si="1"/>
        <v>1</v>
      </c>
      <c r="AC2" s="33">
        <f t="shared" ca="1" si="1"/>
        <v>0</v>
      </c>
    </row>
    <row r="3" spans="1:29" x14ac:dyDescent="0.25">
      <c r="A3" s="19" t="str">
        <v>Design,Workflow model,Custom Process Model</v>
      </c>
      <c r="B3" t="s">
        <v>377</v>
      </c>
      <c r="C3" s="19" t="str" cm="1">
        <f t="array" ref="C3:E3">_xlfn.TEXTSPLIT(A3,",")</f>
        <v>Design</v>
      </c>
      <c r="D3" s="19" t="str">
        <v>Workflow model</v>
      </c>
      <c r="E3" s="19" t="str">
        <v>Custom Process Model</v>
      </c>
      <c r="F3" s="36" t="str" cm="1">
        <f t="array" ref="F3">_xlfn.TEXTJOIN(",",TRUE,_xlfn._xlws.FILTER(CLASSIFICATION[Keyword], ($E3=CLASSIFICATION[Keyword Aggr])*($D3=CLASSIFICATION[Functional Scope Aggr])))</f>
        <v>Custom Process Model</v>
      </c>
      <c r="G3" s="32" t="str">
        <f t="shared" ref="G3:G66" si="2">IF(C3&lt;&gt;C2,C3,"")</f>
        <v/>
      </c>
      <c r="H3" s="32" t="str">
        <f t="shared" ref="H3:H66" si="3">IF(D3&lt;&gt;D2,D3,"")</f>
        <v/>
      </c>
      <c r="I3" s="32" t="str">
        <f t="shared" si="0"/>
        <v>Custom Process Model</v>
      </c>
      <c r="J3" s="33" t="str" cm="1">
        <f t="array" aca="1" ref="J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($E3=CLASSIFICATION[[Keyword Aggr]:[Keyword Aggr]])*($D3=CLASSIFICATION[[Functional Scope Aggr]:[Functional Scope Aggr]])),
_xlpm._platform_keywords, _xlfn.TEXTSPLIT(SUBSTITUTE(SUBSTITUTE(VLOOKUP($D3,_xlpm._platform_range,3,FALSE),"+"&amp;CHAR(34),"+"),CHAR(34),""),", "),
_xlpm._exists, SUMPRODUCT(--ISNUMBER(MATCH(_xlpm._platform_keywords,_xlpm._original_keywords,0)))&gt;0,
_xlfn.IFS(AND(_xlpm._exists,LEFT($E3,1)="+"),"+",_xlpm._exists,"*",NOT(_xlpm._exists),"")
)</f>
        <v/>
      </c>
      <c r="K3" s="33" t="str" cm="1">
        <f t="array" aca="1" ref="K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($E3=CLASSIFICATION[[Keyword Aggr]:[Keyword Aggr]])*($D3=CLASSIFICATION[[Functional Scope Aggr]:[Functional Scope Aggr]])),
_xlpm._platform_keywords, _xlfn.TEXTSPLIT(SUBSTITUTE(SUBSTITUTE(VLOOKUP($D3,_xlpm._platform_range,3,FALSE),"+"&amp;CHAR(34),"+"),CHAR(34),""),", "),
_xlpm._exists, SUMPRODUCT(--ISNUMBER(MATCH(_xlpm._platform_keywords,_xlpm._original_keywords,0)))&gt;0,
_xlfn.IFS(AND(_xlpm._exists,LEFT($E3,1)="+"),"+",_xlpm._exists,"*",NOT(_xlpm._exists),"")
)</f>
        <v>*</v>
      </c>
      <c r="L3" s="33" t="str" cm="1">
        <f t="array" aca="1" ref="L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($E3=CLASSIFICATION[[Keyword Aggr]:[Keyword Aggr]])*($D3=CLASSIFICATION[[Functional Scope Aggr]:[Functional Scope Aggr]])),
_xlpm._platform_keywords, _xlfn.TEXTSPLIT(SUBSTITUTE(SUBSTITUTE(VLOOKUP($D3,_xlpm._platform_range,3,FALSE),"+"&amp;CHAR(34),"+"),CHAR(34),""),", "),
_xlpm._exists, SUMPRODUCT(--ISNUMBER(MATCH(_xlpm._platform_keywords,_xlpm._original_keywords,0)))&gt;0,
_xlfn.IFS(AND(_xlpm._exists,LEFT($E3,1)="+"),"+",_xlpm._exists,"*",NOT(_xlpm._exists),"")
)</f>
        <v>*</v>
      </c>
      <c r="M3" s="33" t="str" cm="1">
        <f t="array" aca="1" ref="M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($E3=CLASSIFICATION[[Keyword Aggr]:[Keyword Aggr]])*($D3=CLASSIFICATION[[Functional Scope Aggr]:[Functional Scope Aggr]])),
_xlpm._platform_keywords, _xlfn.TEXTSPLIT(SUBSTITUTE(SUBSTITUTE(VLOOKUP($D3,_xlpm._platform_range,3,FALSE),"+"&amp;CHAR(34),"+"),CHAR(34),""),", "),
_xlpm._exists, SUMPRODUCT(--ISNUMBER(MATCH(_xlpm._platform_keywords,_xlpm._original_keywords,0)))&gt;0,
_xlfn.IFS(AND(_xlpm._exists,LEFT($E3,1)="+"),"+",_xlpm._exists,"*",NOT(_xlpm._exists),"")
)</f>
        <v>*</v>
      </c>
      <c r="N3" s="33" t="str" cm="1">
        <f t="array" aca="1" ref="N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($E3=CLASSIFICATION[[Keyword Aggr]:[Keyword Aggr]])*($D3=CLASSIFICATION[[Functional Scope Aggr]:[Functional Scope Aggr]])),
_xlpm._platform_keywords, _xlfn.TEXTSPLIT(SUBSTITUTE(SUBSTITUTE(VLOOKUP($D3,_xlpm._platform_range,3,FALSE),"+"&amp;CHAR(34),"+"),CHAR(34),""),", "),
_xlpm._exists, SUMPRODUCT(--ISNUMBER(MATCH(_xlpm._platform_keywords,_xlpm._original_keywords,0)))&gt;0,
_xlfn.IFS(AND(_xlpm._exists,LEFT($E3,1)="+"),"+",_xlpm._exists,"*",NOT(_xlpm._exists),"")
)</f>
        <v>*</v>
      </c>
      <c r="O3" s="33" t="str" cm="1">
        <f t="array" aca="1" ref="O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($E3=CLASSIFICATION[[Keyword Aggr]:[Keyword Aggr]])*($D3=CLASSIFICATION[[Functional Scope Aggr]:[Functional Scope Aggr]])),
_xlpm._platform_keywords, _xlfn.TEXTSPLIT(SUBSTITUTE(SUBSTITUTE(VLOOKUP($D3,_xlpm._platform_range,3,FALSE),"+"&amp;CHAR(34),"+"),CHAR(34),""),", "),
_xlpm._exists, SUMPRODUCT(--ISNUMBER(MATCH(_xlpm._platform_keywords,_xlpm._original_keywords,0)))&gt;0,
_xlfn.IFS(AND(_xlpm._exists,LEFT($E3,1)="+"),"+",_xlpm._exists,"*",NOT(_xlpm._exists),"")
)</f>
        <v/>
      </c>
      <c r="Q3" s="33" t="str" cm="1">
        <f t="array" aca="1" ref="Q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($E3=CLASSIFICATION[[Keyword Aggr]:[Keyword Aggr]])*($D3=CLASSIFICATION[[Functional Scope Aggr]:[Functional Scope Aggr]])),
_xlpm._platform_keywords, _xlfn.TEXTSPLIT(SUBSTITUTE(SUBSTITUTE(VLOOKUP($D3,_xlpm._platform_range,3,FALSE),"+"&amp;CHAR(34),"+"),CHAR(34),""),", "),
_xlpm._exists, SUMPRODUCT(--ISNUMBER(MATCH(_xlpm._platform_keywords,_xlpm._original_keywords,0)))&gt;0,
_xlfn.IFS(_xlpm._exists,1,NOT(_xlpm._exists),"")
)</f>
        <v/>
      </c>
      <c r="R3" s="33" cm="1">
        <f t="array" aca="1" ref="R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($E3=CLASSIFICATION[[Keyword Aggr]:[Keyword Aggr]])*($D3=CLASSIFICATION[[Functional Scope Aggr]:[Functional Scope Aggr]])),
_xlpm._platform_keywords, _xlfn.TEXTSPLIT(SUBSTITUTE(SUBSTITUTE(VLOOKUP($D3,_xlpm._platform_range,3,FALSE),"+"&amp;CHAR(34),"+"),CHAR(34),""),", "),
_xlpm._exists, SUMPRODUCT(--ISNUMBER(MATCH(_xlpm._platform_keywords,_xlpm._original_keywords,0)))&gt;0,
_xlfn.IFS(_xlpm._exists,1,NOT(_xlpm._exists),"")
)</f>
        <v>1</v>
      </c>
      <c r="S3" s="33" cm="1">
        <f t="array" aca="1" ref="S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($E3=CLASSIFICATION[[Keyword Aggr]:[Keyword Aggr]])*($D3=CLASSIFICATION[[Functional Scope Aggr]:[Functional Scope Aggr]])),
_xlpm._platform_keywords, _xlfn.TEXTSPLIT(SUBSTITUTE(SUBSTITUTE(VLOOKUP($D3,_xlpm._platform_range,3,FALSE),"+"&amp;CHAR(34),"+"),CHAR(34),""),", "),
_xlpm._exists, SUMPRODUCT(--ISNUMBER(MATCH(_xlpm._platform_keywords,_xlpm._original_keywords,0)))&gt;0,
_xlfn.IFS(_xlpm._exists,1,NOT(_xlpm._exists),"")
)</f>
        <v>1</v>
      </c>
      <c r="T3" s="33" cm="1">
        <f t="array" aca="1" ref="T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($E3=CLASSIFICATION[[Keyword Aggr]:[Keyword Aggr]])*($D3=CLASSIFICATION[[Functional Scope Aggr]:[Functional Scope Aggr]])),
_xlpm._platform_keywords, _xlfn.TEXTSPLIT(SUBSTITUTE(SUBSTITUTE(VLOOKUP($D3,_xlpm._platform_range,3,FALSE),"+"&amp;CHAR(34),"+"),CHAR(34),""),", "),
_xlpm._exists, SUMPRODUCT(--ISNUMBER(MATCH(_xlpm._platform_keywords,_xlpm._original_keywords,0)))&gt;0,
_xlfn.IFS(_xlpm._exists,1,NOT(_xlpm._exists),"")
)</f>
        <v>1</v>
      </c>
      <c r="U3" s="33" cm="1">
        <f t="array" aca="1" ref="U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($E3=CLASSIFICATION[[Keyword Aggr]:[Keyword Aggr]])*($D3=CLASSIFICATION[[Functional Scope Aggr]:[Functional Scope Aggr]])),
_xlpm._platform_keywords, _xlfn.TEXTSPLIT(SUBSTITUTE(SUBSTITUTE(VLOOKUP($D3,_xlpm._platform_range,3,FALSE),"+"&amp;CHAR(34),"+"),CHAR(34),""),", "),
_xlpm._exists, SUMPRODUCT(--ISNUMBER(MATCH(_xlpm._platform_keywords,_xlpm._original_keywords,0)))&gt;0,
_xlfn.IFS(_xlpm._exists,1,NOT(_xlpm._exists),"")
)</f>
        <v>1</v>
      </c>
      <c r="V3" s="33" t="str" cm="1">
        <f t="array" aca="1" ref="V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($E3=CLASSIFICATION[[Keyword Aggr]:[Keyword Aggr]])*($D3=CLASSIFICATION[[Functional Scope Aggr]:[Functional Scope Aggr]])),
_xlpm._platform_keywords, _xlfn.TEXTSPLIT(SUBSTITUTE(SUBSTITUTE(VLOOKUP($D3,_xlpm._platform_range,3,FALSE),"+"&amp;CHAR(34),"+"),CHAR(34),""),", "),
_xlpm._exists, SUMPRODUCT(--ISNUMBER(MATCH(_xlpm._platform_keywords,_xlpm._original_keywords,0)))&gt;0,
_xlfn.IFS(_xlpm._exists,1,NOT(_xlpm._exists),"")
)</f>
        <v/>
      </c>
      <c r="X3" s="33" t="str">
        <f t="shared" ref="X3:X66" si="4">IF($H3&lt;&gt;"",COUNTIFS(J$2:J$500,"~*",$D$2:$D$500,$H3),"")</f>
        <v/>
      </c>
      <c r="Y3" s="33" t="str">
        <f t="shared" ref="Y3:Y66" si="5">IF($H3&lt;&gt;"",COUNTIFS(K$2:K$500,"~*",$D$2:$D$500,$H3),"")</f>
        <v/>
      </c>
      <c r="Z3" s="33" t="str">
        <f t="shared" ref="Z3:Z66" si="6">IF($H3&lt;&gt;"",COUNTIFS(L$2:L$500,"~*",$D$2:$D$500,$H3),"")</f>
        <v/>
      </c>
      <c r="AA3" s="33" t="str">
        <f t="shared" ref="AA3:AA66" si="7">IF($H3&lt;&gt;"",COUNTIFS(M$2:M$500,"~*",$D$2:$D$500,$H3),"")</f>
        <v/>
      </c>
      <c r="AB3" s="33" t="str">
        <f t="shared" ref="AB3:AB66" si="8">IF($H3&lt;&gt;"",COUNTIFS(N$2:N$500,"~*",$D$2:$D$500,$H3),"")</f>
        <v/>
      </c>
      <c r="AC3" s="33" t="str">
        <f t="shared" ref="AC3:AC66" si="9">IF($H3&lt;&gt;"",COUNTIFS(O$2:O$500,"~*",$D$2:$D$500,$H3),"")</f>
        <v/>
      </c>
    </row>
    <row r="4" spans="1:29" x14ac:dyDescent="0.25">
      <c r="A4" s="19" t="str">
        <v>Design,Database model,+Business Data Types</v>
      </c>
      <c r="B4" t="s">
        <v>377</v>
      </c>
      <c r="C4" s="19" t="str" cm="1">
        <f t="array" ref="C4:E4">_xlfn.TEXTSPLIT(A4,",")</f>
        <v>Design</v>
      </c>
      <c r="D4" s="19" t="str">
        <v>Database model</v>
      </c>
      <c r="E4" s="19" t="str">
        <v>+Business Data Types</v>
      </c>
      <c r="F4" s="36" t="str" cm="1">
        <f t="array" ref="F4">_xlfn.TEXTJOIN(",",TRUE,_xlfn._xlws.FILTER(CLASSIFICATION[Keyword], ($E4=CLASSIFICATION[Keyword Aggr])*($D4=CLASSIFICATION[Functional Scope Aggr])))</f>
        <v>+Business Data Types</v>
      </c>
      <c r="G4" s="32" t="str">
        <f t="shared" si="2"/>
        <v/>
      </c>
      <c r="H4" s="32" t="str">
        <f t="shared" si="3"/>
        <v>Database model</v>
      </c>
      <c r="I4" s="32" t="str">
        <f t="shared" si="0"/>
        <v>+Business Data Types</v>
      </c>
      <c r="J4" s="33" t="str" cm="1">
        <f t="array" aca="1" ref="J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($E4=CLASSIFICATION[[Keyword Aggr]:[Keyword Aggr]])*($D4=CLASSIFICATION[[Functional Scope Aggr]:[Functional Scope Aggr]])),
_xlpm._platform_keywords, _xlfn.TEXTSPLIT(SUBSTITUTE(SUBSTITUTE(VLOOKUP($D4,_xlpm._platform_range,3,FALSE),"+"&amp;CHAR(34),"+"),CHAR(34),""),", "),
_xlpm._exists, SUMPRODUCT(--ISNUMBER(MATCH(_xlpm._platform_keywords,_xlpm._original_keywords,0)))&gt;0,
_xlfn.IFS(AND(_xlpm._exists,LEFT($E4,1)="+"),"+",_xlpm._exists,"*",NOT(_xlpm._exists),"")
)</f>
        <v/>
      </c>
      <c r="K4" s="33" t="str" cm="1">
        <f t="array" aca="1" ref="K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($E4=CLASSIFICATION[[Keyword Aggr]:[Keyword Aggr]])*($D4=CLASSIFICATION[[Functional Scope Aggr]:[Functional Scope Aggr]])),
_xlpm._platform_keywords, _xlfn.TEXTSPLIT(SUBSTITUTE(SUBSTITUTE(VLOOKUP($D4,_xlpm._platform_range,3,FALSE),"+"&amp;CHAR(34),"+"),CHAR(34),""),", "),
_xlpm._exists, SUMPRODUCT(--ISNUMBER(MATCH(_xlpm._platform_keywords,_xlpm._original_keywords,0)))&gt;0,
_xlfn.IFS(AND(_xlpm._exists,LEFT($E4,1)="+"),"+",_xlpm._exists,"*",NOT(_xlpm._exists),"")
)</f>
        <v/>
      </c>
      <c r="L4" s="33" t="str" cm="1">
        <f t="array" aca="1" ref="L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($E4=CLASSIFICATION[[Keyword Aggr]:[Keyword Aggr]])*($D4=CLASSIFICATION[[Functional Scope Aggr]:[Functional Scope Aggr]])),
_xlpm._platform_keywords, _xlfn.TEXTSPLIT(SUBSTITUTE(SUBSTITUTE(VLOOKUP($D4,_xlpm._platform_range,3,FALSE),"+"&amp;CHAR(34),"+"),CHAR(34),""),", "),
_xlpm._exists, SUMPRODUCT(--ISNUMBER(MATCH(_xlpm._platform_keywords,_xlpm._original_keywords,0)))&gt;0,
_xlfn.IFS(AND(_xlpm._exists,LEFT($E4,1)="+"),"+",_xlpm._exists,"*",NOT(_xlpm._exists),"")
)</f>
        <v>+</v>
      </c>
      <c r="M4" s="33" t="str" cm="1">
        <f t="array" aca="1" ref="M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($E4=CLASSIFICATION[[Keyword Aggr]:[Keyword Aggr]])*($D4=CLASSIFICATION[[Functional Scope Aggr]:[Functional Scope Aggr]])),
_xlpm._platform_keywords, _xlfn.TEXTSPLIT(SUBSTITUTE(SUBSTITUTE(VLOOKUP($D4,_xlpm._platform_range,3,FALSE),"+"&amp;CHAR(34),"+"),CHAR(34),""),", "),
_xlpm._exists, SUMPRODUCT(--ISNUMBER(MATCH(_xlpm._platform_keywords,_xlpm._original_keywords,0)))&gt;0,
_xlfn.IFS(AND(_xlpm._exists,LEFT($E4,1)="+"),"+",_xlpm._exists,"*",NOT(_xlpm._exists),"")
)</f>
        <v/>
      </c>
      <c r="N4" s="33" t="str" cm="1">
        <f t="array" aca="1" ref="N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($E4=CLASSIFICATION[[Keyword Aggr]:[Keyword Aggr]])*($D4=CLASSIFICATION[[Functional Scope Aggr]:[Functional Scope Aggr]])),
_xlpm._platform_keywords, _xlfn.TEXTSPLIT(SUBSTITUTE(SUBSTITUTE(VLOOKUP($D4,_xlpm._platform_range,3,FALSE),"+"&amp;CHAR(34),"+"),CHAR(34),""),", "),
_xlpm._exists, SUMPRODUCT(--ISNUMBER(MATCH(_xlpm._platform_keywords,_xlpm._original_keywords,0)))&gt;0,
_xlfn.IFS(AND(_xlpm._exists,LEFT($E4,1)="+"),"+",_xlpm._exists,"*",NOT(_xlpm._exists),"")
)</f>
        <v/>
      </c>
      <c r="O4" s="33" t="str" cm="1">
        <f t="array" aca="1" ref="O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($E4=CLASSIFICATION[[Keyword Aggr]:[Keyword Aggr]])*($D4=CLASSIFICATION[[Functional Scope Aggr]:[Functional Scope Aggr]])),
_xlpm._platform_keywords, _xlfn.TEXTSPLIT(SUBSTITUTE(SUBSTITUTE(VLOOKUP($D4,_xlpm._platform_range,3,FALSE),"+"&amp;CHAR(34),"+"),CHAR(34),""),", "),
_xlpm._exists, SUMPRODUCT(--ISNUMBER(MATCH(_xlpm._platform_keywords,_xlpm._original_keywords,0)))&gt;0,
_xlfn.IFS(AND(_xlpm._exists,LEFT($E4,1)="+"),"+",_xlpm._exists,"*",NOT(_xlpm._exists),"")
)</f>
        <v>+</v>
      </c>
      <c r="Q4" s="33" t="str" cm="1">
        <f t="array" aca="1" ref="Q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($E4=CLASSIFICATION[[Keyword Aggr]:[Keyword Aggr]])*($D4=CLASSIFICATION[[Functional Scope Aggr]:[Functional Scope Aggr]])),
_xlpm._platform_keywords, _xlfn.TEXTSPLIT(SUBSTITUTE(SUBSTITUTE(VLOOKUP($D4,_xlpm._platform_range,3,FALSE),"+"&amp;CHAR(34),"+"),CHAR(34),""),", "),
_xlpm._exists, SUMPRODUCT(--ISNUMBER(MATCH(_xlpm._platform_keywords,_xlpm._original_keywords,0)))&gt;0,
_xlfn.IFS(_xlpm._exists,1,NOT(_xlpm._exists),"")
)</f>
        <v/>
      </c>
      <c r="R4" s="33" t="str" cm="1">
        <f t="array" aca="1" ref="R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($E4=CLASSIFICATION[[Keyword Aggr]:[Keyword Aggr]])*($D4=CLASSIFICATION[[Functional Scope Aggr]:[Functional Scope Aggr]])),
_xlpm._platform_keywords, _xlfn.TEXTSPLIT(SUBSTITUTE(SUBSTITUTE(VLOOKUP($D4,_xlpm._platform_range,3,FALSE),"+"&amp;CHAR(34),"+"),CHAR(34),""),", "),
_xlpm._exists, SUMPRODUCT(--ISNUMBER(MATCH(_xlpm._platform_keywords,_xlpm._original_keywords,0)))&gt;0,
_xlfn.IFS(_xlpm._exists,1,NOT(_xlpm._exists),"")
)</f>
        <v/>
      </c>
      <c r="S4" s="33" cm="1">
        <f t="array" aca="1" ref="S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($E4=CLASSIFICATION[[Keyword Aggr]:[Keyword Aggr]])*($D4=CLASSIFICATION[[Functional Scope Aggr]:[Functional Scope Aggr]])),
_xlpm._platform_keywords, _xlfn.TEXTSPLIT(SUBSTITUTE(SUBSTITUTE(VLOOKUP($D4,_xlpm._platform_range,3,FALSE),"+"&amp;CHAR(34),"+"),CHAR(34),""),", "),
_xlpm._exists, SUMPRODUCT(--ISNUMBER(MATCH(_xlpm._platform_keywords,_xlpm._original_keywords,0)))&gt;0,
_xlfn.IFS(_xlpm._exists,1,NOT(_xlpm._exists),"")
)</f>
        <v>1</v>
      </c>
      <c r="T4" s="33" t="str" cm="1">
        <f t="array" aca="1" ref="T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($E4=CLASSIFICATION[[Keyword Aggr]:[Keyword Aggr]])*($D4=CLASSIFICATION[[Functional Scope Aggr]:[Functional Scope Aggr]])),
_xlpm._platform_keywords, _xlfn.TEXTSPLIT(SUBSTITUTE(SUBSTITUTE(VLOOKUP($D4,_xlpm._platform_range,3,FALSE),"+"&amp;CHAR(34),"+"),CHAR(34),""),", "),
_xlpm._exists, SUMPRODUCT(--ISNUMBER(MATCH(_xlpm._platform_keywords,_xlpm._original_keywords,0)))&gt;0,
_xlfn.IFS(_xlpm._exists,1,NOT(_xlpm._exists),"")
)</f>
        <v/>
      </c>
      <c r="U4" s="33" t="str" cm="1">
        <f t="array" aca="1" ref="U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($E4=CLASSIFICATION[[Keyword Aggr]:[Keyword Aggr]])*($D4=CLASSIFICATION[[Functional Scope Aggr]:[Functional Scope Aggr]])),
_xlpm._platform_keywords, _xlfn.TEXTSPLIT(SUBSTITUTE(SUBSTITUTE(VLOOKUP($D4,_xlpm._platform_range,3,FALSE),"+"&amp;CHAR(34),"+"),CHAR(34),""),", "),
_xlpm._exists, SUMPRODUCT(--ISNUMBER(MATCH(_xlpm._platform_keywords,_xlpm._original_keywords,0)))&gt;0,
_xlfn.IFS(_xlpm._exists,1,NOT(_xlpm._exists),"")
)</f>
        <v/>
      </c>
      <c r="V4" s="33" cm="1">
        <f t="array" aca="1" ref="V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($E4=CLASSIFICATION[[Keyword Aggr]:[Keyword Aggr]])*($D4=CLASSIFICATION[[Functional Scope Aggr]:[Functional Scope Aggr]])),
_xlpm._platform_keywords, _xlfn.TEXTSPLIT(SUBSTITUTE(SUBSTITUTE(VLOOKUP($D4,_xlpm._platform_range,3,FALSE),"+"&amp;CHAR(34),"+"),CHAR(34),""),", "),
_xlpm._exists, SUMPRODUCT(--ISNUMBER(MATCH(_xlpm._platform_keywords,_xlpm._original_keywords,0)))&gt;0,
_xlfn.IFS(_xlpm._exists,1,NOT(_xlpm._exists),"")
)</f>
        <v>1</v>
      </c>
      <c r="X4" s="33">
        <f t="shared" ca="1" si="4"/>
        <v>6</v>
      </c>
      <c r="Y4" s="33">
        <f t="shared" ca="1" si="5"/>
        <v>3</v>
      </c>
      <c r="Z4" s="33">
        <f t="shared" ca="1" si="6"/>
        <v>2</v>
      </c>
      <c r="AA4" s="33">
        <f t="shared" ca="1" si="7"/>
        <v>2</v>
      </c>
      <c r="AB4" s="33">
        <f t="shared" ca="1" si="8"/>
        <v>5</v>
      </c>
      <c r="AC4" s="33">
        <f t="shared" ca="1" si="9"/>
        <v>1</v>
      </c>
    </row>
    <row r="5" spans="1:29" x14ac:dyDescent="0.25">
      <c r="A5" s="19" t="str">
        <v>Design,Database model,+Form-based Data</v>
      </c>
      <c r="B5" t="s">
        <v>377</v>
      </c>
      <c r="C5" s="19" t="str" cm="1">
        <f t="array" ref="C5:E5">_xlfn.TEXTSPLIT(A5,",")</f>
        <v>Design</v>
      </c>
      <c r="D5" s="19" t="str">
        <v>Database model</v>
      </c>
      <c r="E5" s="19" t="str">
        <v>+Form-based Data</v>
      </c>
      <c r="F5" s="36" t="str" cm="1">
        <f t="array" ref="F5">_xlfn.TEXTJOIN(",",TRUE,_xlfn._xlws.FILTER(CLASSIFICATION[Keyword], ($E5=CLASSIFICATION[Keyword Aggr])*($D5=CLASSIFICATION[Functional Scope Aggr])))</f>
        <v>+Form-based Data</v>
      </c>
      <c r="G5" s="32" t="str">
        <f t="shared" si="2"/>
        <v/>
      </c>
      <c r="H5" s="32" t="str">
        <f t="shared" si="3"/>
        <v/>
      </c>
      <c r="I5" s="32" t="str">
        <f t="shared" si="0"/>
        <v>+Form-based Data</v>
      </c>
      <c r="J5" s="33" t="str" cm="1">
        <f t="array" aca="1" ref="J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($E5=CLASSIFICATION[[Keyword Aggr]:[Keyword Aggr]])*($D5=CLASSIFICATION[[Functional Scope Aggr]:[Functional Scope Aggr]])),
_xlpm._platform_keywords, _xlfn.TEXTSPLIT(SUBSTITUTE(SUBSTITUTE(VLOOKUP($D5,_xlpm._platform_range,3,FALSE),"+"&amp;CHAR(34),"+"),CHAR(34),""),", "),
_xlpm._exists, SUMPRODUCT(--ISNUMBER(MATCH(_xlpm._platform_keywords,_xlpm._original_keywords,0)))&gt;0,
_xlfn.IFS(AND(_xlpm._exists,LEFT($E5,1)="+"),"+",_xlpm._exists,"*",NOT(_xlpm._exists),"")
)</f>
        <v/>
      </c>
      <c r="K5" s="33" t="str" cm="1">
        <f t="array" aca="1" ref="K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($E5=CLASSIFICATION[[Keyword Aggr]:[Keyword Aggr]])*($D5=CLASSIFICATION[[Functional Scope Aggr]:[Functional Scope Aggr]])),
_xlpm._platform_keywords, _xlfn.TEXTSPLIT(SUBSTITUTE(SUBSTITUTE(VLOOKUP($D5,_xlpm._platform_range,3,FALSE),"+"&amp;CHAR(34),"+"),CHAR(34),""),", "),
_xlpm._exists, SUMPRODUCT(--ISNUMBER(MATCH(_xlpm._platform_keywords,_xlpm._original_keywords,0)))&gt;0,
_xlfn.IFS(AND(_xlpm._exists,LEFT($E5,1)="+"),"+",_xlpm._exists,"*",NOT(_xlpm._exists),"")
)</f>
        <v/>
      </c>
      <c r="L5" s="33" t="str" cm="1">
        <f t="array" aca="1" ref="L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($E5=CLASSIFICATION[[Keyword Aggr]:[Keyword Aggr]])*($D5=CLASSIFICATION[[Functional Scope Aggr]:[Functional Scope Aggr]])),
_xlpm._platform_keywords, _xlfn.TEXTSPLIT(SUBSTITUTE(SUBSTITUTE(VLOOKUP($D5,_xlpm._platform_range,3,FALSE),"+"&amp;CHAR(34),"+"),CHAR(34),""),", "),
_xlpm._exists, SUMPRODUCT(--ISNUMBER(MATCH(_xlpm._platform_keywords,_xlpm._original_keywords,0)))&gt;0,
_xlfn.IFS(AND(_xlpm._exists,LEFT($E5,1)="+"),"+",_xlpm._exists,"*",NOT(_xlpm._exists),"")
)</f>
        <v>+</v>
      </c>
      <c r="M5" s="33" t="str" cm="1">
        <f t="array" aca="1" ref="M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($E5=CLASSIFICATION[[Keyword Aggr]:[Keyword Aggr]])*($D5=CLASSIFICATION[[Functional Scope Aggr]:[Functional Scope Aggr]])),
_xlpm._platform_keywords, _xlfn.TEXTSPLIT(SUBSTITUTE(SUBSTITUTE(VLOOKUP($D5,_xlpm._platform_range,3,FALSE),"+"&amp;CHAR(34),"+"),CHAR(34),""),", "),
_xlpm._exists, SUMPRODUCT(--ISNUMBER(MATCH(_xlpm._platform_keywords,_xlpm._original_keywords,0)))&gt;0,
_xlfn.IFS(AND(_xlpm._exists,LEFT($E5,1)="+"),"+",_xlpm._exists,"*",NOT(_xlpm._exists),"")
)</f>
        <v/>
      </c>
      <c r="N5" s="33" t="str" cm="1">
        <f t="array" aca="1" ref="N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($E5=CLASSIFICATION[[Keyword Aggr]:[Keyword Aggr]])*($D5=CLASSIFICATION[[Functional Scope Aggr]:[Functional Scope Aggr]])),
_xlpm._platform_keywords, _xlfn.TEXTSPLIT(SUBSTITUTE(SUBSTITUTE(VLOOKUP($D5,_xlpm._platform_range,3,FALSE),"+"&amp;CHAR(34),"+"),CHAR(34),""),", "),
_xlpm._exists, SUMPRODUCT(--ISNUMBER(MATCH(_xlpm._platform_keywords,_xlpm._original_keywords,0)))&gt;0,
_xlfn.IFS(AND(_xlpm._exists,LEFT($E5,1)="+"),"+",_xlpm._exists,"*",NOT(_xlpm._exists),"")
)</f>
        <v/>
      </c>
      <c r="O5" s="33" t="str" cm="1">
        <f t="array" aca="1" ref="O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($E5=CLASSIFICATION[[Keyword Aggr]:[Keyword Aggr]])*($D5=CLASSIFICATION[[Functional Scope Aggr]:[Functional Scope Aggr]])),
_xlpm._platform_keywords, _xlfn.TEXTSPLIT(SUBSTITUTE(SUBSTITUTE(VLOOKUP($D5,_xlpm._platform_range,3,FALSE),"+"&amp;CHAR(34),"+"),CHAR(34),""),", "),
_xlpm._exists, SUMPRODUCT(--ISNUMBER(MATCH(_xlpm._platform_keywords,_xlpm._original_keywords,0)))&gt;0,
_xlfn.IFS(AND(_xlpm._exists,LEFT($E5,1)="+"),"+",_xlpm._exists,"*",NOT(_xlpm._exists),"")
)</f>
        <v>+</v>
      </c>
      <c r="Q5" s="33" t="str" cm="1">
        <f t="array" aca="1" ref="Q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($E5=CLASSIFICATION[[Keyword Aggr]:[Keyword Aggr]])*($D5=CLASSIFICATION[[Functional Scope Aggr]:[Functional Scope Aggr]])),
_xlpm._platform_keywords, _xlfn.TEXTSPLIT(SUBSTITUTE(SUBSTITUTE(VLOOKUP($D5,_xlpm._platform_range,3,FALSE),"+"&amp;CHAR(34),"+"),CHAR(34),""),", "),
_xlpm._exists, SUMPRODUCT(--ISNUMBER(MATCH(_xlpm._platform_keywords,_xlpm._original_keywords,0)))&gt;0,
_xlfn.IFS(_xlpm._exists,1,NOT(_xlpm._exists),"")
)</f>
        <v/>
      </c>
      <c r="R5" s="33" t="str" cm="1">
        <f t="array" aca="1" ref="R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($E5=CLASSIFICATION[[Keyword Aggr]:[Keyword Aggr]])*($D5=CLASSIFICATION[[Functional Scope Aggr]:[Functional Scope Aggr]])),
_xlpm._platform_keywords, _xlfn.TEXTSPLIT(SUBSTITUTE(SUBSTITUTE(VLOOKUP($D5,_xlpm._platform_range,3,FALSE),"+"&amp;CHAR(34),"+"),CHAR(34),""),", "),
_xlpm._exists, SUMPRODUCT(--ISNUMBER(MATCH(_xlpm._platform_keywords,_xlpm._original_keywords,0)))&gt;0,
_xlfn.IFS(_xlpm._exists,1,NOT(_xlpm._exists),"")
)</f>
        <v/>
      </c>
      <c r="S5" s="33" cm="1">
        <f t="array" aca="1" ref="S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($E5=CLASSIFICATION[[Keyword Aggr]:[Keyword Aggr]])*($D5=CLASSIFICATION[[Functional Scope Aggr]:[Functional Scope Aggr]])),
_xlpm._platform_keywords, _xlfn.TEXTSPLIT(SUBSTITUTE(SUBSTITUTE(VLOOKUP($D5,_xlpm._platform_range,3,FALSE),"+"&amp;CHAR(34),"+"),CHAR(34),""),", "),
_xlpm._exists, SUMPRODUCT(--ISNUMBER(MATCH(_xlpm._platform_keywords,_xlpm._original_keywords,0)))&gt;0,
_xlfn.IFS(_xlpm._exists,1,NOT(_xlpm._exists),"")
)</f>
        <v>1</v>
      </c>
      <c r="T5" s="33" t="str" cm="1">
        <f t="array" aca="1" ref="T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($E5=CLASSIFICATION[[Keyword Aggr]:[Keyword Aggr]])*($D5=CLASSIFICATION[[Functional Scope Aggr]:[Functional Scope Aggr]])),
_xlpm._platform_keywords, _xlfn.TEXTSPLIT(SUBSTITUTE(SUBSTITUTE(VLOOKUP($D5,_xlpm._platform_range,3,FALSE),"+"&amp;CHAR(34),"+"),CHAR(34),""),", "),
_xlpm._exists, SUMPRODUCT(--ISNUMBER(MATCH(_xlpm._platform_keywords,_xlpm._original_keywords,0)))&gt;0,
_xlfn.IFS(_xlpm._exists,1,NOT(_xlpm._exists),"")
)</f>
        <v/>
      </c>
      <c r="U5" s="33" t="str" cm="1">
        <f t="array" aca="1" ref="U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($E5=CLASSIFICATION[[Keyword Aggr]:[Keyword Aggr]])*($D5=CLASSIFICATION[[Functional Scope Aggr]:[Functional Scope Aggr]])),
_xlpm._platform_keywords, _xlfn.TEXTSPLIT(SUBSTITUTE(SUBSTITUTE(VLOOKUP($D5,_xlpm._platform_range,3,FALSE),"+"&amp;CHAR(34),"+"),CHAR(34),""),", "),
_xlpm._exists, SUMPRODUCT(--ISNUMBER(MATCH(_xlpm._platform_keywords,_xlpm._original_keywords,0)))&gt;0,
_xlfn.IFS(_xlpm._exists,1,NOT(_xlpm._exists),"")
)</f>
        <v/>
      </c>
      <c r="V5" s="33" cm="1">
        <f t="array" aca="1" ref="V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($E5=CLASSIFICATION[[Keyword Aggr]:[Keyword Aggr]])*($D5=CLASSIFICATION[[Functional Scope Aggr]:[Functional Scope Aggr]])),
_xlpm._platform_keywords, _xlfn.TEXTSPLIT(SUBSTITUTE(SUBSTITUTE(VLOOKUP($D5,_xlpm._platform_range,3,FALSE),"+"&amp;CHAR(34),"+"),CHAR(34),""),", "),
_xlpm._exists, SUMPRODUCT(--ISNUMBER(MATCH(_xlpm._platform_keywords,_xlpm._original_keywords,0)))&gt;0,
_xlfn.IFS(_xlpm._exists,1,NOT(_xlpm._exists),"")
)</f>
        <v>1</v>
      </c>
      <c r="X5" s="33" t="str">
        <f t="shared" si="4"/>
        <v/>
      </c>
      <c r="Y5" s="33" t="str">
        <f t="shared" si="5"/>
        <v/>
      </c>
      <c r="Z5" s="33" t="str">
        <f t="shared" si="6"/>
        <v/>
      </c>
      <c r="AA5" s="33" t="str">
        <f t="shared" si="7"/>
        <v/>
      </c>
      <c r="AB5" s="33" t="str">
        <f t="shared" si="8"/>
        <v/>
      </c>
      <c r="AC5" s="33" t="str">
        <f t="shared" si="9"/>
        <v/>
      </c>
    </row>
    <row r="6" spans="1:29" x14ac:dyDescent="0.25">
      <c r="A6" s="19" t="str">
        <v>Design,Database model,+Item-Detail</v>
      </c>
      <c r="B6" t="s">
        <v>377</v>
      </c>
      <c r="C6" s="19" t="str" cm="1">
        <f t="array" ref="C6:E6">_xlfn.TEXTSPLIT(A6,",")</f>
        <v>Design</v>
      </c>
      <c r="D6" s="19" t="str">
        <v>Database model</v>
      </c>
      <c r="E6" s="19" t="str">
        <v>+Item-Detail</v>
      </c>
      <c r="F6" s="36" t="str" cm="1">
        <f t="array" ref="F6">_xlfn.TEXTJOIN(",",TRUE,_xlfn._xlws.FILTER(CLASSIFICATION[Keyword], ($E6=CLASSIFICATION[Keyword Aggr])*($D6=CLASSIFICATION[Functional Scope Aggr])))</f>
        <v>+Item-Detail</v>
      </c>
      <c r="G6" s="32" t="str">
        <f t="shared" si="2"/>
        <v/>
      </c>
      <c r="H6" s="32" t="str">
        <f t="shared" si="3"/>
        <v/>
      </c>
      <c r="I6" s="32" t="str">
        <f t="shared" si="0"/>
        <v>+Item-Detail</v>
      </c>
      <c r="J6" s="33" t="str" cm="1">
        <f t="array" aca="1" ref="J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($E6=CLASSIFICATION[[Keyword Aggr]:[Keyword Aggr]])*($D6=CLASSIFICATION[[Functional Scope Aggr]:[Functional Scope Aggr]])),
_xlpm._platform_keywords, _xlfn.TEXTSPLIT(SUBSTITUTE(SUBSTITUTE(VLOOKUP($D6,_xlpm._platform_range,3,FALSE),"+"&amp;CHAR(34),"+"),CHAR(34),""),", "),
_xlpm._exists, SUMPRODUCT(--ISNUMBER(MATCH(_xlpm._platform_keywords,_xlpm._original_keywords,0)))&gt;0,
_xlfn.IFS(AND(_xlpm._exists,LEFT($E6,1)="+"),"+",_xlpm._exists,"*",NOT(_xlpm._exists),"")
)</f>
        <v/>
      </c>
      <c r="K6" s="33" t="str" cm="1">
        <f t="array" aca="1" ref="K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($E6=CLASSIFICATION[[Keyword Aggr]:[Keyword Aggr]])*($D6=CLASSIFICATION[[Functional Scope Aggr]:[Functional Scope Aggr]])),
_xlpm._platform_keywords, _xlfn.TEXTSPLIT(SUBSTITUTE(SUBSTITUTE(VLOOKUP($D6,_xlpm._platform_range,3,FALSE),"+"&amp;CHAR(34),"+"),CHAR(34),""),", "),
_xlpm._exists, SUMPRODUCT(--ISNUMBER(MATCH(_xlpm._platform_keywords,_xlpm._original_keywords,0)))&gt;0,
_xlfn.IFS(AND(_xlpm._exists,LEFT($E6,1)="+"),"+",_xlpm._exists,"*",NOT(_xlpm._exists),"")
)</f>
        <v/>
      </c>
      <c r="L6" s="33" t="str" cm="1">
        <f t="array" aca="1" ref="L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($E6=CLASSIFICATION[[Keyword Aggr]:[Keyword Aggr]])*($D6=CLASSIFICATION[[Functional Scope Aggr]:[Functional Scope Aggr]])),
_xlpm._platform_keywords, _xlfn.TEXTSPLIT(SUBSTITUTE(SUBSTITUTE(VLOOKUP($D6,_xlpm._platform_range,3,FALSE),"+"&amp;CHAR(34),"+"),CHAR(34),""),", "),
_xlpm._exists, SUMPRODUCT(--ISNUMBER(MATCH(_xlpm._platform_keywords,_xlpm._original_keywords,0)))&gt;0,
_xlfn.IFS(AND(_xlpm._exists,LEFT($E6,1)="+"),"+",_xlpm._exists,"*",NOT(_xlpm._exists),"")
)</f>
        <v/>
      </c>
      <c r="M6" s="33" t="str" cm="1">
        <f t="array" aca="1" ref="M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($E6=CLASSIFICATION[[Keyword Aggr]:[Keyword Aggr]])*($D6=CLASSIFICATION[[Functional Scope Aggr]:[Functional Scope Aggr]])),
_xlpm._platform_keywords, _xlfn.TEXTSPLIT(SUBSTITUTE(SUBSTITUTE(VLOOKUP($D6,_xlpm._platform_range,3,FALSE),"+"&amp;CHAR(34),"+"),CHAR(34),""),", "),
_xlpm._exists, SUMPRODUCT(--ISNUMBER(MATCH(_xlpm._platform_keywords,_xlpm._original_keywords,0)))&gt;0,
_xlfn.IFS(AND(_xlpm._exists,LEFT($E6,1)="+"),"+",_xlpm._exists,"*",NOT(_xlpm._exists),"")
)</f>
        <v/>
      </c>
      <c r="N6" s="33" t="str" cm="1">
        <f t="array" aca="1" ref="N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($E6=CLASSIFICATION[[Keyword Aggr]:[Keyword Aggr]])*($D6=CLASSIFICATION[[Functional Scope Aggr]:[Functional Scope Aggr]])),
_xlpm._platform_keywords, _xlfn.TEXTSPLIT(SUBSTITUTE(SUBSTITUTE(VLOOKUP($D6,_xlpm._platform_range,3,FALSE),"+"&amp;CHAR(34),"+"),CHAR(34),""),", "),
_xlpm._exists, SUMPRODUCT(--ISNUMBER(MATCH(_xlpm._platform_keywords,_xlpm._original_keywords,0)))&gt;0,
_xlfn.IFS(AND(_xlpm._exists,LEFT($E6,1)="+"),"+",_xlpm._exists,"*",NOT(_xlpm._exists),"")
)</f>
        <v>+</v>
      </c>
      <c r="O6" s="33" t="str" cm="1">
        <f t="array" aca="1" ref="O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($E6=CLASSIFICATION[[Keyword Aggr]:[Keyword Aggr]])*($D6=CLASSIFICATION[[Functional Scope Aggr]:[Functional Scope Aggr]])),
_xlpm._platform_keywords, _xlfn.TEXTSPLIT(SUBSTITUTE(SUBSTITUTE(VLOOKUP($D6,_xlpm._platform_range,3,FALSE),"+"&amp;CHAR(34),"+"),CHAR(34),""),", "),
_xlpm._exists, SUMPRODUCT(--ISNUMBER(MATCH(_xlpm._platform_keywords,_xlpm._original_keywords,0)))&gt;0,
_xlfn.IFS(AND(_xlpm._exists,LEFT($E6,1)="+"),"+",_xlpm._exists,"*",NOT(_xlpm._exists),"")
)</f>
        <v/>
      </c>
      <c r="Q6" s="33" t="str" cm="1">
        <f t="array" aca="1" ref="Q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($E6=CLASSIFICATION[[Keyword Aggr]:[Keyword Aggr]])*($D6=CLASSIFICATION[[Functional Scope Aggr]:[Functional Scope Aggr]])),
_xlpm._platform_keywords, _xlfn.TEXTSPLIT(SUBSTITUTE(SUBSTITUTE(VLOOKUP($D6,_xlpm._platform_range,3,FALSE),"+"&amp;CHAR(34),"+"),CHAR(34),""),", "),
_xlpm._exists, SUMPRODUCT(--ISNUMBER(MATCH(_xlpm._platform_keywords,_xlpm._original_keywords,0)))&gt;0,
_xlfn.IFS(_xlpm._exists,1,NOT(_xlpm._exists),"")
)</f>
        <v/>
      </c>
      <c r="R6" s="33" t="str" cm="1">
        <f t="array" aca="1" ref="R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($E6=CLASSIFICATION[[Keyword Aggr]:[Keyword Aggr]])*($D6=CLASSIFICATION[[Functional Scope Aggr]:[Functional Scope Aggr]])),
_xlpm._platform_keywords, _xlfn.TEXTSPLIT(SUBSTITUTE(SUBSTITUTE(VLOOKUP($D6,_xlpm._platform_range,3,FALSE),"+"&amp;CHAR(34),"+"),CHAR(34),""),", "),
_xlpm._exists, SUMPRODUCT(--ISNUMBER(MATCH(_xlpm._platform_keywords,_xlpm._original_keywords,0)))&gt;0,
_xlfn.IFS(_xlpm._exists,1,NOT(_xlpm._exists),"")
)</f>
        <v/>
      </c>
      <c r="S6" s="33" t="str" cm="1">
        <f t="array" aca="1" ref="S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($E6=CLASSIFICATION[[Keyword Aggr]:[Keyword Aggr]])*($D6=CLASSIFICATION[[Functional Scope Aggr]:[Functional Scope Aggr]])),
_xlpm._platform_keywords, _xlfn.TEXTSPLIT(SUBSTITUTE(SUBSTITUTE(VLOOKUP($D6,_xlpm._platform_range,3,FALSE),"+"&amp;CHAR(34),"+"),CHAR(34),""),", "),
_xlpm._exists, SUMPRODUCT(--ISNUMBER(MATCH(_xlpm._platform_keywords,_xlpm._original_keywords,0)))&gt;0,
_xlfn.IFS(_xlpm._exists,1,NOT(_xlpm._exists),"")
)</f>
        <v/>
      </c>
      <c r="T6" s="33" t="str" cm="1">
        <f t="array" aca="1" ref="T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($E6=CLASSIFICATION[[Keyword Aggr]:[Keyword Aggr]])*($D6=CLASSIFICATION[[Functional Scope Aggr]:[Functional Scope Aggr]])),
_xlpm._platform_keywords, _xlfn.TEXTSPLIT(SUBSTITUTE(SUBSTITUTE(VLOOKUP($D6,_xlpm._platform_range,3,FALSE),"+"&amp;CHAR(34),"+"),CHAR(34),""),", "),
_xlpm._exists, SUMPRODUCT(--ISNUMBER(MATCH(_xlpm._platform_keywords,_xlpm._original_keywords,0)))&gt;0,
_xlfn.IFS(_xlpm._exists,1,NOT(_xlpm._exists),"")
)</f>
        <v/>
      </c>
      <c r="U6" s="33" cm="1">
        <f t="array" aca="1" ref="U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($E6=CLASSIFICATION[[Keyword Aggr]:[Keyword Aggr]])*($D6=CLASSIFICATION[[Functional Scope Aggr]:[Functional Scope Aggr]])),
_xlpm._platform_keywords, _xlfn.TEXTSPLIT(SUBSTITUTE(SUBSTITUTE(VLOOKUP($D6,_xlpm._platform_range,3,FALSE),"+"&amp;CHAR(34),"+"),CHAR(34),""),", "),
_xlpm._exists, SUMPRODUCT(--ISNUMBER(MATCH(_xlpm._platform_keywords,_xlpm._original_keywords,0)))&gt;0,
_xlfn.IFS(_xlpm._exists,1,NOT(_xlpm._exists),"")
)</f>
        <v>1</v>
      </c>
      <c r="V6" s="33" t="str" cm="1">
        <f t="array" aca="1" ref="V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($E6=CLASSIFICATION[[Keyword Aggr]:[Keyword Aggr]])*($D6=CLASSIFICATION[[Functional Scope Aggr]:[Functional Scope Aggr]])),
_xlpm._platform_keywords, _xlfn.TEXTSPLIT(SUBSTITUTE(SUBSTITUTE(VLOOKUP($D6,_xlpm._platform_range,3,FALSE),"+"&amp;CHAR(34),"+"),CHAR(34),""),", "),
_xlpm._exists, SUMPRODUCT(--ISNUMBER(MATCH(_xlpm._platform_keywords,_xlpm._original_keywords,0)))&gt;0,
_xlfn.IFS(_xlpm._exists,1,NOT(_xlpm._exists),"")
)</f>
        <v/>
      </c>
      <c r="X6" s="33" t="str">
        <f t="shared" si="4"/>
        <v/>
      </c>
      <c r="Y6" s="33" t="str">
        <f t="shared" si="5"/>
        <v/>
      </c>
      <c r="Z6" s="33" t="str">
        <f t="shared" si="6"/>
        <v/>
      </c>
      <c r="AA6" s="33" t="str">
        <f t="shared" si="7"/>
        <v/>
      </c>
      <c r="AB6" s="33" t="str">
        <f t="shared" si="8"/>
        <v/>
      </c>
      <c r="AC6" s="33" t="str">
        <f t="shared" si="9"/>
        <v/>
      </c>
    </row>
    <row r="7" spans="1:29" x14ac:dyDescent="0.25">
      <c r="A7" s="19" t="str">
        <v>Design,Database model,+Lookup/Drop-down</v>
      </c>
      <c r="B7" t="s">
        <v>377</v>
      </c>
      <c r="C7" s="19" t="str" cm="1">
        <f t="array" ref="C7:E7">_xlfn.TEXTSPLIT(A7,",")</f>
        <v>Design</v>
      </c>
      <c r="D7" s="19" t="str">
        <v>Database model</v>
      </c>
      <c r="E7" s="19" t="str">
        <v>+Lookup/Drop-down</v>
      </c>
      <c r="F7" s="36" t="str" cm="1">
        <f t="array" ref="F7">_xlfn.TEXTJOIN(",",TRUE,_xlfn._xlws.FILTER(CLASSIFICATION[Keyword], ($E7=CLASSIFICATION[Keyword Aggr])*($D7=CLASSIFICATION[Functional Scope Aggr])))</f>
        <v>+Lookup/Drop-down</v>
      </c>
      <c r="G7" s="32" t="str">
        <f t="shared" si="2"/>
        <v/>
      </c>
      <c r="H7" s="32" t="str">
        <f t="shared" si="3"/>
        <v/>
      </c>
      <c r="I7" s="32" t="str">
        <f t="shared" si="0"/>
        <v>+Lookup/Drop-down</v>
      </c>
      <c r="J7" s="33" t="str" cm="1">
        <f t="array" aca="1" ref="J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($E7=CLASSIFICATION[[Keyword Aggr]:[Keyword Aggr]])*($D7=CLASSIFICATION[[Functional Scope Aggr]:[Functional Scope Aggr]])),
_xlpm._platform_keywords, _xlfn.TEXTSPLIT(SUBSTITUTE(SUBSTITUTE(VLOOKUP($D7,_xlpm._platform_range,3,FALSE),"+"&amp;CHAR(34),"+"),CHAR(34),""),", "),
_xlpm._exists, SUMPRODUCT(--ISNUMBER(MATCH(_xlpm._platform_keywords,_xlpm._original_keywords,0)))&gt;0,
_xlfn.IFS(AND(_xlpm._exists,LEFT($E7,1)="+"),"+",_xlpm._exists,"*",NOT(_xlpm._exists),"")
)</f>
        <v/>
      </c>
      <c r="K7" s="33" t="str" cm="1">
        <f t="array" aca="1" ref="K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($E7=CLASSIFICATION[[Keyword Aggr]:[Keyword Aggr]])*($D7=CLASSIFICATION[[Functional Scope Aggr]:[Functional Scope Aggr]])),
_xlpm._platform_keywords, _xlfn.TEXTSPLIT(SUBSTITUTE(SUBSTITUTE(VLOOKUP($D7,_xlpm._platform_range,3,FALSE),"+"&amp;CHAR(34),"+"),CHAR(34),""),", "),
_xlpm._exists, SUMPRODUCT(--ISNUMBER(MATCH(_xlpm._platform_keywords,_xlpm._original_keywords,0)))&gt;0,
_xlfn.IFS(AND(_xlpm._exists,LEFT($E7,1)="+"),"+",_xlpm._exists,"*",NOT(_xlpm._exists),"")
)</f>
        <v/>
      </c>
      <c r="L7" s="33" t="str" cm="1">
        <f t="array" aca="1" ref="L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($E7=CLASSIFICATION[[Keyword Aggr]:[Keyword Aggr]])*($D7=CLASSIFICATION[[Functional Scope Aggr]:[Functional Scope Aggr]])),
_xlpm._platform_keywords, _xlfn.TEXTSPLIT(SUBSTITUTE(SUBSTITUTE(VLOOKUP($D7,_xlpm._platform_range,3,FALSE),"+"&amp;CHAR(34),"+"),CHAR(34),""),", "),
_xlpm._exists, SUMPRODUCT(--ISNUMBER(MATCH(_xlpm._platform_keywords,_xlpm._original_keywords,0)))&gt;0,
_xlfn.IFS(AND(_xlpm._exists,LEFT($E7,1)="+"),"+",_xlpm._exists,"*",NOT(_xlpm._exists),"")
)</f>
        <v/>
      </c>
      <c r="M7" s="33" t="str" cm="1">
        <f t="array" aca="1" ref="M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($E7=CLASSIFICATION[[Keyword Aggr]:[Keyword Aggr]])*($D7=CLASSIFICATION[[Functional Scope Aggr]:[Functional Scope Aggr]])),
_xlpm._platform_keywords, _xlfn.TEXTSPLIT(SUBSTITUTE(SUBSTITUTE(VLOOKUP($D7,_xlpm._platform_range,3,FALSE),"+"&amp;CHAR(34),"+"),CHAR(34),""),", "),
_xlpm._exists, SUMPRODUCT(--ISNUMBER(MATCH(_xlpm._platform_keywords,_xlpm._original_keywords,0)))&gt;0,
_xlfn.IFS(AND(_xlpm._exists,LEFT($E7,1)="+"),"+",_xlpm._exists,"*",NOT(_xlpm._exists),"")
)</f>
        <v/>
      </c>
      <c r="N7" s="33" t="str" cm="1">
        <f t="array" aca="1" ref="N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($E7=CLASSIFICATION[[Keyword Aggr]:[Keyword Aggr]])*($D7=CLASSIFICATION[[Functional Scope Aggr]:[Functional Scope Aggr]])),
_xlpm._platform_keywords, _xlfn.TEXTSPLIT(SUBSTITUTE(SUBSTITUTE(VLOOKUP($D7,_xlpm._platform_range,3,FALSE),"+"&amp;CHAR(34),"+"),CHAR(34),""),", "),
_xlpm._exists, SUMPRODUCT(--ISNUMBER(MATCH(_xlpm._platform_keywords,_xlpm._original_keywords,0)))&gt;0,
_xlfn.IFS(AND(_xlpm._exists,LEFT($E7,1)="+"),"+",_xlpm._exists,"*",NOT(_xlpm._exists),"")
)</f>
        <v>+</v>
      </c>
      <c r="O7" s="33" t="str" cm="1">
        <f t="array" aca="1" ref="O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($E7=CLASSIFICATION[[Keyword Aggr]:[Keyword Aggr]])*($D7=CLASSIFICATION[[Functional Scope Aggr]:[Functional Scope Aggr]])),
_xlpm._platform_keywords, _xlfn.TEXTSPLIT(SUBSTITUTE(SUBSTITUTE(VLOOKUP($D7,_xlpm._platform_range,3,FALSE),"+"&amp;CHAR(34),"+"),CHAR(34),""),", "),
_xlpm._exists, SUMPRODUCT(--ISNUMBER(MATCH(_xlpm._platform_keywords,_xlpm._original_keywords,0)))&gt;0,
_xlfn.IFS(AND(_xlpm._exists,LEFT($E7,1)="+"),"+",_xlpm._exists,"*",NOT(_xlpm._exists),"")
)</f>
        <v/>
      </c>
      <c r="Q7" s="33" t="str" cm="1">
        <f t="array" aca="1" ref="Q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($E7=CLASSIFICATION[[Keyword Aggr]:[Keyword Aggr]])*($D7=CLASSIFICATION[[Functional Scope Aggr]:[Functional Scope Aggr]])),
_xlpm._platform_keywords, _xlfn.TEXTSPLIT(SUBSTITUTE(SUBSTITUTE(VLOOKUP($D7,_xlpm._platform_range,3,FALSE),"+"&amp;CHAR(34),"+"),CHAR(34),""),", "),
_xlpm._exists, SUMPRODUCT(--ISNUMBER(MATCH(_xlpm._platform_keywords,_xlpm._original_keywords,0)))&gt;0,
_xlfn.IFS(_xlpm._exists,1,NOT(_xlpm._exists),"")
)</f>
        <v/>
      </c>
      <c r="R7" s="33" t="str" cm="1">
        <f t="array" aca="1" ref="R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($E7=CLASSIFICATION[[Keyword Aggr]:[Keyword Aggr]])*($D7=CLASSIFICATION[[Functional Scope Aggr]:[Functional Scope Aggr]])),
_xlpm._platform_keywords, _xlfn.TEXTSPLIT(SUBSTITUTE(SUBSTITUTE(VLOOKUP($D7,_xlpm._platform_range,3,FALSE),"+"&amp;CHAR(34),"+"),CHAR(34),""),", "),
_xlpm._exists, SUMPRODUCT(--ISNUMBER(MATCH(_xlpm._platform_keywords,_xlpm._original_keywords,0)))&gt;0,
_xlfn.IFS(_xlpm._exists,1,NOT(_xlpm._exists),"")
)</f>
        <v/>
      </c>
      <c r="S7" s="33" t="str" cm="1">
        <f t="array" aca="1" ref="S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($E7=CLASSIFICATION[[Keyword Aggr]:[Keyword Aggr]])*($D7=CLASSIFICATION[[Functional Scope Aggr]:[Functional Scope Aggr]])),
_xlpm._platform_keywords, _xlfn.TEXTSPLIT(SUBSTITUTE(SUBSTITUTE(VLOOKUP($D7,_xlpm._platform_range,3,FALSE),"+"&amp;CHAR(34),"+"),CHAR(34),""),", "),
_xlpm._exists, SUMPRODUCT(--ISNUMBER(MATCH(_xlpm._platform_keywords,_xlpm._original_keywords,0)))&gt;0,
_xlfn.IFS(_xlpm._exists,1,NOT(_xlpm._exists),"")
)</f>
        <v/>
      </c>
      <c r="T7" s="33" t="str" cm="1">
        <f t="array" aca="1" ref="T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($E7=CLASSIFICATION[[Keyword Aggr]:[Keyword Aggr]])*($D7=CLASSIFICATION[[Functional Scope Aggr]:[Functional Scope Aggr]])),
_xlpm._platform_keywords, _xlfn.TEXTSPLIT(SUBSTITUTE(SUBSTITUTE(VLOOKUP($D7,_xlpm._platform_range,3,FALSE),"+"&amp;CHAR(34),"+"),CHAR(34),""),", "),
_xlpm._exists, SUMPRODUCT(--ISNUMBER(MATCH(_xlpm._platform_keywords,_xlpm._original_keywords,0)))&gt;0,
_xlfn.IFS(_xlpm._exists,1,NOT(_xlpm._exists),"")
)</f>
        <v/>
      </c>
      <c r="U7" s="33" cm="1">
        <f t="array" aca="1" ref="U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($E7=CLASSIFICATION[[Keyword Aggr]:[Keyword Aggr]])*($D7=CLASSIFICATION[[Functional Scope Aggr]:[Functional Scope Aggr]])),
_xlpm._platform_keywords, _xlfn.TEXTSPLIT(SUBSTITUTE(SUBSTITUTE(VLOOKUP($D7,_xlpm._platform_range,3,FALSE),"+"&amp;CHAR(34),"+"),CHAR(34),""),", "),
_xlpm._exists, SUMPRODUCT(--ISNUMBER(MATCH(_xlpm._platform_keywords,_xlpm._original_keywords,0)))&gt;0,
_xlfn.IFS(_xlpm._exists,1,NOT(_xlpm._exists),"")
)</f>
        <v>1</v>
      </c>
      <c r="V7" s="33" t="str" cm="1">
        <f t="array" aca="1" ref="V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($E7=CLASSIFICATION[[Keyword Aggr]:[Keyword Aggr]])*($D7=CLASSIFICATION[[Functional Scope Aggr]:[Functional Scope Aggr]])),
_xlpm._platform_keywords, _xlfn.TEXTSPLIT(SUBSTITUTE(SUBSTITUTE(VLOOKUP($D7,_xlpm._platform_range,3,FALSE),"+"&amp;CHAR(34),"+"),CHAR(34),""),", "),
_xlpm._exists, SUMPRODUCT(--ISNUMBER(MATCH(_xlpm._platform_keywords,_xlpm._original_keywords,0)))&gt;0,
_xlfn.IFS(_xlpm._exists,1,NOT(_xlpm._exists),"")
)</f>
        <v/>
      </c>
      <c r="X7" s="33" t="str">
        <f t="shared" si="4"/>
        <v/>
      </c>
      <c r="Y7" s="33" t="str">
        <f t="shared" si="5"/>
        <v/>
      </c>
      <c r="Z7" s="33" t="str">
        <f t="shared" si="6"/>
        <v/>
      </c>
      <c r="AA7" s="33" t="str">
        <f t="shared" si="7"/>
        <v/>
      </c>
      <c r="AB7" s="33" t="str">
        <f t="shared" si="8"/>
        <v/>
      </c>
      <c r="AC7" s="33" t="str">
        <f t="shared" si="9"/>
        <v/>
      </c>
    </row>
    <row r="8" spans="1:29" x14ac:dyDescent="0.25">
      <c r="A8" s="19" t="str">
        <v>Design,Database model,+Predefined Entities</v>
      </c>
      <c r="B8" t="s">
        <v>377</v>
      </c>
      <c r="C8" s="19" t="str" cm="1">
        <f t="array" ref="C8:E8">_xlfn.TEXTSPLIT(A8,",")</f>
        <v>Design</v>
      </c>
      <c r="D8" s="19" t="str">
        <v>Database model</v>
      </c>
      <c r="E8" s="19" t="str">
        <v>+Predefined Entities</v>
      </c>
      <c r="F8" s="36" t="str" cm="1">
        <f t="array" ref="F8">_xlfn.TEXTJOIN(",",TRUE,_xlfn._xlws.FILTER(CLASSIFICATION[Keyword], ($E8=CLASSIFICATION[Keyword Aggr])*($D8=CLASSIFICATION[Functional Scope Aggr])))</f>
        <v>+Predefined Entities</v>
      </c>
      <c r="G8" s="32" t="str">
        <f t="shared" si="2"/>
        <v/>
      </c>
      <c r="H8" s="32" t="str">
        <f t="shared" si="3"/>
        <v/>
      </c>
      <c r="I8" s="32" t="str">
        <f t="shared" si="0"/>
        <v>+Predefined Entities</v>
      </c>
      <c r="J8" s="33" t="str" cm="1">
        <f t="array" aca="1" ref="J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($E8=CLASSIFICATION[[Keyword Aggr]:[Keyword Aggr]])*($D8=CLASSIFICATION[[Functional Scope Aggr]:[Functional Scope Aggr]])),
_xlpm._platform_keywords, _xlfn.TEXTSPLIT(SUBSTITUTE(SUBSTITUTE(VLOOKUP($D8,_xlpm._platform_range,3,FALSE),"+"&amp;CHAR(34),"+"),CHAR(34),""),", "),
_xlpm._exists, SUMPRODUCT(--ISNUMBER(MATCH(_xlpm._platform_keywords,_xlpm._original_keywords,0)))&gt;0,
_xlfn.IFS(AND(_xlpm._exists,LEFT($E8,1)="+"),"+",_xlpm._exists,"*",NOT(_xlpm._exists),"")
)</f>
        <v/>
      </c>
      <c r="K8" s="33" t="str" cm="1">
        <f t="array" aca="1" ref="K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($E8=CLASSIFICATION[[Keyword Aggr]:[Keyword Aggr]])*($D8=CLASSIFICATION[[Functional Scope Aggr]:[Functional Scope Aggr]])),
_xlpm._platform_keywords, _xlfn.TEXTSPLIT(SUBSTITUTE(SUBSTITUTE(VLOOKUP($D8,_xlpm._platform_range,3,FALSE),"+"&amp;CHAR(34),"+"),CHAR(34),""),", "),
_xlpm._exists, SUMPRODUCT(--ISNUMBER(MATCH(_xlpm._platform_keywords,_xlpm._original_keywords,0)))&gt;0,
_xlfn.IFS(AND(_xlpm._exists,LEFT($E8,1)="+"),"+",_xlpm._exists,"*",NOT(_xlpm._exists),"")
)</f>
        <v/>
      </c>
      <c r="L8" s="33" t="str" cm="1">
        <f t="array" aca="1" ref="L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($E8=CLASSIFICATION[[Keyword Aggr]:[Keyword Aggr]])*($D8=CLASSIFICATION[[Functional Scope Aggr]:[Functional Scope Aggr]])),
_xlpm._platform_keywords, _xlfn.TEXTSPLIT(SUBSTITUTE(SUBSTITUTE(VLOOKUP($D8,_xlpm._platform_range,3,FALSE),"+"&amp;CHAR(34),"+"),CHAR(34),""),", "),
_xlpm._exists, SUMPRODUCT(--ISNUMBER(MATCH(_xlpm._platform_keywords,_xlpm._original_keywords,0)))&gt;0,
_xlfn.IFS(AND(_xlpm._exists,LEFT($E8,1)="+"),"+",_xlpm._exists,"*",NOT(_xlpm._exists),"")
)</f>
        <v/>
      </c>
      <c r="M8" s="33" t="str" cm="1">
        <f t="array" aca="1" ref="M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($E8=CLASSIFICATION[[Keyword Aggr]:[Keyword Aggr]])*($D8=CLASSIFICATION[[Functional Scope Aggr]:[Functional Scope Aggr]])),
_xlpm._platform_keywords, _xlfn.TEXTSPLIT(SUBSTITUTE(SUBSTITUTE(VLOOKUP($D8,_xlpm._platform_range,3,FALSE),"+"&amp;CHAR(34),"+"),CHAR(34),""),", "),
_xlpm._exists, SUMPRODUCT(--ISNUMBER(MATCH(_xlpm._platform_keywords,_xlpm._original_keywords,0)))&gt;0,
_xlfn.IFS(AND(_xlpm._exists,LEFT($E8,1)="+"),"+",_xlpm._exists,"*",NOT(_xlpm._exists),"")
)</f>
        <v>+</v>
      </c>
      <c r="N8" s="33" t="str" cm="1">
        <f t="array" aca="1" ref="N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($E8=CLASSIFICATION[[Keyword Aggr]:[Keyword Aggr]])*($D8=CLASSIFICATION[[Functional Scope Aggr]:[Functional Scope Aggr]])),
_xlpm._platform_keywords, _xlfn.TEXTSPLIT(SUBSTITUTE(SUBSTITUTE(VLOOKUP($D8,_xlpm._platform_range,3,FALSE),"+"&amp;CHAR(34),"+"),CHAR(34),""),", "),
_xlpm._exists, SUMPRODUCT(--ISNUMBER(MATCH(_xlpm._platform_keywords,_xlpm._original_keywords,0)))&gt;0,
_xlfn.IFS(AND(_xlpm._exists,LEFT($E8,1)="+"),"+",_xlpm._exists,"*",NOT(_xlpm._exists),"")
)</f>
        <v/>
      </c>
      <c r="O8" s="33" t="str" cm="1">
        <f t="array" aca="1" ref="O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($E8=CLASSIFICATION[[Keyword Aggr]:[Keyword Aggr]])*($D8=CLASSIFICATION[[Functional Scope Aggr]:[Functional Scope Aggr]])),
_xlpm._platform_keywords, _xlfn.TEXTSPLIT(SUBSTITUTE(SUBSTITUTE(VLOOKUP($D8,_xlpm._platform_range,3,FALSE),"+"&amp;CHAR(34),"+"),CHAR(34),""),", "),
_xlpm._exists, SUMPRODUCT(--ISNUMBER(MATCH(_xlpm._platform_keywords,_xlpm._original_keywords,0)))&gt;0,
_xlfn.IFS(AND(_xlpm._exists,LEFT($E8,1)="+"),"+",_xlpm._exists,"*",NOT(_xlpm._exists),"")
)</f>
        <v/>
      </c>
      <c r="Q8" s="33" t="str" cm="1">
        <f t="array" aca="1" ref="Q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($E8=CLASSIFICATION[[Keyword Aggr]:[Keyword Aggr]])*($D8=CLASSIFICATION[[Functional Scope Aggr]:[Functional Scope Aggr]])),
_xlpm._platform_keywords, _xlfn.TEXTSPLIT(SUBSTITUTE(SUBSTITUTE(VLOOKUP($D8,_xlpm._platform_range,3,FALSE),"+"&amp;CHAR(34),"+"),CHAR(34),""),", "),
_xlpm._exists, SUMPRODUCT(--ISNUMBER(MATCH(_xlpm._platform_keywords,_xlpm._original_keywords,0)))&gt;0,
_xlfn.IFS(_xlpm._exists,1,NOT(_xlpm._exists),"")
)</f>
        <v/>
      </c>
      <c r="R8" s="33" t="str" cm="1">
        <f t="array" aca="1" ref="R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($E8=CLASSIFICATION[[Keyword Aggr]:[Keyword Aggr]])*($D8=CLASSIFICATION[[Functional Scope Aggr]:[Functional Scope Aggr]])),
_xlpm._platform_keywords, _xlfn.TEXTSPLIT(SUBSTITUTE(SUBSTITUTE(VLOOKUP($D8,_xlpm._platform_range,3,FALSE),"+"&amp;CHAR(34),"+"),CHAR(34),""),", "),
_xlpm._exists, SUMPRODUCT(--ISNUMBER(MATCH(_xlpm._platform_keywords,_xlpm._original_keywords,0)))&gt;0,
_xlfn.IFS(_xlpm._exists,1,NOT(_xlpm._exists),"")
)</f>
        <v/>
      </c>
      <c r="S8" s="33" t="str" cm="1">
        <f t="array" aca="1" ref="S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($E8=CLASSIFICATION[[Keyword Aggr]:[Keyword Aggr]])*($D8=CLASSIFICATION[[Functional Scope Aggr]:[Functional Scope Aggr]])),
_xlpm._platform_keywords, _xlfn.TEXTSPLIT(SUBSTITUTE(SUBSTITUTE(VLOOKUP($D8,_xlpm._platform_range,3,FALSE),"+"&amp;CHAR(34),"+"),CHAR(34),""),", "),
_xlpm._exists, SUMPRODUCT(--ISNUMBER(MATCH(_xlpm._platform_keywords,_xlpm._original_keywords,0)))&gt;0,
_xlfn.IFS(_xlpm._exists,1,NOT(_xlpm._exists),"")
)</f>
        <v/>
      </c>
      <c r="T8" s="33" cm="1">
        <f t="array" aca="1" ref="T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($E8=CLASSIFICATION[[Keyword Aggr]:[Keyword Aggr]])*($D8=CLASSIFICATION[[Functional Scope Aggr]:[Functional Scope Aggr]])),
_xlpm._platform_keywords, _xlfn.TEXTSPLIT(SUBSTITUTE(SUBSTITUTE(VLOOKUP($D8,_xlpm._platform_range,3,FALSE),"+"&amp;CHAR(34),"+"),CHAR(34),""),", "),
_xlpm._exists, SUMPRODUCT(--ISNUMBER(MATCH(_xlpm._platform_keywords,_xlpm._original_keywords,0)))&gt;0,
_xlfn.IFS(_xlpm._exists,1,NOT(_xlpm._exists),"")
)</f>
        <v>1</v>
      </c>
      <c r="U8" s="33" t="str" cm="1">
        <f t="array" aca="1" ref="U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($E8=CLASSIFICATION[[Keyword Aggr]:[Keyword Aggr]])*($D8=CLASSIFICATION[[Functional Scope Aggr]:[Functional Scope Aggr]])),
_xlpm._platform_keywords, _xlfn.TEXTSPLIT(SUBSTITUTE(SUBSTITUTE(VLOOKUP($D8,_xlpm._platform_range,3,FALSE),"+"&amp;CHAR(34),"+"),CHAR(34),""),", "),
_xlpm._exists, SUMPRODUCT(--ISNUMBER(MATCH(_xlpm._platform_keywords,_xlpm._original_keywords,0)))&gt;0,
_xlfn.IFS(_xlpm._exists,1,NOT(_xlpm._exists),"")
)</f>
        <v/>
      </c>
      <c r="V8" s="33" t="str" cm="1">
        <f t="array" aca="1" ref="V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($E8=CLASSIFICATION[[Keyword Aggr]:[Keyword Aggr]])*($D8=CLASSIFICATION[[Functional Scope Aggr]:[Functional Scope Aggr]])),
_xlpm._platform_keywords, _xlfn.TEXTSPLIT(SUBSTITUTE(SUBSTITUTE(VLOOKUP($D8,_xlpm._platform_range,3,FALSE),"+"&amp;CHAR(34),"+"),CHAR(34),""),", "),
_xlpm._exists, SUMPRODUCT(--ISNUMBER(MATCH(_xlpm._platform_keywords,_xlpm._original_keywords,0)))&gt;0,
_xlfn.IFS(_xlpm._exists,1,NOT(_xlpm._exists),"")
)</f>
        <v/>
      </c>
      <c r="X8" s="33" t="str">
        <f t="shared" si="4"/>
        <v/>
      </c>
      <c r="Y8" s="33" t="str">
        <f t="shared" si="5"/>
        <v/>
      </c>
      <c r="Z8" s="33" t="str">
        <f t="shared" si="6"/>
        <v/>
      </c>
      <c r="AA8" s="33" t="str">
        <f t="shared" si="7"/>
        <v/>
      </c>
      <c r="AB8" s="33" t="str">
        <f t="shared" si="8"/>
        <v/>
      </c>
      <c r="AC8" s="33" t="str">
        <f t="shared" si="9"/>
        <v/>
      </c>
    </row>
    <row r="9" spans="1:29" x14ac:dyDescent="0.25">
      <c r="A9" s="19" t="str">
        <v>Design,Database model,Domain Model</v>
      </c>
      <c r="B9" t="s">
        <v>377</v>
      </c>
      <c r="C9" s="19" t="str" cm="1">
        <f t="array" ref="C9:E9">_xlfn.TEXTSPLIT(A9,",")</f>
        <v>Design</v>
      </c>
      <c r="D9" s="19" t="str">
        <v>Database model</v>
      </c>
      <c r="E9" s="19" t="str">
        <v>Domain Model</v>
      </c>
      <c r="F9" s="36" t="str" cm="1">
        <f t="array" ref="F9">_xlfn.TEXTJOIN(",",TRUE,_xlfn._xlws.FILTER(CLASSIFICATION[Keyword], ($E9=CLASSIFICATION[Keyword Aggr])*($D9=CLASSIFICATION[Functional Scope Aggr])))</f>
        <v>Association,Domain Model</v>
      </c>
      <c r="G9" s="32" t="str">
        <f t="shared" si="2"/>
        <v/>
      </c>
      <c r="H9" s="32" t="str">
        <f t="shared" si="3"/>
        <v/>
      </c>
      <c r="I9" s="32" t="str">
        <f t="shared" si="0"/>
        <v>Domain Model</v>
      </c>
      <c r="J9" s="33" t="str" cm="1">
        <f t="array" aca="1" ref="J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($E9=CLASSIFICATION[[Keyword Aggr]:[Keyword Aggr]])*($D9=CLASSIFICATION[[Functional Scope Aggr]:[Functional Scope Aggr]])),
_xlpm._platform_keywords, _xlfn.TEXTSPLIT(SUBSTITUTE(SUBSTITUTE(VLOOKUP($D9,_xlpm._platform_range,3,FALSE),"+"&amp;CHAR(34),"+"),CHAR(34),""),", "),
_xlpm._exists, SUMPRODUCT(--ISNUMBER(MATCH(_xlpm._platform_keywords,_xlpm._original_keywords,0)))&gt;0,
_xlfn.IFS(AND(_xlpm._exists,LEFT($E9,1)="+"),"+",_xlpm._exists,"*",NOT(_xlpm._exists),"")
)</f>
        <v>*</v>
      </c>
      <c r="K9" s="33" t="str" cm="1">
        <f t="array" aca="1" ref="K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($E9=CLASSIFICATION[[Keyword Aggr]:[Keyword Aggr]])*($D9=CLASSIFICATION[[Functional Scope Aggr]:[Functional Scope Aggr]])),
_xlpm._platform_keywords, _xlfn.TEXTSPLIT(SUBSTITUTE(SUBSTITUTE(VLOOKUP($D9,_xlpm._platform_range,3,FALSE),"+"&amp;CHAR(34),"+"),CHAR(34),""),", "),
_xlpm._exists, SUMPRODUCT(--ISNUMBER(MATCH(_xlpm._platform_keywords,_xlpm._original_keywords,0)))&gt;0,
_xlfn.IFS(AND(_xlpm._exists,LEFT($E9,1)="+"),"+",_xlpm._exists,"*",NOT(_xlpm._exists),"")
)</f>
        <v/>
      </c>
      <c r="L9" s="33" t="str" cm="1">
        <f t="array" aca="1" ref="L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($E9=CLASSIFICATION[[Keyword Aggr]:[Keyword Aggr]])*($D9=CLASSIFICATION[[Functional Scope Aggr]:[Functional Scope Aggr]])),
_xlpm._platform_keywords, _xlfn.TEXTSPLIT(SUBSTITUTE(SUBSTITUTE(VLOOKUP($D9,_xlpm._platform_range,3,FALSE),"+"&amp;CHAR(34),"+"),CHAR(34),""),", "),
_xlpm._exists, SUMPRODUCT(--ISNUMBER(MATCH(_xlpm._platform_keywords,_xlpm._original_keywords,0)))&gt;0,
_xlfn.IFS(AND(_xlpm._exists,LEFT($E9,1)="+"),"+",_xlpm._exists,"*",NOT(_xlpm._exists),"")
)</f>
        <v/>
      </c>
      <c r="M9" s="33" t="str" cm="1">
        <f t="array" aca="1" ref="M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($E9=CLASSIFICATION[[Keyword Aggr]:[Keyword Aggr]])*($D9=CLASSIFICATION[[Functional Scope Aggr]:[Functional Scope Aggr]])),
_xlpm._platform_keywords, _xlfn.TEXTSPLIT(SUBSTITUTE(SUBSTITUTE(VLOOKUP($D9,_xlpm._platform_range,3,FALSE),"+"&amp;CHAR(34),"+"),CHAR(34),""),", "),
_xlpm._exists, SUMPRODUCT(--ISNUMBER(MATCH(_xlpm._platform_keywords,_xlpm._original_keywords,0)))&gt;0,
_xlfn.IFS(AND(_xlpm._exists,LEFT($E9,1)="+"),"+",_xlpm._exists,"*",NOT(_xlpm._exists),"")
)</f>
        <v/>
      </c>
      <c r="N9" s="33" t="str" cm="1">
        <f t="array" aca="1" ref="N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($E9=CLASSIFICATION[[Keyword Aggr]:[Keyword Aggr]])*($D9=CLASSIFICATION[[Functional Scope Aggr]:[Functional Scope Aggr]])),
_xlpm._platform_keywords, _xlfn.TEXTSPLIT(SUBSTITUTE(SUBSTITUTE(VLOOKUP($D9,_xlpm._platform_range,3,FALSE),"+"&amp;CHAR(34),"+"),CHAR(34),""),", "),
_xlpm._exists, SUMPRODUCT(--ISNUMBER(MATCH(_xlpm._platform_keywords,_xlpm._original_keywords,0)))&gt;0,
_xlfn.IFS(AND(_xlpm._exists,LEFT($E9,1)="+"),"+",_xlpm._exists,"*",NOT(_xlpm._exists),"")
)</f>
        <v/>
      </c>
      <c r="O9" s="33" t="str" cm="1">
        <f t="array" aca="1" ref="O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($E9=CLASSIFICATION[[Keyword Aggr]:[Keyword Aggr]])*($D9=CLASSIFICATION[[Functional Scope Aggr]:[Functional Scope Aggr]])),
_xlpm._platform_keywords, _xlfn.TEXTSPLIT(SUBSTITUTE(SUBSTITUTE(VLOOKUP($D9,_xlpm._platform_range,3,FALSE),"+"&amp;CHAR(34),"+"),CHAR(34),""),", "),
_xlpm._exists, SUMPRODUCT(--ISNUMBER(MATCH(_xlpm._platform_keywords,_xlpm._original_keywords,0)))&gt;0,
_xlfn.IFS(AND(_xlpm._exists,LEFT($E9,1)="+"),"+",_xlpm._exists,"*",NOT(_xlpm._exists),"")
)</f>
        <v/>
      </c>
      <c r="Q9" s="33" cm="1">
        <f t="array" aca="1" ref="Q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($E9=CLASSIFICATION[[Keyword Aggr]:[Keyword Aggr]])*($D9=CLASSIFICATION[[Functional Scope Aggr]:[Functional Scope Aggr]])),
_xlpm._platform_keywords, _xlfn.TEXTSPLIT(SUBSTITUTE(SUBSTITUTE(VLOOKUP($D9,_xlpm._platform_range,3,FALSE),"+"&amp;CHAR(34),"+"),CHAR(34),""),", "),
_xlpm._exists, SUMPRODUCT(--ISNUMBER(MATCH(_xlpm._platform_keywords,_xlpm._original_keywords,0)))&gt;0,
_xlfn.IFS(_xlpm._exists,1,NOT(_xlpm._exists),"")
)</f>
        <v>1</v>
      </c>
      <c r="R9" s="33" t="str" cm="1">
        <f t="array" aca="1" ref="R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($E9=CLASSIFICATION[[Keyword Aggr]:[Keyword Aggr]])*($D9=CLASSIFICATION[[Functional Scope Aggr]:[Functional Scope Aggr]])),
_xlpm._platform_keywords, _xlfn.TEXTSPLIT(SUBSTITUTE(SUBSTITUTE(VLOOKUP($D9,_xlpm._platform_range,3,FALSE),"+"&amp;CHAR(34),"+"),CHAR(34),""),", "),
_xlpm._exists, SUMPRODUCT(--ISNUMBER(MATCH(_xlpm._platform_keywords,_xlpm._original_keywords,0)))&gt;0,
_xlfn.IFS(_xlpm._exists,1,NOT(_xlpm._exists),"")
)</f>
        <v/>
      </c>
      <c r="S9" s="33" t="str" cm="1">
        <f t="array" aca="1" ref="S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($E9=CLASSIFICATION[[Keyword Aggr]:[Keyword Aggr]])*($D9=CLASSIFICATION[[Functional Scope Aggr]:[Functional Scope Aggr]])),
_xlpm._platform_keywords, _xlfn.TEXTSPLIT(SUBSTITUTE(SUBSTITUTE(VLOOKUP($D9,_xlpm._platform_range,3,FALSE),"+"&amp;CHAR(34),"+"),CHAR(34),""),", "),
_xlpm._exists, SUMPRODUCT(--ISNUMBER(MATCH(_xlpm._platform_keywords,_xlpm._original_keywords,0)))&gt;0,
_xlfn.IFS(_xlpm._exists,1,NOT(_xlpm._exists),"")
)</f>
        <v/>
      </c>
      <c r="T9" s="33" t="str" cm="1">
        <f t="array" aca="1" ref="T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($E9=CLASSIFICATION[[Keyword Aggr]:[Keyword Aggr]])*($D9=CLASSIFICATION[[Functional Scope Aggr]:[Functional Scope Aggr]])),
_xlpm._platform_keywords, _xlfn.TEXTSPLIT(SUBSTITUTE(SUBSTITUTE(VLOOKUP($D9,_xlpm._platform_range,3,FALSE),"+"&amp;CHAR(34),"+"),CHAR(34),""),", "),
_xlpm._exists, SUMPRODUCT(--ISNUMBER(MATCH(_xlpm._platform_keywords,_xlpm._original_keywords,0)))&gt;0,
_xlfn.IFS(_xlpm._exists,1,NOT(_xlpm._exists),"")
)</f>
        <v/>
      </c>
      <c r="U9" s="33" t="str" cm="1">
        <f t="array" aca="1" ref="U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($E9=CLASSIFICATION[[Keyword Aggr]:[Keyword Aggr]])*($D9=CLASSIFICATION[[Functional Scope Aggr]:[Functional Scope Aggr]])),
_xlpm._platform_keywords, _xlfn.TEXTSPLIT(SUBSTITUTE(SUBSTITUTE(VLOOKUP($D9,_xlpm._platform_range,3,FALSE),"+"&amp;CHAR(34),"+"),CHAR(34),""),", "),
_xlpm._exists, SUMPRODUCT(--ISNUMBER(MATCH(_xlpm._platform_keywords,_xlpm._original_keywords,0)))&gt;0,
_xlfn.IFS(_xlpm._exists,1,NOT(_xlpm._exists),"")
)</f>
        <v/>
      </c>
      <c r="V9" s="33" t="str" cm="1">
        <f t="array" aca="1" ref="V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($E9=CLASSIFICATION[[Keyword Aggr]:[Keyword Aggr]])*($D9=CLASSIFICATION[[Functional Scope Aggr]:[Functional Scope Aggr]])),
_xlpm._platform_keywords, _xlfn.TEXTSPLIT(SUBSTITUTE(SUBSTITUTE(VLOOKUP($D9,_xlpm._platform_range,3,FALSE),"+"&amp;CHAR(34),"+"),CHAR(34),""),", "),
_xlpm._exists, SUMPRODUCT(--ISNUMBER(MATCH(_xlpm._platform_keywords,_xlpm._original_keywords,0)))&gt;0,
_xlfn.IFS(_xlpm._exists,1,NOT(_xlpm._exists),"")
)</f>
        <v/>
      </c>
      <c r="X9" s="33" t="str">
        <f t="shared" si="4"/>
        <v/>
      </c>
      <c r="Y9" s="33" t="str">
        <f t="shared" si="5"/>
        <v/>
      </c>
      <c r="Z9" s="33" t="str">
        <f t="shared" si="6"/>
        <v/>
      </c>
      <c r="AA9" s="33" t="str">
        <f t="shared" si="7"/>
        <v/>
      </c>
      <c r="AB9" s="33" t="str">
        <f t="shared" si="8"/>
        <v/>
      </c>
      <c r="AC9" s="33" t="str">
        <f t="shared" si="9"/>
        <v/>
      </c>
    </row>
    <row r="10" spans="1:29" x14ac:dyDescent="0.25">
      <c r="A10" s="19" t="str">
        <v>Design,Database model,Conditional Expressions</v>
      </c>
      <c r="B10" t="s">
        <v>377</v>
      </c>
      <c r="C10" s="19" t="str" cm="1">
        <f t="array" ref="C10:E10">_xlfn.TEXTSPLIT(A10,",")</f>
        <v>Design</v>
      </c>
      <c r="D10" s="19" t="str">
        <v>Database model</v>
      </c>
      <c r="E10" s="19" t="str">
        <v>Conditional Expressions</v>
      </c>
      <c r="F10" s="36" t="str" cm="1">
        <f t="array" ref="F10">_xlfn.TEXTJOIN(",",TRUE,_xlfn._xlws.FILTER(CLASSIFICATION[Keyword], ($E10=CLASSIFICATION[Keyword Aggr])*($D10=CLASSIFICATION[Functional Scope Aggr])))</f>
        <v>Conditional Expressions</v>
      </c>
      <c r="G10" s="32" t="str">
        <f t="shared" si="2"/>
        <v/>
      </c>
      <c r="H10" s="32" t="str">
        <f t="shared" si="3"/>
        <v/>
      </c>
      <c r="I10" s="32" t="str">
        <f t="shared" si="0"/>
        <v>Conditional Expressions</v>
      </c>
      <c r="J10" s="33" t="str" cm="1">
        <f t="array" aca="1" ref="J1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($E10=CLASSIFICATION[[Keyword Aggr]:[Keyword Aggr]])*($D10=CLASSIFICATION[[Functional Scope Aggr]:[Functional Scope Aggr]])),
_xlpm._platform_keywords, _xlfn.TEXTSPLIT(SUBSTITUTE(SUBSTITUTE(VLOOKUP($D10,_xlpm._platform_range,3,FALSE),"+"&amp;CHAR(34),"+"),CHAR(34),""),", "),
_xlpm._exists, SUMPRODUCT(--ISNUMBER(MATCH(_xlpm._platform_keywords,_xlpm._original_keywords,0)))&gt;0,
_xlfn.IFS(AND(_xlpm._exists,LEFT($E10,1)="+"),"+",_xlpm._exists,"*",NOT(_xlpm._exists),"")
)</f>
        <v/>
      </c>
      <c r="K10" s="33" t="str" cm="1">
        <f t="array" aca="1" ref="K1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($E10=CLASSIFICATION[[Keyword Aggr]:[Keyword Aggr]])*($D10=CLASSIFICATION[[Functional Scope Aggr]:[Functional Scope Aggr]])),
_xlpm._platform_keywords, _xlfn.TEXTSPLIT(SUBSTITUTE(SUBSTITUTE(VLOOKUP($D10,_xlpm._platform_range,3,FALSE),"+"&amp;CHAR(34),"+"),CHAR(34),""),", "),
_xlpm._exists, SUMPRODUCT(--ISNUMBER(MATCH(_xlpm._platform_keywords,_xlpm._original_keywords,0)))&gt;0,
_xlfn.IFS(AND(_xlpm._exists,LEFT($E10,1)="+"),"+",_xlpm._exists,"*",NOT(_xlpm._exists),"")
)</f>
        <v/>
      </c>
      <c r="L10" s="33" t="str" cm="1">
        <f t="array" aca="1" ref="L1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($E10=CLASSIFICATION[[Keyword Aggr]:[Keyword Aggr]])*($D10=CLASSIFICATION[[Functional Scope Aggr]:[Functional Scope Aggr]])),
_xlpm._platform_keywords, _xlfn.TEXTSPLIT(SUBSTITUTE(SUBSTITUTE(VLOOKUP($D10,_xlpm._platform_range,3,FALSE),"+"&amp;CHAR(34),"+"),CHAR(34),""),", "),
_xlpm._exists, SUMPRODUCT(--ISNUMBER(MATCH(_xlpm._platform_keywords,_xlpm._original_keywords,0)))&gt;0,
_xlfn.IFS(AND(_xlpm._exists,LEFT($E10,1)="+"),"+",_xlpm._exists,"*",NOT(_xlpm._exists),"")
)</f>
        <v/>
      </c>
      <c r="M10" s="33" t="str" cm="1">
        <f t="array" aca="1" ref="M1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($E10=CLASSIFICATION[[Keyword Aggr]:[Keyword Aggr]])*($D10=CLASSIFICATION[[Functional Scope Aggr]:[Functional Scope Aggr]])),
_xlpm._platform_keywords, _xlfn.TEXTSPLIT(SUBSTITUTE(SUBSTITUTE(VLOOKUP($D10,_xlpm._platform_range,3,FALSE),"+"&amp;CHAR(34),"+"),CHAR(34),""),", "),
_xlpm._exists, SUMPRODUCT(--ISNUMBER(MATCH(_xlpm._platform_keywords,_xlpm._original_keywords,0)))&gt;0,
_xlfn.IFS(AND(_xlpm._exists,LEFT($E10,1)="+"),"+",_xlpm._exists,"*",NOT(_xlpm._exists),"")
)</f>
        <v/>
      </c>
      <c r="N10" s="33" t="str" cm="1">
        <f t="array" aca="1" ref="N1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($E10=CLASSIFICATION[[Keyword Aggr]:[Keyword Aggr]])*($D10=CLASSIFICATION[[Functional Scope Aggr]:[Functional Scope Aggr]])),
_xlpm._platform_keywords, _xlfn.TEXTSPLIT(SUBSTITUTE(SUBSTITUTE(VLOOKUP($D10,_xlpm._platform_range,3,FALSE),"+"&amp;CHAR(34),"+"),CHAR(34),""),", "),
_xlpm._exists, SUMPRODUCT(--ISNUMBER(MATCH(_xlpm._platform_keywords,_xlpm._original_keywords,0)))&gt;0,
_xlfn.IFS(AND(_xlpm._exists,LEFT($E10,1)="+"),"+",_xlpm._exists,"*",NOT(_xlpm._exists),"")
)</f>
        <v>*</v>
      </c>
      <c r="O10" s="33" t="str" cm="1">
        <f t="array" aca="1" ref="O1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($E10=CLASSIFICATION[[Keyword Aggr]:[Keyword Aggr]])*($D10=CLASSIFICATION[[Functional Scope Aggr]:[Functional Scope Aggr]])),
_xlpm._platform_keywords, _xlfn.TEXTSPLIT(SUBSTITUTE(SUBSTITUTE(VLOOKUP($D10,_xlpm._platform_range,3,FALSE),"+"&amp;CHAR(34),"+"),CHAR(34),""),", "),
_xlpm._exists, SUMPRODUCT(--ISNUMBER(MATCH(_xlpm._platform_keywords,_xlpm._original_keywords,0)))&gt;0,
_xlfn.IFS(AND(_xlpm._exists,LEFT($E10,1)="+"),"+",_xlpm._exists,"*",NOT(_xlpm._exists),"")
)</f>
        <v/>
      </c>
      <c r="Q10" s="33" t="str" cm="1">
        <f t="array" aca="1" ref="Q1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($E10=CLASSIFICATION[[Keyword Aggr]:[Keyword Aggr]])*($D10=CLASSIFICATION[[Functional Scope Aggr]:[Functional Scope Aggr]])),
_xlpm._platform_keywords, _xlfn.TEXTSPLIT(SUBSTITUTE(SUBSTITUTE(VLOOKUP($D10,_xlpm._platform_range,3,FALSE),"+"&amp;CHAR(34),"+"),CHAR(34),""),", "),
_xlpm._exists, SUMPRODUCT(--ISNUMBER(MATCH(_xlpm._platform_keywords,_xlpm._original_keywords,0)))&gt;0,
_xlfn.IFS(_xlpm._exists,1,NOT(_xlpm._exists),"")
)</f>
        <v/>
      </c>
      <c r="R10" s="33" t="str" cm="1">
        <f t="array" aca="1" ref="R1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($E10=CLASSIFICATION[[Keyword Aggr]:[Keyword Aggr]])*($D10=CLASSIFICATION[[Functional Scope Aggr]:[Functional Scope Aggr]])),
_xlpm._platform_keywords, _xlfn.TEXTSPLIT(SUBSTITUTE(SUBSTITUTE(VLOOKUP($D10,_xlpm._platform_range,3,FALSE),"+"&amp;CHAR(34),"+"),CHAR(34),""),", "),
_xlpm._exists, SUMPRODUCT(--ISNUMBER(MATCH(_xlpm._platform_keywords,_xlpm._original_keywords,0)))&gt;0,
_xlfn.IFS(_xlpm._exists,1,NOT(_xlpm._exists),"")
)</f>
        <v/>
      </c>
      <c r="S10" s="33" t="str" cm="1">
        <f t="array" aca="1" ref="S1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($E10=CLASSIFICATION[[Keyword Aggr]:[Keyword Aggr]])*($D10=CLASSIFICATION[[Functional Scope Aggr]:[Functional Scope Aggr]])),
_xlpm._platform_keywords, _xlfn.TEXTSPLIT(SUBSTITUTE(SUBSTITUTE(VLOOKUP($D10,_xlpm._platform_range,3,FALSE),"+"&amp;CHAR(34),"+"),CHAR(34),""),", "),
_xlpm._exists, SUMPRODUCT(--ISNUMBER(MATCH(_xlpm._platform_keywords,_xlpm._original_keywords,0)))&gt;0,
_xlfn.IFS(_xlpm._exists,1,NOT(_xlpm._exists),"")
)</f>
        <v/>
      </c>
      <c r="T10" s="33" t="str" cm="1">
        <f t="array" aca="1" ref="T1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($E10=CLASSIFICATION[[Keyword Aggr]:[Keyword Aggr]])*($D10=CLASSIFICATION[[Functional Scope Aggr]:[Functional Scope Aggr]])),
_xlpm._platform_keywords, _xlfn.TEXTSPLIT(SUBSTITUTE(SUBSTITUTE(VLOOKUP($D10,_xlpm._platform_range,3,FALSE),"+"&amp;CHAR(34),"+"),CHAR(34),""),", "),
_xlpm._exists, SUMPRODUCT(--ISNUMBER(MATCH(_xlpm._platform_keywords,_xlpm._original_keywords,0)))&gt;0,
_xlfn.IFS(_xlpm._exists,1,NOT(_xlpm._exists),"")
)</f>
        <v/>
      </c>
      <c r="U10" s="33" cm="1">
        <f t="array" aca="1" ref="U1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($E10=CLASSIFICATION[[Keyword Aggr]:[Keyword Aggr]])*($D10=CLASSIFICATION[[Functional Scope Aggr]:[Functional Scope Aggr]])),
_xlpm._platform_keywords, _xlfn.TEXTSPLIT(SUBSTITUTE(SUBSTITUTE(VLOOKUP($D10,_xlpm._platform_range,3,FALSE),"+"&amp;CHAR(34),"+"),CHAR(34),""),", "),
_xlpm._exists, SUMPRODUCT(--ISNUMBER(MATCH(_xlpm._platform_keywords,_xlpm._original_keywords,0)))&gt;0,
_xlfn.IFS(_xlpm._exists,1,NOT(_xlpm._exists),"")
)</f>
        <v>1</v>
      </c>
      <c r="V10" s="33" t="str" cm="1">
        <f t="array" aca="1" ref="V1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($E10=CLASSIFICATION[[Keyword Aggr]:[Keyword Aggr]])*($D10=CLASSIFICATION[[Functional Scope Aggr]:[Functional Scope Aggr]])),
_xlpm._platform_keywords, _xlfn.TEXTSPLIT(SUBSTITUTE(SUBSTITUTE(VLOOKUP($D10,_xlpm._platform_range,3,FALSE),"+"&amp;CHAR(34),"+"),CHAR(34),""),", "),
_xlpm._exists, SUMPRODUCT(--ISNUMBER(MATCH(_xlpm._platform_keywords,_xlpm._original_keywords,0)))&gt;0,
_xlfn.IFS(_xlpm._exists,1,NOT(_xlpm._exists),"")
)</f>
        <v/>
      </c>
      <c r="X10" s="33" t="str">
        <f t="shared" si="4"/>
        <v/>
      </c>
      <c r="Y10" s="33" t="str">
        <f t="shared" si="5"/>
        <v/>
      </c>
      <c r="Z10" s="33" t="str">
        <f t="shared" si="6"/>
        <v/>
      </c>
      <c r="AA10" s="33" t="str">
        <f t="shared" si="7"/>
        <v/>
      </c>
      <c r="AB10" s="33" t="str">
        <f t="shared" si="8"/>
        <v/>
      </c>
      <c r="AC10" s="33" t="str">
        <f t="shared" si="9"/>
        <v/>
      </c>
    </row>
    <row r="11" spans="1:29" x14ac:dyDescent="0.25">
      <c r="A11" s="19" t="str">
        <v>Design,Database model,Constraints</v>
      </c>
      <c r="B11" t="s">
        <v>377</v>
      </c>
      <c r="C11" s="19" t="str" cm="1">
        <f t="array" ref="C11:E11">_xlfn.TEXTSPLIT(A11,",")</f>
        <v>Design</v>
      </c>
      <c r="D11" s="19" t="str">
        <v>Database model</v>
      </c>
      <c r="E11" s="19" t="str">
        <v>Constraints</v>
      </c>
      <c r="F11" s="36" t="str" cm="1">
        <f t="array" ref="F11">_xlfn.TEXTJOIN(",",TRUE,_xlfn._xlws.FILTER(CLASSIFICATION[Keyword], ($E11=CLASSIFICATION[Keyword Aggr])*($D11=CLASSIFICATION[Functional Scope Aggr])))</f>
        <v>Constraints</v>
      </c>
      <c r="G11" s="32" t="str">
        <f t="shared" si="2"/>
        <v/>
      </c>
      <c r="H11" s="32" t="str">
        <f t="shared" si="3"/>
        <v/>
      </c>
      <c r="I11" s="32" t="str">
        <f t="shared" si="0"/>
        <v>Constraints</v>
      </c>
      <c r="J11" s="33" t="str" cm="1">
        <f t="array" aca="1" ref="J1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($E11=CLASSIFICATION[[Keyword Aggr]:[Keyword Aggr]])*($D11=CLASSIFICATION[[Functional Scope Aggr]:[Functional Scope Aggr]])),
_xlpm._platform_keywords, _xlfn.TEXTSPLIT(SUBSTITUTE(SUBSTITUTE(VLOOKUP($D11,_xlpm._platform_range,3,FALSE),"+"&amp;CHAR(34),"+"),CHAR(34),""),", "),
_xlpm._exists, SUMPRODUCT(--ISNUMBER(MATCH(_xlpm._platform_keywords,_xlpm._original_keywords,0)))&gt;0,
_xlfn.IFS(AND(_xlpm._exists,LEFT($E11,1)="+"),"+",_xlpm._exists,"*",NOT(_xlpm._exists),"")
)</f>
        <v/>
      </c>
      <c r="K11" s="33" t="str" cm="1">
        <f t="array" aca="1" ref="K1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($E11=CLASSIFICATION[[Keyword Aggr]:[Keyword Aggr]])*($D11=CLASSIFICATION[[Functional Scope Aggr]:[Functional Scope Aggr]])),
_xlpm._platform_keywords, _xlfn.TEXTSPLIT(SUBSTITUTE(SUBSTITUTE(VLOOKUP($D11,_xlpm._platform_range,3,FALSE),"+"&amp;CHAR(34),"+"),CHAR(34),""),", "),
_xlpm._exists, SUMPRODUCT(--ISNUMBER(MATCH(_xlpm._platform_keywords,_xlpm._original_keywords,0)))&gt;0,
_xlfn.IFS(AND(_xlpm._exists,LEFT($E11,1)="+"),"+",_xlpm._exists,"*",NOT(_xlpm._exists),"")
)</f>
        <v/>
      </c>
      <c r="L11" s="33" t="str" cm="1">
        <f t="array" aca="1" ref="L1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($E11=CLASSIFICATION[[Keyword Aggr]:[Keyword Aggr]])*($D11=CLASSIFICATION[[Functional Scope Aggr]:[Functional Scope Aggr]])),
_xlpm._platform_keywords, _xlfn.TEXTSPLIT(SUBSTITUTE(SUBSTITUTE(VLOOKUP($D11,_xlpm._platform_range,3,FALSE),"+"&amp;CHAR(34),"+"),CHAR(34),""),", "),
_xlpm._exists, SUMPRODUCT(--ISNUMBER(MATCH(_xlpm._platform_keywords,_xlpm._original_keywords,0)))&gt;0,
_xlfn.IFS(AND(_xlpm._exists,LEFT($E11,1)="+"),"+",_xlpm._exists,"*",NOT(_xlpm._exists),"")
)</f>
        <v/>
      </c>
      <c r="M11" s="33" t="str" cm="1">
        <f t="array" aca="1" ref="M1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($E11=CLASSIFICATION[[Keyword Aggr]:[Keyword Aggr]])*($D11=CLASSIFICATION[[Functional Scope Aggr]:[Functional Scope Aggr]])),
_xlpm._platform_keywords, _xlfn.TEXTSPLIT(SUBSTITUTE(SUBSTITUTE(VLOOKUP($D11,_xlpm._platform_range,3,FALSE),"+"&amp;CHAR(34),"+"),CHAR(34),""),", "),
_xlpm._exists, SUMPRODUCT(--ISNUMBER(MATCH(_xlpm._platform_keywords,_xlpm._original_keywords,0)))&gt;0,
_xlfn.IFS(AND(_xlpm._exists,LEFT($E11,1)="+"),"+",_xlpm._exists,"*",NOT(_xlpm._exists),"")
)</f>
        <v/>
      </c>
      <c r="N11" s="33" t="str" cm="1">
        <f t="array" aca="1" ref="N1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($E11=CLASSIFICATION[[Keyword Aggr]:[Keyword Aggr]])*($D11=CLASSIFICATION[[Functional Scope Aggr]:[Functional Scope Aggr]])),
_xlpm._platform_keywords, _xlfn.TEXTSPLIT(SUBSTITUTE(SUBSTITUTE(VLOOKUP($D11,_xlpm._platform_range,3,FALSE),"+"&amp;CHAR(34),"+"),CHAR(34),""),", "),
_xlpm._exists, SUMPRODUCT(--ISNUMBER(MATCH(_xlpm._platform_keywords,_xlpm._original_keywords,0)))&gt;0,
_xlfn.IFS(AND(_xlpm._exists,LEFT($E11,1)="+"),"+",_xlpm._exists,"*",NOT(_xlpm._exists),"")
)</f>
        <v>*</v>
      </c>
      <c r="O11" s="33" t="str" cm="1">
        <f t="array" aca="1" ref="O1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($E11=CLASSIFICATION[[Keyword Aggr]:[Keyword Aggr]])*($D11=CLASSIFICATION[[Functional Scope Aggr]:[Functional Scope Aggr]])),
_xlpm._platform_keywords, _xlfn.TEXTSPLIT(SUBSTITUTE(SUBSTITUTE(VLOOKUP($D11,_xlpm._platform_range,3,FALSE),"+"&amp;CHAR(34),"+"),CHAR(34),""),", "),
_xlpm._exists, SUMPRODUCT(--ISNUMBER(MATCH(_xlpm._platform_keywords,_xlpm._original_keywords,0)))&gt;0,
_xlfn.IFS(AND(_xlpm._exists,LEFT($E11,1)="+"),"+",_xlpm._exists,"*",NOT(_xlpm._exists),"")
)</f>
        <v/>
      </c>
      <c r="Q11" s="33" t="str" cm="1">
        <f t="array" aca="1" ref="Q1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($E11=CLASSIFICATION[[Keyword Aggr]:[Keyword Aggr]])*($D11=CLASSIFICATION[[Functional Scope Aggr]:[Functional Scope Aggr]])),
_xlpm._platform_keywords, _xlfn.TEXTSPLIT(SUBSTITUTE(SUBSTITUTE(VLOOKUP($D11,_xlpm._platform_range,3,FALSE),"+"&amp;CHAR(34),"+"),CHAR(34),""),", "),
_xlpm._exists, SUMPRODUCT(--ISNUMBER(MATCH(_xlpm._platform_keywords,_xlpm._original_keywords,0)))&gt;0,
_xlfn.IFS(_xlpm._exists,1,NOT(_xlpm._exists),"")
)</f>
        <v/>
      </c>
      <c r="R11" s="33" t="str" cm="1">
        <f t="array" aca="1" ref="R1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($E11=CLASSIFICATION[[Keyword Aggr]:[Keyword Aggr]])*($D11=CLASSIFICATION[[Functional Scope Aggr]:[Functional Scope Aggr]])),
_xlpm._platform_keywords, _xlfn.TEXTSPLIT(SUBSTITUTE(SUBSTITUTE(VLOOKUP($D11,_xlpm._platform_range,3,FALSE),"+"&amp;CHAR(34),"+"),CHAR(34),""),", "),
_xlpm._exists, SUMPRODUCT(--ISNUMBER(MATCH(_xlpm._platform_keywords,_xlpm._original_keywords,0)))&gt;0,
_xlfn.IFS(_xlpm._exists,1,NOT(_xlpm._exists),"")
)</f>
        <v/>
      </c>
      <c r="S11" s="33" t="str" cm="1">
        <f t="array" aca="1" ref="S1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($E11=CLASSIFICATION[[Keyword Aggr]:[Keyword Aggr]])*($D11=CLASSIFICATION[[Functional Scope Aggr]:[Functional Scope Aggr]])),
_xlpm._platform_keywords, _xlfn.TEXTSPLIT(SUBSTITUTE(SUBSTITUTE(VLOOKUP($D11,_xlpm._platform_range,3,FALSE),"+"&amp;CHAR(34),"+"),CHAR(34),""),", "),
_xlpm._exists, SUMPRODUCT(--ISNUMBER(MATCH(_xlpm._platform_keywords,_xlpm._original_keywords,0)))&gt;0,
_xlfn.IFS(_xlpm._exists,1,NOT(_xlpm._exists),"")
)</f>
        <v/>
      </c>
      <c r="T11" s="33" t="str" cm="1">
        <f t="array" aca="1" ref="T1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($E11=CLASSIFICATION[[Keyword Aggr]:[Keyword Aggr]])*($D11=CLASSIFICATION[[Functional Scope Aggr]:[Functional Scope Aggr]])),
_xlpm._platform_keywords, _xlfn.TEXTSPLIT(SUBSTITUTE(SUBSTITUTE(VLOOKUP($D11,_xlpm._platform_range,3,FALSE),"+"&amp;CHAR(34),"+"),CHAR(34),""),", "),
_xlpm._exists, SUMPRODUCT(--ISNUMBER(MATCH(_xlpm._platform_keywords,_xlpm._original_keywords,0)))&gt;0,
_xlfn.IFS(_xlpm._exists,1,NOT(_xlpm._exists),"")
)</f>
        <v/>
      </c>
      <c r="U11" s="33" cm="1">
        <f t="array" aca="1" ref="U1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($E11=CLASSIFICATION[[Keyword Aggr]:[Keyword Aggr]])*($D11=CLASSIFICATION[[Functional Scope Aggr]:[Functional Scope Aggr]])),
_xlpm._platform_keywords, _xlfn.TEXTSPLIT(SUBSTITUTE(SUBSTITUTE(VLOOKUP($D11,_xlpm._platform_range,3,FALSE),"+"&amp;CHAR(34),"+"),CHAR(34),""),", "),
_xlpm._exists, SUMPRODUCT(--ISNUMBER(MATCH(_xlpm._platform_keywords,_xlpm._original_keywords,0)))&gt;0,
_xlfn.IFS(_xlpm._exists,1,NOT(_xlpm._exists),"")
)</f>
        <v>1</v>
      </c>
      <c r="V11" s="33" t="str" cm="1">
        <f t="array" aca="1" ref="V1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($E11=CLASSIFICATION[[Keyword Aggr]:[Keyword Aggr]])*($D11=CLASSIFICATION[[Functional Scope Aggr]:[Functional Scope Aggr]])),
_xlpm._platform_keywords, _xlfn.TEXTSPLIT(SUBSTITUTE(SUBSTITUTE(VLOOKUP($D11,_xlpm._platform_range,3,FALSE),"+"&amp;CHAR(34),"+"),CHAR(34),""),", "),
_xlpm._exists, SUMPRODUCT(--ISNUMBER(MATCH(_xlpm._platform_keywords,_xlpm._original_keywords,0)))&gt;0,
_xlfn.IFS(_xlpm._exists,1,NOT(_xlpm._exists),"")
)</f>
        <v/>
      </c>
      <c r="X11" s="33" t="str">
        <f t="shared" si="4"/>
        <v/>
      </c>
      <c r="Y11" s="33" t="str">
        <f t="shared" si="5"/>
        <v/>
      </c>
      <c r="Z11" s="33" t="str">
        <f t="shared" si="6"/>
        <v/>
      </c>
      <c r="AA11" s="33" t="str">
        <f t="shared" si="7"/>
        <v/>
      </c>
      <c r="AB11" s="33" t="str">
        <f t="shared" si="8"/>
        <v/>
      </c>
      <c r="AC11" s="33" t="str">
        <f t="shared" si="9"/>
        <v/>
      </c>
    </row>
    <row r="12" spans="1:29" x14ac:dyDescent="0.25">
      <c r="A12" s="19" t="str">
        <v>Design,Database model,Data Structure</v>
      </c>
      <c r="B12" t="s">
        <v>377</v>
      </c>
      <c r="C12" s="19" t="str" cm="1">
        <f t="array" ref="C12:E12">_xlfn.TEXTSPLIT(A12,",")</f>
        <v>Design</v>
      </c>
      <c r="D12" s="19" t="str">
        <v>Database model</v>
      </c>
      <c r="E12" s="19" t="str">
        <v>Data Structure</v>
      </c>
      <c r="F12" s="36" t="str" cm="1">
        <f t="array" ref="F12">_xlfn.TEXTJOIN(",",TRUE,_xlfn._xlws.FILTER(CLASSIFICATION[Keyword], ($E12=CLASSIFICATION[Keyword Aggr])*($D12=CLASSIFICATION[Functional Scope Aggr])))</f>
        <v>Data Structure</v>
      </c>
      <c r="G12" s="32" t="str">
        <f t="shared" si="2"/>
        <v/>
      </c>
      <c r="H12" s="32" t="str">
        <f t="shared" si="3"/>
        <v/>
      </c>
      <c r="I12" s="32" t="str">
        <f t="shared" si="0"/>
        <v>Data Structure</v>
      </c>
      <c r="J12" s="33" t="str" cm="1">
        <f t="array" aca="1" ref="J1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($E12=CLASSIFICATION[[Keyword Aggr]:[Keyword Aggr]])*($D12=CLASSIFICATION[[Functional Scope Aggr]:[Functional Scope Aggr]])),
_xlpm._platform_keywords, _xlfn.TEXTSPLIT(SUBSTITUTE(SUBSTITUTE(VLOOKUP($D12,_xlpm._platform_range,3,FALSE),"+"&amp;CHAR(34),"+"),CHAR(34),""),", "),
_xlpm._exists, SUMPRODUCT(--ISNUMBER(MATCH(_xlpm._platform_keywords,_xlpm._original_keywords,0)))&gt;0,
_xlfn.IFS(AND(_xlpm._exists,LEFT($E12,1)="+"),"+",_xlpm._exists,"*",NOT(_xlpm._exists),"")
)</f>
        <v>*</v>
      </c>
      <c r="K12" s="33" t="str" cm="1">
        <f t="array" aca="1" ref="K1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($E12=CLASSIFICATION[[Keyword Aggr]:[Keyword Aggr]])*($D12=CLASSIFICATION[[Functional Scope Aggr]:[Functional Scope Aggr]])),
_xlpm._platform_keywords, _xlfn.TEXTSPLIT(SUBSTITUTE(SUBSTITUTE(VLOOKUP($D12,_xlpm._platform_range,3,FALSE),"+"&amp;CHAR(34),"+"),CHAR(34),""),", "),
_xlpm._exists, SUMPRODUCT(--ISNUMBER(MATCH(_xlpm._platform_keywords,_xlpm._original_keywords,0)))&gt;0,
_xlfn.IFS(AND(_xlpm._exists,LEFT($E12,1)="+"),"+",_xlpm._exists,"*",NOT(_xlpm._exists),"")
)</f>
        <v/>
      </c>
      <c r="L12" s="33" t="str" cm="1">
        <f t="array" aca="1" ref="L1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($E12=CLASSIFICATION[[Keyword Aggr]:[Keyword Aggr]])*($D12=CLASSIFICATION[[Functional Scope Aggr]:[Functional Scope Aggr]])),
_xlpm._platform_keywords, _xlfn.TEXTSPLIT(SUBSTITUTE(SUBSTITUTE(VLOOKUP($D12,_xlpm._platform_range,3,FALSE),"+"&amp;CHAR(34),"+"),CHAR(34),""),", "),
_xlpm._exists, SUMPRODUCT(--ISNUMBER(MATCH(_xlpm._platform_keywords,_xlpm._original_keywords,0)))&gt;0,
_xlfn.IFS(AND(_xlpm._exists,LEFT($E12,1)="+"),"+",_xlpm._exists,"*",NOT(_xlpm._exists),"")
)</f>
        <v/>
      </c>
      <c r="M12" s="33" t="str" cm="1">
        <f t="array" aca="1" ref="M1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($E12=CLASSIFICATION[[Keyword Aggr]:[Keyword Aggr]])*($D12=CLASSIFICATION[[Functional Scope Aggr]:[Functional Scope Aggr]])),
_xlpm._platform_keywords, _xlfn.TEXTSPLIT(SUBSTITUTE(SUBSTITUTE(VLOOKUP($D12,_xlpm._platform_range,3,FALSE),"+"&amp;CHAR(34),"+"),CHAR(34),""),", "),
_xlpm._exists, SUMPRODUCT(--ISNUMBER(MATCH(_xlpm._platform_keywords,_xlpm._original_keywords,0)))&gt;0,
_xlfn.IFS(AND(_xlpm._exists,LEFT($E12,1)="+"),"+",_xlpm._exists,"*",NOT(_xlpm._exists),"")
)</f>
        <v/>
      </c>
      <c r="N12" s="33" t="str" cm="1">
        <f t="array" aca="1" ref="N1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($E12=CLASSIFICATION[[Keyword Aggr]:[Keyword Aggr]])*($D12=CLASSIFICATION[[Functional Scope Aggr]:[Functional Scope Aggr]])),
_xlpm._platform_keywords, _xlfn.TEXTSPLIT(SUBSTITUTE(SUBSTITUTE(VLOOKUP($D12,_xlpm._platform_range,3,FALSE),"+"&amp;CHAR(34),"+"),CHAR(34),""),", "),
_xlpm._exists, SUMPRODUCT(--ISNUMBER(MATCH(_xlpm._platform_keywords,_xlpm._original_keywords,0)))&gt;0,
_xlfn.IFS(AND(_xlpm._exists,LEFT($E12,1)="+"),"+",_xlpm._exists,"*",NOT(_xlpm._exists),"")
)</f>
        <v/>
      </c>
      <c r="O12" s="33" t="str" cm="1">
        <f t="array" aca="1" ref="O1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($E12=CLASSIFICATION[[Keyword Aggr]:[Keyword Aggr]])*($D12=CLASSIFICATION[[Functional Scope Aggr]:[Functional Scope Aggr]])),
_xlpm._platform_keywords, _xlfn.TEXTSPLIT(SUBSTITUTE(SUBSTITUTE(VLOOKUP($D12,_xlpm._platform_range,3,FALSE),"+"&amp;CHAR(34),"+"),CHAR(34),""),", "),
_xlpm._exists, SUMPRODUCT(--ISNUMBER(MATCH(_xlpm._platform_keywords,_xlpm._original_keywords,0)))&gt;0,
_xlfn.IFS(AND(_xlpm._exists,LEFT($E12,1)="+"),"+",_xlpm._exists,"*",NOT(_xlpm._exists),"")
)</f>
        <v/>
      </c>
      <c r="Q12" s="33" cm="1">
        <f t="array" aca="1" ref="Q1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($E12=CLASSIFICATION[[Keyword Aggr]:[Keyword Aggr]])*($D12=CLASSIFICATION[[Functional Scope Aggr]:[Functional Scope Aggr]])),
_xlpm._platform_keywords, _xlfn.TEXTSPLIT(SUBSTITUTE(SUBSTITUTE(VLOOKUP($D12,_xlpm._platform_range,3,FALSE),"+"&amp;CHAR(34),"+"),CHAR(34),""),", "),
_xlpm._exists, SUMPRODUCT(--ISNUMBER(MATCH(_xlpm._platform_keywords,_xlpm._original_keywords,0)))&gt;0,
_xlfn.IFS(_xlpm._exists,1,NOT(_xlpm._exists),"")
)</f>
        <v>1</v>
      </c>
      <c r="R12" s="33" t="str" cm="1">
        <f t="array" aca="1" ref="R1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($E12=CLASSIFICATION[[Keyword Aggr]:[Keyword Aggr]])*($D12=CLASSIFICATION[[Functional Scope Aggr]:[Functional Scope Aggr]])),
_xlpm._platform_keywords, _xlfn.TEXTSPLIT(SUBSTITUTE(SUBSTITUTE(VLOOKUP($D12,_xlpm._platform_range,3,FALSE),"+"&amp;CHAR(34),"+"),CHAR(34),""),", "),
_xlpm._exists, SUMPRODUCT(--ISNUMBER(MATCH(_xlpm._platform_keywords,_xlpm._original_keywords,0)))&gt;0,
_xlfn.IFS(_xlpm._exists,1,NOT(_xlpm._exists),"")
)</f>
        <v/>
      </c>
      <c r="S12" s="33" t="str" cm="1">
        <f t="array" aca="1" ref="S1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($E12=CLASSIFICATION[[Keyword Aggr]:[Keyword Aggr]])*($D12=CLASSIFICATION[[Functional Scope Aggr]:[Functional Scope Aggr]])),
_xlpm._platform_keywords, _xlfn.TEXTSPLIT(SUBSTITUTE(SUBSTITUTE(VLOOKUP($D12,_xlpm._platform_range,3,FALSE),"+"&amp;CHAR(34),"+"),CHAR(34),""),", "),
_xlpm._exists, SUMPRODUCT(--ISNUMBER(MATCH(_xlpm._platform_keywords,_xlpm._original_keywords,0)))&gt;0,
_xlfn.IFS(_xlpm._exists,1,NOT(_xlpm._exists),"")
)</f>
        <v/>
      </c>
      <c r="T12" s="33" t="str" cm="1">
        <f t="array" aca="1" ref="T1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($E12=CLASSIFICATION[[Keyword Aggr]:[Keyword Aggr]])*($D12=CLASSIFICATION[[Functional Scope Aggr]:[Functional Scope Aggr]])),
_xlpm._platform_keywords, _xlfn.TEXTSPLIT(SUBSTITUTE(SUBSTITUTE(VLOOKUP($D12,_xlpm._platform_range,3,FALSE),"+"&amp;CHAR(34),"+"),CHAR(34),""),", "),
_xlpm._exists, SUMPRODUCT(--ISNUMBER(MATCH(_xlpm._platform_keywords,_xlpm._original_keywords,0)))&gt;0,
_xlfn.IFS(_xlpm._exists,1,NOT(_xlpm._exists),"")
)</f>
        <v/>
      </c>
      <c r="U12" s="33" t="str" cm="1">
        <f t="array" aca="1" ref="U1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($E12=CLASSIFICATION[[Keyword Aggr]:[Keyword Aggr]])*($D12=CLASSIFICATION[[Functional Scope Aggr]:[Functional Scope Aggr]])),
_xlpm._platform_keywords, _xlfn.TEXTSPLIT(SUBSTITUTE(SUBSTITUTE(VLOOKUP($D12,_xlpm._platform_range,3,FALSE),"+"&amp;CHAR(34),"+"),CHAR(34),""),", "),
_xlpm._exists, SUMPRODUCT(--ISNUMBER(MATCH(_xlpm._platform_keywords,_xlpm._original_keywords,0)))&gt;0,
_xlfn.IFS(_xlpm._exists,1,NOT(_xlpm._exists),"")
)</f>
        <v/>
      </c>
      <c r="V12" s="33" t="str" cm="1">
        <f t="array" aca="1" ref="V1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($E12=CLASSIFICATION[[Keyword Aggr]:[Keyword Aggr]])*($D12=CLASSIFICATION[[Functional Scope Aggr]:[Functional Scope Aggr]])),
_xlpm._platform_keywords, _xlfn.TEXTSPLIT(SUBSTITUTE(SUBSTITUTE(VLOOKUP($D12,_xlpm._platform_range,3,FALSE),"+"&amp;CHAR(34),"+"),CHAR(34),""),", "),
_xlpm._exists, SUMPRODUCT(--ISNUMBER(MATCH(_xlpm._platform_keywords,_xlpm._original_keywords,0)))&gt;0,
_xlfn.IFS(_xlpm._exists,1,NOT(_xlpm._exists),"")
)</f>
        <v/>
      </c>
      <c r="X12" s="33" t="str">
        <f t="shared" si="4"/>
        <v/>
      </c>
      <c r="Y12" s="33" t="str">
        <f t="shared" si="5"/>
        <v/>
      </c>
      <c r="Z12" s="33" t="str">
        <f t="shared" si="6"/>
        <v/>
      </c>
      <c r="AA12" s="33" t="str">
        <f t="shared" si="7"/>
        <v/>
      </c>
      <c r="AB12" s="33" t="str">
        <f t="shared" si="8"/>
        <v/>
      </c>
      <c r="AC12" s="33" t="str">
        <f t="shared" si="9"/>
        <v/>
      </c>
    </row>
    <row r="13" spans="1:29" x14ac:dyDescent="0.25">
      <c r="A13" s="19" t="str">
        <v>Design,Database model,IT Data Types</v>
      </c>
      <c r="B13" t="s">
        <v>377</v>
      </c>
      <c r="C13" s="19" t="str" cm="1">
        <f t="array" ref="C13:E13">_xlfn.TEXTSPLIT(A13,",")</f>
        <v>Design</v>
      </c>
      <c r="D13" s="19" t="str">
        <v>Database model</v>
      </c>
      <c r="E13" s="19" t="str">
        <v>IT Data Types</v>
      </c>
      <c r="F13" s="36" t="str" cm="1">
        <f t="array" ref="F13">_xlfn.TEXTJOIN(",",TRUE,_xlfn._xlws.FILTER(CLASSIFICATION[Keyword], ($E13=CLASSIFICATION[Keyword Aggr])*($D13=CLASSIFICATION[Functional Scope Aggr])))</f>
        <v>Data Types</v>
      </c>
      <c r="G13" s="32" t="str">
        <f t="shared" si="2"/>
        <v/>
      </c>
      <c r="H13" s="32" t="str">
        <f t="shared" si="3"/>
        <v/>
      </c>
      <c r="I13" s="32" t="str">
        <f t="shared" si="0"/>
        <v>IT Data Types</v>
      </c>
      <c r="J13" s="33" t="str" cm="1">
        <f t="array" aca="1" ref="J1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($E13=CLASSIFICATION[[Keyword Aggr]:[Keyword Aggr]])*($D13=CLASSIFICATION[[Functional Scope Aggr]:[Functional Scope Aggr]])),
_xlpm._platform_keywords, _xlfn.TEXTSPLIT(SUBSTITUTE(SUBSTITUTE(VLOOKUP($D13,_xlpm._platform_range,3,FALSE),"+"&amp;CHAR(34),"+"),CHAR(34),""),", "),
_xlpm._exists, SUMPRODUCT(--ISNUMBER(MATCH(_xlpm._platform_keywords,_xlpm._original_keywords,0)))&gt;0,
_xlfn.IFS(AND(_xlpm._exists,LEFT($E13,1)="+"),"+",_xlpm._exists,"*",NOT(_xlpm._exists),"")
)</f>
        <v/>
      </c>
      <c r="K13" s="33" t="str" cm="1">
        <f t="array" aca="1" ref="K1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($E13=CLASSIFICATION[[Keyword Aggr]:[Keyword Aggr]])*($D13=CLASSIFICATION[[Functional Scope Aggr]:[Functional Scope Aggr]])),
_xlpm._platform_keywords, _xlfn.TEXTSPLIT(SUBSTITUTE(SUBSTITUTE(VLOOKUP($D13,_xlpm._platform_range,3,FALSE),"+"&amp;CHAR(34),"+"),CHAR(34),""),", "),
_xlpm._exists, SUMPRODUCT(--ISNUMBER(MATCH(_xlpm._platform_keywords,_xlpm._original_keywords,0)))&gt;0,
_xlfn.IFS(AND(_xlpm._exists,LEFT($E13,1)="+"),"+",_xlpm._exists,"*",NOT(_xlpm._exists),"")
)</f>
        <v>*</v>
      </c>
      <c r="L13" s="33" t="str" cm="1">
        <f t="array" aca="1" ref="L1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($E13=CLASSIFICATION[[Keyword Aggr]:[Keyword Aggr]])*($D13=CLASSIFICATION[[Functional Scope Aggr]:[Functional Scope Aggr]])),
_xlpm._platform_keywords, _xlfn.TEXTSPLIT(SUBSTITUTE(SUBSTITUTE(VLOOKUP($D13,_xlpm._platform_range,3,FALSE),"+"&amp;CHAR(34),"+"),CHAR(34),""),", "),
_xlpm._exists, SUMPRODUCT(--ISNUMBER(MATCH(_xlpm._platform_keywords,_xlpm._original_keywords,0)))&gt;0,
_xlfn.IFS(AND(_xlpm._exists,LEFT($E13,1)="+"),"+",_xlpm._exists,"*",NOT(_xlpm._exists),"")
)</f>
        <v/>
      </c>
      <c r="M13" s="33" t="str" cm="1">
        <f t="array" aca="1" ref="M1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($E13=CLASSIFICATION[[Keyword Aggr]:[Keyword Aggr]])*($D13=CLASSIFICATION[[Functional Scope Aggr]:[Functional Scope Aggr]])),
_xlpm._platform_keywords, _xlfn.TEXTSPLIT(SUBSTITUTE(SUBSTITUTE(VLOOKUP($D13,_xlpm._platform_range,3,FALSE),"+"&amp;CHAR(34),"+"),CHAR(34),""),", "),
_xlpm._exists, SUMPRODUCT(--ISNUMBER(MATCH(_xlpm._platform_keywords,_xlpm._original_keywords,0)))&gt;0,
_xlfn.IFS(AND(_xlpm._exists,LEFT($E13,1)="+"),"+",_xlpm._exists,"*",NOT(_xlpm._exists),"")
)</f>
        <v/>
      </c>
      <c r="N13" s="33" t="str" cm="1">
        <f t="array" aca="1" ref="N1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($E13=CLASSIFICATION[[Keyword Aggr]:[Keyword Aggr]])*($D13=CLASSIFICATION[[Functional Scope Aggr]:[Functional Scope Aggr]])),
_xlpm._platform_keywords, _xlfn.TEXTSPLIT(SUBSTITUTE(SUBSTITUTE(VLOOKUP($D13,_xlpm._platform_range,3,FALSE),"+"&amp;CHAR(34),"+"),CHAR(34),""),", "),
_xlpm._exists, SUMPRODUCT(--ISNUMBER(MATCH(_xlpm._platform_keywords,_xlpm._original_keywords,0)))&gt;0,
_xlfn.IFS(AND(_xlpm._exists,LEFT($E13,1)="+"),"+",_xlpm._exists,"*",NOT(_xlpm._exists),"")
)</f>
        <v>*</v>
      </c>
      <c r="O13" s="33" t="str" cm="1">
        <f t="array" aca="1" ref="O1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($E13=CLASSIFICATION[[Keyword Aggr]:[Keyword Aggr]])*($D13=CLASSIFICATION[[Functional Scope Aggr]:[Functional Scope Aggr]])),
_xlpm._platform_keywords, _xlfn.TEXTSPLIT(SUBSTITUTE(SUBSTITUTE(VLOOKUP($D13,_xlpm._platform_range,3,FALSE),"+"&amp;CHAR(34),"+"),CHAR(34),""),", "),
_xlpm._exists, SUMPRODUCT(--ISNUMBER(MATCH(_xlpm._platform_keywords,_xlpm._original_keywords,0)))&gt;0,
_xlfn.IFS(AND(_xlpm._exists,LEFT($E13,1)="+"),"+",_xlpm._exists,"*",NOT(_xlpm._exists),"")
)</f>
        <v/>
      </c>
      <c r="Q13" s="33" t="str" cm="1">
        <f t="array" aca="1" ref="Q1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($E13=CLASSIFICATION[[Keyword Aggr]:[Keyword Aggr]])*($D13=CLASSIFICATION[[Functional Scope Aggr]:[Functional Scope Aggr]])),
_xlpm._platform_keywords, _xlfn.TEXTSPLIT(SUBSTITUTE(SUBSTITUTE(VLOOKUP($D13,_xlpm._platform_range,3,FALSE),"+"&amp;CHAR(34),"+"),CHAR(34),""),", "),
_xlpm._exists, SUMPRODUCT(--ISNUMBER(MATCH(_xlpm._platform_keywords,_xlpm._original_keywords,0)))&gt;0,
_xlfn.IFS(_xlpm._exists,1,NOT(_xlpm._exists),"")
)</f>
        <v/>
      </c>
      <c r="R13" s="33" cm="1">
        <f t="array" aca="1" ref="R1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($E13=CLASSIFICATION[[Keyword Aggr]:[Keyword Aggr]])*($D13=CLASSIFICATION[[Functional Scope Aggr]:[Functional Scope Aggr]])),
_xlpm._platform_keywords, _xlfn.TEXTSPLIT(SUBSTITUTE(SUBSTITUTE(VLOOKUP($D13,_xlpm._platform_range,3,FALSE),"+"&amp;CHAR(34),"+"),CHAR(34),""),", "),
_xlpm._exists, SUMPRODUCT(--ISNUMBER(MATCH(_xlpm._platform_keywords,_xlpm._original_keywords,0)))&gt;0,
_xlfn.IFS(_xlpm._exists,1,NOT(_xlpm._exists),"")
)</f>
        <v>1</v>
      </c>
      <c r="S13" s="33" t="str" cm="1">
        <f t="array" aca="1" ref="S1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($E13=CLASSIFICATION[[Keyword Aggr]:[Keyword Aggr]])*($D13=CLASSIFICATION[[Functional Scope Aggr]:[Functional Scope Aggr]])),
_xlpm._platform_keywords, _xlfn.TEXTSPLIT(SUBSTITUTE(SUBSTITUTE(VLOOKUP($D13,_xlpm._platform_range,3,FALSE),"+"&amp;CHAR(34),"+"),CHAR(34),""),", "),
_xlpm._exists, SUMPRODUCT(--ISNUMBER(MATCH(_xlpm._platform_keywords,_xlpm._original_keywords,0)))&gt;0,
_xlfn.IFS(_xlpm._exists,1,NOT(_xlpm._exists),"")
)</f>
        <v/>
      </c>
      <c r="T13" s="33" t="str" cm="1">
        <f t="array" aca="1" ref="T1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($E13=CLASSIFICATION[[Keyword Aggr]:[Keyword Aggr]])*($D13=CLASSIFICATION[[Functional Scope Aggr]:[Functional Scope Aggr]])),
_xlpm._platform_keywords, _xlfn.TEXTSPLIT(SUBSTITUTE(SUBSTITUTE(VLOOKUP($D13,_xlpm._platform_range,3,FALSE),"+"&amp;CHAR(34),"+"),CHAR(34),""),", "),
_xlpm._exists, SUMPRODUCT(--ISNUMBER(MATCH(_xlpm._platform_keywords,_xlpm._original_keywords,0)))&gt;0,
_xlfn.IFS(_xlpm._exists,1,NOT(_xlpm._exists),"")
)</f>
        <v/>
      </c>
      <c r="U13" s="33" cm="1">
        <f t="array" aca="1" ref="U1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($E13=CLASSIFICATION[[Keyword Aggr]:[Keyword Aggr]])*($D13=CLASSIFICATION[[Functional Scope Aggr]:[Functional Scope Aggr]])),
_xlpm._platform_keywords, _xlfn.TEXTSPLIT(SUBSTITUTE(SUBSTITUTE(VLOOKUP($D13,_xlpm._platform_range,3,FALSE),"+"&amp;CHAR(34),"+"),CHAR(34),""),", "),
_xlpm._exists, SUMPRODUCT(--ISNUMBER(MATCH(_xlpm._platform_keywords,_xlpm._original_keywords,0)))&gt;0,
_xlfn.IFS(_xlpm._exists,1,NOT(_xlpm._exists),"")
)</f>
        <v>1</v>
      </c>
      <c r="V13" s="33" t="str" cm="1">
        <f t="array" aca="1" ref="V1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($E13=CLASSIFICATION[[Keyword Aggr]:[Keyword Aggr]])*($D13=CLASSIFICATION[[Functional Scope Aggr]:[Functional Scope Aggr]])),
_xlpm._platform_keywords, _xlfn.TEXTSPLIT(SUBSTITUTE(SUBSTITUTE(VLOOKUP($D13,_xlpm._platform_range,3,FALSE),"+"&amp;CHAR(34),"+"),CHAR(34),""),", "),
_xlpm._exists, SUMPRODUCT(--ISNUMBER(MATCH(_xlpm._platform_keywords,_xlpm._original_keywords,0)))&gt;0,
_xlfn.IFS(_xlpm._exists,1,NOT(_xlpm._exists),"")
)</f>
        <v/>
      </c>
      <c r="X13" s="33" t="str">
        <f t="shared" si="4"/>
        <v/>
      </c>
      <c r="Y13" s="33" t="str">
        <f t="shared" si="5"/>
        <v/>
      </c>
      <c r="Z13" s="33" t="str">
        <f t="shared" si="6"/>
        <v/>
      </c>
      <c r="AA13" s="33" t="str">
        <f t="shared" si="7"/>
        <v/>
      </c>
      <c r="AB13" s="33" t="str">
        <f t="shared" si="8"/>
        <v/>
      </c>
      <c r="AC13" s="33" t="str">
        <f t="shared" si="9"/>
        <v/>
      </c>
    </row>
    <row r="14" spans="1:29" x14ac:dyDescent="0.25">
      <c r="A14" s="19" t="str">
        <v>Design,Database model,Denormalization</v>
      </c>
      <c r="B14" t="s">
        <v>377</v>
      </c>
      <c r="C14" s="19" t="str" cm="1">
        <f t="array" ref="C14:E14">_xlfn.TEXTSPLIT(A14,",")</f>
        <v>Design</v>
      </c>
      <c r="D14" s="19" t="str">
        <v>Database model</v>
      </c>
      <c r="E14" s="19" t="str">
        <v>Denormalization</v>
      </c>
      <c r="F14" s="36" t="str" cm="1">
        <f t="array" ref="F14">_xlfn.TEXTJOIN(",",TRUE,_xlfn._xlws.FILTER(CLASSIFICATION[Keyword], ($E14=CLASSIFICATION[Keyword Aggr])*($D14=CLASSIFICATION[Functional Scope Aggr])))</f>
        <v>Denormalization</v>
      </c>
      <c r="G14" s="32" t="str">
        <f t="shared" si="2"/>
        <v/>
      </c>
      <c r="H14" s="32" t="str">
        <f t="shared" si="3"/>
        <v/>
      </c>
      <c r="I14" s="32" t="str">
        <f t="shared" si="0"/>
        <v>Denormalization</v>
      </c>
      <c r="J14" s="33" t="str" cm="1">
        <f t="array" aca="1" ref="J1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($E14=CLASSIFICATION[[Keyword Aggr]:[Keyword Aggr]])*($D14=CLASSIFICATION[[Functional Scope Aggr]:[Functional Scope Aggr]])),
_xlpm._platform_keywords, _xlfn.TEXTSPLIT(SUBSTITUTE(SUBSTITUTE(VLOOKUP($D14,_xlpm._platform_range,3,FALSE),"+"&amp;CHAR(34),"+"),CHAR(34),""),", "),
_xlpm._exists, SUMPRODUCT(--ISNUMBER(MATCH(_xlpm._platform_keywords,_xlpm._original_keywords,0)))&gt;0,
_xlfn.IFS(AND(_xlpm._exists,LEFT($E14,1)="+"),"+",_xlpm._exists,"*",NOT(_xlpm._exists),"")
)</f>
        <v>*</v>
      </c>
      <c r="K14" s="33" t="str" cm="1">
        <f t="array" aca="1" ref="K1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($E14=CLASSIFICATION[[Keyword Aggr]:[Keyword Aggr]])*($D14=CLASSIFICATION[[Functional Scope Aggr]:[Functional Scope Aggr]])),
_xlpm._platform_keywords, _xlfn.TEXTSPLIT(SUBSTITUTE(SUBSTITUTE(VLOOKUP($D14,_xlpm._platform_range,3,FALSE),"+"&amp;CHAR(34),"+"),CHAR(34),""),", "),
_xlpm._exists, SUMPRODUCT(--ISNUMBER(MATCH(_xlpm._platform_keywords,_xlpm._original_keywords,0)))&gt;0,
_xlfn.IFS(AND(_xlpm._exists,LEFT($E14,1)="+"),"+",_xlpm._exists,"*",NOT(_xlpm._exists),"")
)</f>
        <v/>
      </c>
      <c r="L14" s="33" t="str" cm="1">
        <f t="array" aca="1" ref="L1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($E14=CLASSIFICATION[[Keyword Aggr]:[Keyword Aggr]])*($D14=CLASSIFICATION[[Functional Scope Aggr]:[Functional Scope Aggr]])),
_xlpm._platform_keywords, _xlfn.TEXTSPLIT(SUBSTITUTE(SUBSTITUTE(VLOOKUP($D14,_xlpm._platform_range,3,FALSE),"+"&amp;CHAR(34),"+"),CHAR(34),""),", "),
_xlpm._exists, SUMPRODUCT(--ISNUMBER(MATCH(_xlpm._platform_keywords,_xlpm._original_keywords,0)))&gt;0,
_xlfn.IFS(AND(_xlpm._exists,LEFT($E14,1)="+"),"+",_xlpm._exists,"*",NOT(_xlpm._exists),"")
)</f>
        <v/>
      </c>
      <c r="M14" s="33" t="str" cm="1">
        <f t="array" aca="1" ref="M1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($E14=CLASSIFICATION[[Keyword Aggr]:[Keyword Aggr]])*($D14=CLASSIFICATION[[Functional Scope Aggr]:[Functional Scope Aggr]])),
_xlpm._platform_keywords, _xlfn.TEXTSPLIT(SUBSTITUTE(SUBSTITUTE(VLOOKUP($D14,_xlpm._platform_range,3,FALSE),"+"&amp;CHAR(34),"+"),CHAR(34),""),", "),
_xlpm._exists, SUMPRODUCT(--ISNUMBER(MATCH(_xlpm._platform_keywords,_xlpm._original_keywords,0)))&gt;0,
_xlfn.IFS(AND(_xlpm._exists,LEFT($E14,1)="+"),"+",_xlpm._exists,"*",NOT(_xlpm._exists),"")
)</f>
        <v/>
      </c>
      <c r="N14" s="33" t="str" cm="1">
        <f t="array" aca="1" ref="N1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($E14=CLASSIFICATION[[Keyword Aggr]:[Keyword Aggr]])*($D14=CLASSIFICATION[[Functional Scope Aggr]:[Functional Scope Aggr]])),
_xlpm._platform_keywords, _xlfn.TEXTSPLIT(SUBSTITUTE(SUBSTITUTE(VLOOKUP($D14,_xlpm._platform_range,3,FALSE),"+"&amp;CHAR(34),"+"),CHAR(34),""),", "),
_xlpm._exists, SUMPRODUCT(--ISNUMBER(MATCH(_xlpm._platform_keywords,_xlpm._original_keywords,0)))&gt;0,
_xlfn.IFS(AND(_xlpm._exists,LEFT($E14,1)="+"),"+",_xlpm._exists,"*",NOT(_xlpm._exists),"")
)</f>
        <v/>
      </c>
      <c r="O14" s="33" t="str" cm="1">
        <f t="array" aca="1" ref="O1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($E14=CLASSIFICATION[[Keyword Aggr]:[Keyword Aggr]])*($D14=CLASSIFICATION[[Functional Scope Aggr]:[Functional Scope Aggr]])),
_xlpm._platform_keywords, _xlfn.TEXTSPLIT(SUBSTITUTE(SUBSTITUTE(VLOOKUP($D14,_xlpm._platform_range,3,FALSE),"+"&amp;CHAR(34),"+"),CHAR(34),""),", "),
_xlpm._exists, SUMPRODUCT(--ISNUMBER(MATCH(_xlpm._platform_keywords,_xlpm._original_keywords,0)))&gt;0,
_xlfn.IFS(AND(_xlpm._exists,LEFT($E14,1)="+"),"+",_xlpm._exists,"*",NOT(_xlpm._exists),"")
)</f>
        <v/>
      </c>
      <c r="Q14" s="33" cm="1">
        <f t="array" aca="1" ref="Q1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($E14=CLASSIFICATION[[Keyword Aggr]:[Keyword Aggr]])*($D14=CLASSIFICATION[[Functional Scope Aggr]:[Functional Scope Aggr]])),
_xlpm._platform_keywords, _xlfn.TEXTSPLIT(SUBSTITUTE(SUBSTITUTE(VLOOKUP($D14,_xlpm._platform_range,3,FALSE),"+"&amp;CHAR(34),"+"),CHAR(34),""),", "),
_xlpm._exists, SUMPRODUCT(--ISNUMBER(MATCH(_xlpm._platform_keywords,_xlpm._original_keywords,0)))&gt;0,
_xlfn.IFS(_xlpm._exists,1,NOT(_xlpm._exists),"")
)</f>
        <v>1</v>
      </c>
      <c r="R14" s="33" t="str" cm="1">
        <f t="array" aca="1" ref="R1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($E14=CLASSIFICATION[[Keyword Aggr]:[Keyword Aggr]])*($D14=CLASSIFICATION[[Functional Scope Aggr]:[Functional Scope Aggr]])),
_xlpm._platform_keywords, _xlfn.TEXTSPLIT(SUBSTITUTE(SUBSTITUTE(VLOOKUP($D14,_xlpm._platform_range,3,FALSE),"+"&amp;CHAR(34),"+"),CHAR(34),""),", "),
_xlpm._exists, SUMPRODUCT(--ISNUMBER(MATCH(_xlpm._platform_keywords,_xlpm._original_keywords,0)))&gt;0,
_xlfn.IFS(_xlpm._exists,1,NOT(_xlpm._exists),"")
)</f>
        <v/>
      </c>
      <c r="S14" s="33" t="str" cm="1">
        <f t="array" aca="1" ref="S1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($E14=CLASSIFICATION[[Keyword Aggr]:[Keyword Aggr]])*($D14=CLASSIFICATION[[Functional Scope Aggr]:[Functional Scope Aggr]])),
_xlpm._platform_keywords, _xlfn.TEXTSPLIT(SUBSTITUTE(SUBSTITUTE(VLOOKUP($D14,_xlpm._platform_range,3,FALSE),"+"&amp;CHAR(34),"+"),CHAR(34),""),", "),
_xlpm._exists, SUMPRODUCT(--ISNUMBER(MATCH(_xlpm._platform_keywords,_xlpm._original_keywords,0)))&gt;0,
_xlfn.IFS(_xlpm._exists,1,NOT(_xlpm._exists),"")
)</f>
        <v/>
      </c>
      <c r="T14" s="33" t="str" cm="1">
        <f t="array" aca="1" ref="T1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($E14=CLASSIFICATION[[Keyword Aggr]:[Keyword Aggr]])*($D14=CLASSIFICATION[[Functional Scope Aggr]:[Functional Scope Aggr]])),
_xlpm._platform_keywords, _xlfn.TEXTSPLIT(SUBSTITUTE(SUBSTITUTE(VLOOKUP($D14,_xlpm._platform_range,3,FALSE),"+"&amp;CHAR(34),"+"),CHAR(34),""),", "),
_xlpm._exists, SUMPRODUCT(--ISNUMBER(MATCH(_xlpm._platform_keywords,_xlpm._original_keywords,0)))&gt;0,
_xlfn.IFS(_xlpm._exists,1,NOT(_xlpm._exists),"")
)</f>
        <v/>
      </c>
      <c r="U14" s="33" t="str" cm="1">
        <f t="array" aca="1" ref="U1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($E14=CLASSIFICATION[[Keyword Aggr]:[Keyword Aggr]])*($D14=CLASSIFICATION[[Functional Scope Aggr]:[Functional Scope Aggr]])),
_xlpm._platform_keywords, _xlfn.TEXTSPLIT(SUBSTITUTE(SUBSTITUTE(VLOOKUP($D14,_xlpm._platform_range,3,FALSE),"+"&amp;CHAR(34),"+"),CHAR(34),""),", "),
_xlpm._exists, SUMPRODUCT(--ISNUMBER(MATCH(_xlpm._platform_keywords,_xlpm._original_keywords,0)))&gt;0,
_xlfn.IFS(_xlpm._exists,1,NOT(_xlpm._exists),"")
)</f>
        <v/>
      </c>
      <c r="V14" s="33" t="str" cm="1">
        <f t="array" aca="1" ref="V1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($E14=CLASSIFICATION[[Keyword Aggr]:[Keyword Aggr]])*($D14=CLASSIFICATION[[Functional Scope Aggr]:[Functional Scope Aggr]])),
_xlpm._platform_keywords, _xlfn.TEXTSPLIT(SUBSTITUTE(SUBSTITUTE(VLOOKUP($D14,_xlpm._platform_range,3,FALSE),"+"&amp;CHAR(34),"+"),CHAR(34),""),", "),
_xlpm._exists, SUMPRODUCT(--ISNUMBER(MATCH(_xlpm._platform_keywords,_xlpm._original_keywords,0)))&gt;0,
_xlfn.IFS(_xlpm._exists,1,NOT(_xlpm._exists),"")
)</f>
        <v/>
      </c>
      <c r="X14" s="33" t="str">
        <f t="shared" si="4"/>
        <v/>
      </c>
      <c r="Y14" s="33" t="str">
        <f t="shared" si="5"/>
        <v/>
      </c>
      <c r="Z14" s="33" t="str">
        <f t="shared" si="6"/>
        <v/>
      </c>
      <c r="AA14" s="33" t="str">
        <f t="shared" si="7"/>
        <v/>
      </c>
      <c r="AB14" s="33" t="str">
        <f t="shared" si="8"/>
        <v/>
      </c>
      <c r="AC14" s="33" t="str">
        <f t="shared" si="9"/>
        <v/>
      </c>
    </row>
    <row r="15" spans="1:29" x14ac:dyDescent="0.25">
      <c r="A15" s="19" t="str">
        <v>Design,Database model,Entity Diagrams</v>
      </c>
      <c r="B15" t="s">
        <v>377</v>
      </c>
      <c r="C15" s="19" t="str" cm="1">
        <f t="array" ref="C15:E15">_xlfn.TEXTSPLIT(A15,",")</f>
        <v>Design</v>
      </c>
      <c r="D15" s="19" t="str">
        <v>Database model</v>
      </c>
      <c r="E15" s="19" t="str">
        <v>Entity Diagrams</v>
      </c>
      <c r="F15" s="36" t="str" cm="1">
        <f t="array" ref="F15">_xlfn.TEXTJOIN(",",TRUE,_xlfn._xlws.FILTER(CLASSIFICATION[Keyword], ($E15=CLASSIFICATION[Keyword Aggr])*($D15=CLASSIFICATION[Functional Scope Aggr])))</f>
        <v>Entity Diagrams,Entity relationships</v>
      </c>
      <c r="G15" s="32" t="str">
        <f t="shared" si="2"/>
        <v/>
      </c>
      <c r="H15" s="32" t="str">
        <f t="shared" si="3"/>
        <v/>
      </c>
      <c r="I15" s="32" t="str">
        <f t="shared" si="0"/>
        <v>Entity Diagrams</v>
      </c>
      <c r="J15" s="33" t="str" cm="1">
        <f t="array" aca="1" ref="J1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($E15=CLASSIFICATION[[Keyword Aggr]:[Keyword Aggr]])*($D15=CLASSIFICATION[[Functional Scope Aggr]:[Functional Scope Aggr]])),
_xlpm._platform_keywords, _xlfn.TEXTSPLIT(SUBSTITUTE(SUBSTITUTE(VLOOKUP($D15,_xlpm._platform_range,3,FALSE),"+"&amp;CHAR(34),"+"),CHAR(34),""),", "),
_xlpm._exists, SUMPRODUCT(--ISNUMBER(MATCH(_xlpm._platform_keywords,_xlpm._original_keywords,0)))&gt;0,
_xlfn.IFS(AND(_xlpm._exists,LEFT($E15,1)="+"),"+",_xlpm._exists,"*",NOT(_xlpm._exists),"")
)</f>
        <v>*</v>
      </c>
      <c r="K15" s="33" t="str" cm="1">
        <f t="array" aca="1" ref="K1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($E15=CLASSIFICATION[[Keyword Aggr]:[Keyword Aggr]])*($D15=CLASSIFICATION[[Functional Scope Aggr]:[Functional Scope Aggr]])),
_xlpm._platform_keywords, _xlfn.TEXTSPLIT(SUBSTITUTE(SUBSTITUTE(VLOOKUP($D15,_xlpm._platform_range,3,FALSE),"+"&amp;CHAR(34),"+"),CHAR(34),""),", "),
_xlpm._exists, SUMPRODUCT(--ISNUMBER(MATCH(_xlpm._platform_keywords,_xlpm._original_keywords,0)))&gt;0,
_xlfn.IFS(AND(_xlpm._exists,LEFT($E15,1)="+"),"+",_xlpm._exists,"*",NOT(_xlpm._exists),"")
)</f>
        <v>*</v>
      </c>
      <c r="L15" s="33" t="str" cm="1">
        <f t="array" aca="1" ref="L1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($E15=CLASSIFICATION[[Keyword Aggr]:[Keyword Aggr]])*($D15=CLASSIFICATION[[Functional Scope Aggr]:[Functional Scope Aggr]])),
_xlpm._platform_keywords, _xlfn.TEXTSPLIT(SUBSTITUTE(SUBSTITUTE(VLOOKUP($D15,_xlpm._platform_range,3,FALSE),"+"&amp;CHAR(34),"+"),CHAR(34),""),", "),
_xlpm._exists, SUMPRODUCT(--ISNUMBER(MATCH(_xlpm._platform_keywords,_xlpm._original_keywords,0)))&gt;0,
_xlfn.IFS(AND(_xlpm._exists,LEFT($E15,1)="+"),"+",_xlpm._exists,"*",NOT(_xlpm._exists),"")
)</f>
        <v>*</v>
      </c>
      <c r="M15" s="33" t="str" cm="1">
        <f t="array" aca="1" ref="M1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($E15=CLASSIFICATION[[Keyword Aggr]:[Keyword Aggr]])*($D15=CLASSIFICATION[[Functional Scope Aggr]:[Functional Scope Aggr]])),
_xlpm._platform_keywords, _xlfn.TEXTSPLIT(SUBSTITUTE(SUBSTITUTE(VLOOKUP($D15,_xlpm._platform_range,3,FALSE),"+"&amp;CHAR(34),"+"),CHAR(34),""),", "),
_xlpm._exists, SUMPRODUCT(--ISNUMBER(MATCH(_xlpm._platform_keywords,_xlpm._original_keywords,0)))&gt;0,
_xlfn.IFS(AND(_xlpm._exists,LEFT($E15,1)="+"),"+",_xlpm._exists,"*",NOT(_xlpm._exists),"")
)</f>
        <v>*</v>
      </c>
      <c r="N15" s="33" t="str" cm="1">
        <f t="array" aca="1" ref="N1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($E15=CLASSIFICATION[[Keyword Aggr]:[Keyword Aggr]])*($D15=CLASSIFICATION[[Functional Scope Aggr]:[Functional Scope Aggr]])),
_xlpm._platform_keywords, _xlfn.TEXTSPLIT(SUBSTITUTE(SUBSTITUTE(VLOOKUP($D15,_xlpm._platform_range,3,FALSE),"+"&amp;CHAR(34),"+"),CHAR(34),""),", "),
_xlpm._exists, SUMPRODUCT(--ISNUMBER(MATCH(_xlpm._platform_keywords,_xlpm._original_keywords,0)))&gt;0,
_xlfn.IFS(AND(_xlpm._exists,LEFT($E15,1)="+"),"+",_xlpm._exists,"*",NOT(_xlpm._exists),"")
)</f>
        <v>*</v>
      </c>
      <c r="O15" s="33" t="str" cm="1">
        <f t="array" aca="1" ref="O1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($E15=CLASSIFICATION[[Keyword Aggr]:[Keyword Aggr]])*($D15=CLASSIFICATION[[Functional Scope Aggr]:[Functional Scope Aggr]])),
_xlpm._platform_keywords, _xlfn.TEXTSPLIT(SUBSTITUTE(SUBSTITUTE(VLOOKUP($D15,_xlpm._platform_range,3,FALSE),"+"&amp;CHAR(34),"+"),CHAR(34),""),", "),
_xlpm._exists, SUMPRODUCT(--ISNUMBER(MATCH(_xlpm._platform_keywords,_xlpm._original_keywords,0)))&gt;0,
_xlfn.IFS(AND(_xlpm._exists,LEFT($E15,1)="+"),"+",_xlpm._exists,"*",NOT(_xlpm._exists),"")
)</f>
        <v/>
      </c>
      <c r="Q15" s="33" cm="1">
        <f t="array" aca="1" ref="Q1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($E15=CLASSIFICATION[[Keyword Aggr]:[Keyword Aggr]])*($D15=CLASSIFICATION[[Functional Scope Aggr]:[Functional Scope Aggr]])),
_xlpm._platform_keywords, _xlfn.TEXTSPLIT(SUBSTITUTE(SUBSTITUTE(VLOOKUP($D15,_xlpm._platform_range,3,FALSE),"+"&amp;CHAR(34),"+"),CHAR(34),""),", "),
_xlpm._exists, SUMPRODUCT(--ISNUMBER(MATCH(_xlpm._platform_keywords,_xlpm._original_keywords,0)))&gt;0,
_xlfn.IFS(_xlpm._exists,1,NOT(_xlpm._exists),"")
)</f>
        <v>1</v>
      </c>
      <c r="R15" s="33" cm="1">
        <f t="array" aca="1" ref="R1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($E15=CLASSIFICATION[[Keyword Aggr]:[Keyword Aggr]])*($D15=CLASSIFICATION[[Functional Scope Aggr]:[Functional Scope Aggr]])),
_xlpm._platform_keywords, _xlfn.TEXTSPLIT(SUBSTITUTE(SUBSTITUTE(VLOOKUP($D15,_xlpm._platform_range,3,FALSE),"+"&amp;CHAR(34),"+"),CHAR(34),""),", "),
_xlpm._exists, SUMPRODUCT(--ISNUMBER(MATCH(_xlpm._platform_keywords,_xlpm._original_keywords,0)))&gt;0,
_xlfn.IFS(_xlpm._exists,1,NOT(_xlpm._exists),"")
)</f>
        <v>1</v>
      </c>
      <c r="S15" s="33" cm="1">
        <f t="array" aca="1" ref="S1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($E15=CLASSIFICATION[[Keyword Aggr]:[Keyword Aggr]])*($D15=CLASSIFICATION[[Functional Scope Aggr]:[Functional Scope Aggr]])),
_xlpm._platform_keywords, _xlfn.TEXTSPLIT(SUBSTITUTE(SUBSTITUTE(VLOOKUP($D15,_xlpm._platform_range,3,FALSE),"+"&amp;CHAR(34),"+"),CHAR(34),""),", "),
_xlpm._exists, SUMPRODUCT(--ISNUMBER(MATCH(_xlpm._platform_keywords,_xlpm._original_keywords,0)))&gt;0,
_xlfn.IFS(_xlpm._exists,1,NOT(_xlpm._exists),"")
)</f>
        <v>1</v>
      </c>
      <c r="T15" s="33" cm="1">
        <f t="array" aca="1" ref="T1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($E15=CLASSIFICATION[[Keyword Aggr]:[Keyword Aggr]])*($D15=CLASSIFICATION[[Functional Scope Aggr]:[Functional Scope Aggr]])),
_xlpm._platform_keywords, _xlfn.TEXTSPLIT(SUBSTITUTE(SUBSTITUTE(VLOOKUP($D15,_xlpm._platform_range,3,FALSE),"+"&amp;CHAR(34),"+"),CHAR(34),""),", "),
_xlpm._exists, SUMPRODUCT(--ISNUMBER(MATCH(_xlpm._platform_keywords,_xlpm._original_keywords,0)))&gt;0,
_xlfn.IFS(_xlpm._exists,1,NOT(_xlpm._exists),"")
)</f>
        <v>1</v>
      </c>
      <c r="U15" s="33" cm="1">
        <f t="array" aca="1" ref="U1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($E15=CLASSIFICATION[[Keyword Aggr]:[Keyword Aggr]])*($D15=CLASSIFICATION[[Functional Scope Aggr]:[Functional Scope Aggr]])),
_xlpm._platform_keywords, _xlfn.TEXTSPLIT(SUBSTITUTE(SUBSTITUTE(VLOOKUP($D15,_xlpm._platform_range,3,FALSE),"+"&amp;CHAR(34),"+"),CHAR(34),""),", "),
_xlpm._exists, SUMPRODUCT(--ISNUMBER(MATCH(_xlpm._platform_keywords,_xlpm._original_keywords,0)))&gt;0,
_xlfn.IFS(_xlpm._exists,1,NOT(_xlpm._exists),"")
)</f>
        <v>1</v>
      </c>
      <c r="V15" s="33" t="str" cm="1">
        <f t="array" aca="1" ref="V1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($E15=CLASSIFICATION[[Keyword Aggr]:[Keyword Aggr]])*($D15=CLASSIFICATION[[Functional Scope Aggr]:[Functional Scope Aggr]])),
_xlpm._platform_keywords, _xlfn.TEXTSPLIT(SUBSTITUTE(SUBSTITUTE(VLOOKUP($D15,_xlpm._platform_range,3,FALSE),"+"&amp;CHAR(34),"+"),CHAR(34),""),", "),
_xlpm._exists, SUMPRODUCT(--ISNUMBER(MATCH(_xlpm._platform_keywords,_xlpm._original_keywords,0)))&gt;0,
_xlfn.IFS(_xlpm._exists,1,NOT(_xlpm._exists),"")
)</f>
        <v/>
      </c>
      <c r="X15" s="33" t="str">
        <f t="shared" si="4"/>
        <v/>
      </c>
      <c r="Y15" s="33" t="str">
        <f t="shared" si="5"/>
        <v/>
      </c>
      <c r="Z15" s="33" t="str">
        <f t="shared" si="6"/>
        <v/>
      </c>
      <c r="AA15" s="33" t="str">
        <f t="shared" si="7"/>
        <v/>
      </c>
      <c r="AB15" s="33" t="str">
        <f t="shared" si="8"/>
        <v/>
      </c>
      <c r="AC15" s="33" t="str">
        <f t="shared" si="9"/>
        <v/>
      </c>
    </row>
    <row r="16" spans="1:29" x14ac:dyDescent="0.25">
      <c r="A16" s="19" t="str">
        <v>Design,Database model,Enumeration</v>
      </c>
      <c r="B16" t="s">
        <v>377</v>
      </c>
      <c r="C16" s="19" t="str" cm="1">
        <f t="array" ref="C16:E16">_xlfn.TEXTSPLIT(A16,",")</f>
        <v>Design</v>
      </c>
      <c r="D16" s="19" t="str">
        <v>Database model</v>
      </c>
      <c r="E16" s="19" t="str">
        <v>Enumeration</v>
      </c>
      <c r="F16" s="36" t="str" cm="1">
        <f t="array" ref="F16">_xlfn.TEXTJOIN(",",TRUE,_xlfn._xlws.FILTER(CLASSIFICATION[Keyword], ($E16=CLASSIFICATION[Keyword Aggr])*($D16=CLASSIFICATION[Functional Scope Aggr])))</f>
        <v>Enumeration</v>
      </c>
      <c r="G16" s="32" t="str">
        <f t="shared" si="2"/>
        <v/>
      </c>
      <c r="H16" s="32" t="str">
        <f t="shared" si="3"/>
        <v/>
      </c>
      <c r="I16" s="32" t="str">
        <f t="shared" si="0"/>
        <v>Enumeration</v>
      </c>
      <c r="J16" s="33" t="str" cm="1">
        <f t="array" aca="1" ref="J1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($E16=CLASSIFICATION[[Keyword Aggr]:[Keyword Aggr]])*($D16=CLASSIFICATION[[Functional Scope Aggr]:[Functional Scope Aggr]])),
_xlpm._platform_keywords, _xlfn.TEXTSPLIT(SUBSTITUTE(SUBSTITUTE(VLOOKUP($D16,_xlpm._platform_range,3,FALSE),"+"&amp;CHAR(34),"+"),CHAR(34),""),", "),
_xlpm._exists, SUMPRODUCT(--ISNUMBER(MATCH(_xlpm._platform_keywords,_xlpm._original_keywords,0)))&gt;0,
_xlfn.IFS(AND(_xlpm._exists,LEFT($E16,1)="+"),"+",_xlpm._exists,"*",NOT(_xlpm._exists),"")
)</f>
        <v/>
      </c>
      <c r="K16" s="33" t="str" cm="1">
        <f t="array" aca="1" ref="K1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($E16=CLASSIFICATION[[Keyword Aggr]:[Keyword Aggr]])*($D16=CLASSIFICATION[[Functional Scope Aggr]:[Functional Scope Aggr]])),
_xlpm._platform_keywords, _xlfn.TEXTSPLIT(SUBSTITUTE(SUBSTITUTE(VLOOKUP($D16,_xlpm._platform_range,3,FALSE),"+"&amp;CHAR(34),"+"),CHAR(34),""),", "),
_xlpm._exists, SUMPRODUCT(--ISNUMBER(MATCH(_xlpm._platform_keywords,_xlpm._original_keywords,0)))&gt;0,
_xlfn.IFS(AND(_xlpm._exists,LEFT($E16,1)="+"),"+",_xlpm._exists,"*",NOT(_xlpm._exists),"")
)</f>
        <v/>
      </c>
      <c r="L16" s="33" t="str" cm="1">
        <f t="array" aca="1" ref="L1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($E16=CLASSIFICATION[[Keyword Aggr]:[Keyword Aggr]])*($D16=CLASSIFICATION[[Functional Scope Aggr]:[Functional Scope Aggr]])),
_xlpm._platform_keywords, _xlfn.TEXTSPLIT(SUBSTITUTE(SUBSTITUTE(VLOOKUP($D16,_xlpm._platform_range,3,FALSE),"+"&amp;CHAR(34),"+"),CHAR(34),""),", "),
_xlpm._exists, SUMPRODUCT(--ISNUMBER(MATCH(_xlpm._platform_keywords,_xlpm._original_keywords,0)))&gt;0,
_xlfn.IFS(AND(_xlpm._exists,LEFT($E16,1)="+"),"+",_xlpm._exists,"*",NOT(_xlpm._exists),"")
)</f>
        <v/>
      </c>
      <c r="M16" s="33" t="str" cm="1">
        <f t="array" aca="1" ref="M1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($E16=CLASSIFICATION[[Keyword Aggr]:[Keyword Aggr]])*($D16=CLASSIFICATION[[Functional Scope Aggr]:[Functional Scope Aggr]])),
_xlpm._platform_keywords, _xlfn.TEXTSPLIT(SUBSTITUTE(SUBSTITUTE(VLOOKUP($D16,_xlpm._platform_range,3,FALSE),"+"&amp;CHAR(34),"+"),CHAR(34),""),", "),
_xlpm._exists, SUMPRODUCT(--ISNUMBER(MATCH(_xlpm._platform_keywords,_xlpm._original_keywords,0)))&gt;0,
_xlfn.IFS(AND(_xlpm._exists,LEFT($E16,1)="+"),"+",_xlpm._exists,"*",NOT(_xlpm._exists),"")
)</f>
        <v/>
      </c>
      <c r="N16" s="33" t="str" cm="1">
        <f t="array" aca="1" ref="N1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($E16=CLASSIFICATION[[Keyword Aggr]:[Keyword Aggr]])*($D16=CLASSIFICATION[[Functional Scope Aggr]:[Functional Scope Aggr]])),
_xlpm._platform_keywords, _xlfn.TEXTSPLIT(SUBSTITUTE(SUBSTITUTE(VLOOKUP($D16,_xlpm._platform_range,3,FALSE),"+"&amp;CHAR(34),"+"),CHAR(34),""),", "),
_xlpm._exists, SUMPRODUCT(--ISNUMBER(MATCH(_xlpm._platform_keywords,_xlpm._original_keywords,0)))&gt;0,
_xlfn.IFS(AND(_xlpm._exists,LEFT($E16,1)="+"),"+",_xlpm._exists,"*",NOT(_xlpm._exists),"")
)</f>
        <v/>
      </c>
      <c r="O16" s="33" t="str" cm="1">
        <f t="array" aca="1" ref="O1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($E16=CLASSIFICATION[[Keyword Aggr]:[Keyword Aggr]])*($D16=CLASSIFICATION[[Functional Scope Aggr]:[Functional Scope Aggr]])),
_xlpm._platform_keywords, _xlfn.TEXTSPLIT(SUBSTITUTE(SUBSTITUTE(VLOOKUP($D16,_xlpm._platform_range,3,FALSE),"+"&amp;CHAR(34),"+"),CHAR(34),""),", "),
_xlpm._exists, SUMPRODUCT(--ISNUMBER(MATCH(_xlpm._platform_keywords,_xlpm._original_keywords,0)))&gt;0,
_xlfn.IFS(AND(_xlpm._exists,LEFT($E16,1)="+"),"+",_xlpm._exists,"*",NOT(_xlpm._exists),"")
)</f>
        <v/>
      </c>
      <c r="Q16" s="33" t="str" cm="1">
        <f t="array" aca="1" ref="Q1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($E16=CLASSIFICATION[[Keyword Aggr]:[Keyword Aggr]])*($D16=CLASSIFICATION[[Functional Scope Aggr]:[Functional Scope Aggr]])),
_xlpm._platform_keywords, _xlfn.TEXTSPLIT(SUBSTITUTE(SUBSTITUTE(VLOOKUP($D16,_xlpm._platform_range,3,FALSE),"+"&amp;CHAR(34),"+"),CHAR(34),""),", "),
_xlpm._exists, SUMPRODUCT(--ISNUMBER(MATCH(_xlpm._platform_keywords,_xlpm._original_keywords,0)))&gt;0,
_xlfn.IFS(_xlpm._exists,1,NOT(_xlpm._exists),"")
)</f>
        <v/>
      </c>
      <c r="R16" s="33" t="str" cm="1">
        <f t="array" aca="1" ref="R1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($E16=CLASSIFICATION[[Keyword Aggr]:[Keyword Aggr]])*($D16=CLASSIFICATION[[Functional Scope Aggr]:[Functional Scope Aggr]])),
_xlpm._platform_keywords, _xlfn.TEXTSPLIT(SUBSTITUTE(SUBSTITUTE(VLOOKUP($D16,_xlpm._platform_range,3,FALSE),"+"&amp;CHAR(34),"+"),CHAR(34),""),", "),
_xlpm._exists, SUMPRODUCT(--ISNUMBER(MATCH(_xlpm._platform_keywords,_xlpm._original_keywords,0)))&gt;0,
_xlfn.IFS(_xlpm._exists,1,NOT(_xlpm._exists),"")
)</f>
        <v/>
      </c>
      <c r="S16" s="33" t="str" cm="1">
        <f t="array" aca="1" ref="S1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($E16=CLASSIFICATION[[Keyword Aggr]:[Keyword Aggr]])*($D16=CLASSIFICATION[[Functional Scope Aggr]:[Functional Scope Aggr]])),
_xlpm._platform_keywords, _xlfn.TEXTSPLIT(SUBSTITUTE(SUBSTITUTE(VLOOKUP($D16,_xlpm._platform_range,3,FALSE),"+"&amp;CHAR(34),"+"),CHAR(34),""),", "),
_xlpm._exists, SUMPRODUCT(--ISNUMBER(MATCH(_xlpm._platform_keywords,_xlpm._original_keywords,0)))&gt;0,
_xlfn.IFS(_xlpm._exists,1,NOT(_xlpm._exists),"")
)</f>
        <v/>
      </c>
      <c r="T16" s="33" t="str" cm="1">
        <f t="array" aca="1" ref="T1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($E16=CLASSIFICATION[[Keyword Aggr]:[Keyword Aggr]])*($D16=CLASSIFICATION[[Functional Scope Aggr]:[Functional Scope Aggr]])),
_xlpm._platform_keywords, _xlfn.TEXTSPLIT(SUBSTITUTE(SUBSTITUTE(VLOOKUP($D16,_xlpm._platform_range,3,FALSE),"+"&amp;CHAR(34),"+"),CHAR(34),""),", "),
_xlpm._exists, SUMPRODUCT(--ISNUMBER(MATCH(_xlpm._platform_keywords,_xlpm._original_keywords,0)))&gt;0,
_xlfn.IFS(_xlpm._exists,1,NOT(_xlpm._exists),"")
)</f>
        <v/>
      </c>
      <c r="U16" s="33" t="str" cm="1">
        <f t="array" aca="1" ref="U1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($E16=CLASSIFICATION[[Keyword Aggr]:[Keyword Aggr]])*($D16=CLASSIFICATION[[Functional Scope Aggr]:[Functional Scope Aggr]])),
_xlpm._platform_keywords, _xlfn.TEXTSPLIT(SUBSTITUTE(SUBSTITUTE(VLOOKUP($D16,_xlpm._platform_range,3,FALSE),"+"&amp;CHAR(34),"+"),CHAR(34),""),", "),
_xlpm._exists, SUMPRODUCT(--ISNUMBER(MATCH(_xlpm._platform_keywords,_xlpm._original_keywords,0)))&gt;0,
_xlfn.IFS(_xlpm._exists,1,NOT(_xlpm._exists),"")
)</f>
        <v/>
      </c>
      <c r="V16" s="33" t="str" cm="1">
        <f t="array" aca="1" ref="V1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($E16=CLASSIFICATION[[Keyword Aggr]:[Keyword Aggr]])*($D16=CLASSIFICATION[[Functional Scope Aggr]:[Functional Scope Aggr]])),
_xlpm._platform_keywords, _xlfn.TEXTSPLIT(SUBSTITUTE(SUBSTITUTE(VLOOKUP($D16,_xlpm._platform_range,3,FALSE),"+"&amp;CHAR(34),"+"),CHAR(34),""),", "),
_xlpm._exists, SUMPRODUCT(--ISNUMBER(MATCH(_xlpm._platform_keywords,_xlpm._original_keywords,0)))&gt;0,
_xlfn.IFS(_xlpm._exists,1,NOT(_xlpm._exists),"")
)</f>
        <v/>
      </c>
      <c r="X16" s="33" t="str">
        <f t="shared" si="4"/>
        <v/>
      </c>
      <c r="Y16" s="33" t="str">
        <f t="shared" si="5"/>
        <v/>
      </c>
      <c r="Z16" s="33" t="str">
        <f t="shared" si="6"/>
        <v/>
      </c>
      <c r="AA16" s="33" t="str">
        <f t="shared" si="7"/>
        <v/>
      </c>
      <c r="AB16" s="33" t="str">
        <f t="shared" si="8"/>
        <v/>
      </c>
      <c r="AC16" s="33" t="str">
        <f t="shared" si="9"/>
        <v/>
      </c>
    </row>
    <row r="17" spans="1:29" x14ac:dyDescent="0.25">
      <c r="A17" s="19" t="str">
        <v>Design,Database model,Expressions</v>
      </c>
      <c r="B17" t="s">
        <v>377</v>
      </c>
      <c r="C17" s="19" t="str" cm="1">
        <f t="array" ref="C17:E17">_xlfn.TEXTSPLIT(A17,",")</f>
        <v>Design</v>
      </c>
      <c r="D17" s="19" t="str">
        <v>Database model</v>
      </c>
      <c r="E17" s="19" t="str">
        <v>Expressions</v>
      </c>
      <c r="F17" s="36" t="str" cm="1">
        <f t="array" ref="F17">_xlfn.TEXTJOIN(",",TRUE,_xlfn._xlws.FILTER(CLASSIFICATION[Keyword], ($E17=CLASSIFICATION[Keyword Aggr])*($D17=CLASSIFICATION[Functional Scope Aggr])))</f>
        <v>Expressions</v>
      </c>
      <c r="G17" s="32" t="str">
        <f t="shared" si="2"/>
        <v/>
      </c>
      <c r="H17" s="32" t="str">
        <f t="shared" si="3"/>
        <v/>
      </c>
      <c r="I17" s="32" t="str">
        <f t="shared" si="0"/>
        <v>Expressions</v>
      </c>
      <c r="J17" s="33" t="str" cm="1">
        <f t="array" aca="1" ref="J1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($E17=CLASSIFICATION[[Keyword Aggr]:[Keyword Aggr]])*($D17=CLASSIFICATION[[Functional Scope Aggr]:[Functional Scope Aggr]])),
_xlpm._platform_keywords, _xlfn.TEXTSPLIT(SUBSTITUTE(SUBSTITUTE(VLOOKUP($D17,_xlpm._platform_range,3,FALSE),"+"&amp;CHAR(34),"+"),CHAR(34),""),", "),
_xlpm._exists, SUMPRODUCT(--ISNUMBER(MATCH(_xlpm._platform_keywords,_xlpm._original_keywords,0)))&gt;0,
_xlfn.IFS(AND(_xlpm._exists,LEFT($E17,1)="+"),"+",_xlpm._exists,"*",NOT(_xlpm._exists),"")
)</f>
        <v/>
      </c>
      <c r="K17" s="33" t="str" cm="1">
        <f t="array" aca="1" ref="K1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($E17=CLASSIFICATION[[Keyword Aggr]:[Keyword Aggr]])*($D17=CLASSIFICATION[[Functional Scope Aggr]:[Functional Scope Aggr]])),
_xlpm._platform_keywords, _xlfn.TEXTSPLIT(SUBSTITUTE(SUBSTITUTE(VLOOKUP($D17,_xlpm._platform_range,3,FALSE),"+"&amp;CHAR(34),"+"),CHAR(34),""),", "),
_xlpm._exists, SUMPRODUCT(--ISNUMBER(MATCH(_xlpm._platform_keywords,_xlpm._original_keywords,0)))&gt;0,
_xlfn.IFS(AND(_xlpm._exists,LEFT($E17,1)="+"),"+",_xlpm._exists,"*",NOT(_xlpm._exists),"")
)</f>
        <v/>
      </c>
      <c r="L17" s="33" t="str" cm="1">
        <f t="array" aca="1" ref="L1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($E17=CLASSIFICATION[[Keyword Aggr]:[Keyword Aggr]])*($D17=CLASSIFICATION[[Functional Scope Aggr]:[Functional Scope Aggr]])),
_xlpm._platform_keywords, _xlfn.TEXTSPLIT(SUBSTITUTE(SUBSTITUTE(VLOOKUP($D17,_xlpm._platform_range,3,FALSE),"+"&amp;CHAR(34),"+"),CHAR(34),""),", "),
_xlpm._exists, SUMPRODUCT(--ISNUMBER(MATCH(_xlpm._platform_keywords,_xlpm._original_keywords,0)))&gt;0,
_xlfn.IFS(AND(_xlpm._exists,LEFT($E17,1)="+"),"+",_xlpm._exists,"*",NOT(_xlpm._exists),"")
)</f>
        <v/>
      </c>
      <c r="M17" s="33" t="str" cm="1">
        <f t="array" aca="1" ref="M1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($E17=CLASSIFICATION[[Keyword Aggr]:[Keyword Aggr]])*($D17=CLASSIFICATION[[Functional Scope Aggr]:[Functional Scope Aggr]])),
_xlpm._platform_keywords, _xlfn.TEXTSPLIT(SUBSTITUTE(SUBSTITUTE(VLOOKUP($D17,_xlpm._platform_range,3,FALSE),"+"&amp;CHAR(34),"+"),CHAR(34),""),", "),
_xlpm._exists, SUMPRODUCT(--ISNUMBER(MATCH(_xlpm._platform_keywords,_xlpm._original_keywords,0)))&gt;0,
_xlfn.IFS(AND(_xlpm._exists,LEFT($E17,1)="+"),"+",_xlpm._exists,"*",NOT(_xlpm._exists),"")
)</f>
        <v/>
      </c>
      <c r="N17" s="33" t="str" cm="1">
        <f t="array" aca="1" ref="N1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($E17=CLASSIFICATION[[Keyword Aggr]:[Keyword Aggr]])*($D17=CLASSIFICATION[[Functional Scope Aggr]:[Functional Scope Aggr]])),
_xlpm._platform_keywords, _xlfn.TEXTSPLIT(SUBSTITUTE(SUBSTITUTE(VLOOKUP($D17,_xlpm._platform_range,3,FALSE),"+"&amp;CHAR(34),"+"),CHAR(34),""),", "),
_xlpm._exists, SUMPRODUCT(--ISNUMBER(MATCH(_xlpm._platform_keywords,_xlpm._original_keywords,0)))&gt;0,
_xlfn.IFS(AND(_xlpm._exists,LEFT($E17,1)="+"),"+",_xlpm._exists,"*",NOT(_xlpm._exists),"")
)</f>
        <v>*</v>
      </c>
      <c r="O17" s="33" t="str" cm="1">
        <f t="array" aca="1" ref="O1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($E17=CLASSIFICATION[[Keyword Aggr]:[Keyword Aggr]])*($D17=CLASSIFICATION[[Functional Scope Aggr]:[Functional Scope Aggr]])),
_xlpm._platform_keywords, _xlfn.TEXTSPLIT(SUBSTITUTE(SUBSTITUTE(VLOOKUP($D17,_xlpm._platform_range,3,FALSE),"+"&amp;CHAR(34),"+"),CHAR(34),""),", "),
_xlpm._exists, SUMPRODUCT(--ISNUMBER(MATCH(_xlpm._platform_keywords,_xlpm._original_keywords,0)))&gt;0,
_xlfn.IFS(AND(_xlpm._exists,LEFT($E17,1)="+"),"+",_xlpm._exists,"*",NOT(_xlpm._exists),"")
)</f>
        <v/>
      </c>
      <c r="Q17" s="33" t="str" cm="1">
        <f t="array" aca="1" ref="Q1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($E17=CLASSIFICATION[[Keyword Aggr]:[Keyword Aggr]])*($D17=CLASSIFICATION[[Functional Scope Aggr]:[Functional Scope Aggr]])),
_xlpm._platform_keywords, _xlfn.TEXTSPLIT(SUBSTITUTE(SUBSTITUTE(VLOOKUP($D17,_xlpm._platform_range,3,FALSE),"+"&amp;CHAR(34),"+"),CHAR(34),""),", "),
_xlpm._exists, SUMPRODUCT(--ISNUMBER(MATCH(_xlpm._platform_keywords,_xlpm._original_keywords,0)))&gt;0,
_xlfn.IFS(_xlpm._exists,1,NOT(_xlpm._exists),"")
)</f>
        <v/>
      </c>
      <c r="R17" s="33" t="str" cm="1">
        <f t="array" aca="1" ref="R1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($E17=CLASSIFICATION[[Keyword Aggr]:[Keyword Aggr]])*($D17=CLASSIFICATION[[Functional Scope Aggr]:[Functional Scope Aggr]])),
_xlpm._platform_keywords, _xlfn.TEXTSPLIT(SUBSTITUTE(SUBSTITUTE(VLOOKUP($D17,_xlpm._platform_range,3,FALSE),"+"&amp;CHAR(34),"+"),CHAR(34),""),", "),
_xlpm._exists, SUMPRODUCT(--ISNUMBER(MATCH(_xlpm._platform_keywords,_xlpm._original_keywords,0)))&gt;0,
_xlfn.IFS(_xlpm._exists,1,NOT(_xlpm._exists),"")
)</f>
        <v/>
      </c>
      <c r="S17" s="33" t="str" cm="1">
        <f t="array" aca="1" ref="S1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($E17=CLASSIFICATION[[Keyword Aggr]:[Keyword Aggr]])*($D17=CLASSIFICATION[[Functional Scope Aggr]:[Functional Scope Aggr]])),
_xlpm._platform_keywords, _xlfn.TEXTSPLIT(SUBSTITUTE(SUBSTITUTE(VLOOKUP($D17,_xlpm._platform_range,3,FALSE),"+"&amp;CHAR(34),"+"),CHAR(34),""),", "),
_xlpm._exists, SUMPRODUCT(--ISNUMBER(MATCH(_xlpm._platform_keywords,_xlpm._original_keywords,0)))&gt;0,
_xlfn.IFS(_xlpm._exists,1,NOT(_xlpm._exists),"")
)</f>
        <v/>
      </c>
      <c r="T17" s="33" t="str" cm="1">
        <f t="array" aca="1" ref="T1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($E17=CLASSIFICATION[[Keyword Aggr]:[Keyword Aggr]])*($D17=CLASSIFICATION[[Functional Scope Aggr]:[Functional Scope Aggr]])),
_xlpm._platform_keywords, _xlfn.TEXTSPLIT(SUBSTITUTE(SUBSTITUTE(VLOOKUP($D17,_xlpm._platform_range,3,FALSE),"+"&amp;CHAR(34),"+"),CHAR(34),""),", "),
_xlpm._exists, SUMPRODUCT(--ISNUMBER(MATCH(_xlpm._platform_keywords,_xlpm._original_keywords,0)))&gt;0,
_xlfn.IFS(_xlpm._exists,1,NOT(_xlpm._exists),"")
)</f>
        <v/>
      </c>
      <c r="U17" s="33" cm="1">
        <f t="array" aca="1" ref="U1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($E17=CLASSIFICATION[[Keyword Aggr]:[Keyword Aggr]])*($D17=CLASSIFICATION[[Functional Scope Aggr]:[Functional Scope Aggr]])),
_xlpm._platform_keywords, _xlfn.TEXTSPLIT(SUBSTITUTE(SUBSTITUTE(VLOOKUP($D17,_xlpm._platform_range,3,FALSE),"+"&amp;CHAR(34),"+"),CHAR(34),""),", "),
_xlpm._exists, SUMPRODUCT(--ISNUMBER(MATCH(_xlpm._platform_keywords,_xlpm._original_keywords,0)))&gt;0,
_xlfn.IFS(_xlpm._exists,1,NOT(_xlpm._exists),"")
)</f>
        <v>1</v>
      </c>
      <c r="V17" s="33" t="str" cm="1">
        <f t="array" aca="1" ref="V1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($E17=CLASSIFICATION[[Keyword Aggr]:[Keyword Aggr]])*($D17=CLASSIFICATION[[Functional Scope Aggr]:[Functional Scope Aggr]])),
_xlpm._platform_keywords, _xlfn.TEXTSPLIT(SUBSTITUTE(SUBSTITUTE(VLOOKUP($D17,_xlpm._platform_range,3,FALSE),"+"&amp;CHAR(34),"+"),CHAR(34),""),", "),
_xlpm._exists, SUMPRODUCT(--ISNUMBER(MATCH(_xlpm._platform_keywords,_xlpm._original_keywords,0)))&gt;0,
_xlfn.IFS(_xlpm._exists,1,NOT(_xlpm._exists),"")
)</f>
        <v/>
      </c>
      <c r="X17" s="33" t="str">
        <f t="shared" si="4"/>
        <v/>
      </c>
      <c r="Y17" s="33" t="str">
        <f t="shared" si="5"/>
        <v/>
      </c>
      <c r="Z17" s="33" t="str">
        <f t="shared" si="6"/>
        <v/>
      </c>
      <c r="AA17" s="33" t="str">
        <f t="shared" si="7"/>
        <v/>
      </c>
      <c r="AB17" s="33" t="str">
        <f t="shared" si="8"/>
        <v/>
      </c>
      <c r="AC17" s="33" t="str">
        <f t="shared" si="9"/>
        <v/>
      </c>
    </row>
    <row r="18" spans="1:29" x14ac:dyDescent="0.25">
      <c r="A18" s="19" t="str">
        <v>Design,Database model,Relational Database</v>
      </c>
      <c r="B18" t="s">
        <v>377</v>
      </c>
      <c r="C18" s="19" t="str" cm="1">
        <f t="array" ref="C18:E18">_xlfn.TEXTSPLIT(A18,",")</f>
        <v>Design</v>
      </c>
      <c r="D18" s="19" t="str">
        <v>Database model</v>
      </c>
      <c r="E18" s="19" t="str">
        <v>Relational Database</v>
      </c>
      <c r="F18" s="36" t="str" cm="1">
        <f t="array" ref="F18">_xlfn.TEXTJOIN(",",TRUE,_xlfn._xlws.FILTER(CLASSIFICATION[Keyword], ($E18=CLASSIFICATION[Keyword Aggr])*($D18=CLASSIFICATION[Functional Scope Aggr])))</f>
        <v>Foreign Key,Indexes,Many-to-Many,One-to-Many,One-to-One,Primary Key</v>
      </c>
      <c r="G18" s="32" t="str">
        <f t="shared" si="2"/>
        <v/>
      </c>
      <c r="H18" s="32" t="str">
        <f t="shared" si="3"/>
        <v/>
      </c>
      <c r="I18" s="32" t="str">
        <f t="shared" ref="I18:I66" si="10">E18</f>
        <v>Relational Database</v>
      </c>
      <c r="J18" s="33" t="str" cm="1">
        <f t="array" aca="1" ref="J1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($E18=CLASSIFICATION[[Keyword Aggr]:[Keyword Aggr]])*($D18=CLASSIFICATION[[Functional Scope Aggr]:[Functional Scope Aggr]])),
_xlpm._platform_keywords, _xlfn.TEXTSPLIT(SUBSTITUTE(SUBSTITUTE(VLOOKUP($D18,_xlpm._platform_range,3,FALSE),"+"&amp;CHAR(34),"+"),CHAR(34),""),", "),
_xlpm._exists, SUMPRODUCT(--ISNUMBER(MATCH(_xlpm._platform_keywords,_xlpm._original_keywords,0)))&gt;0,
_xlfn.IFS(AND(_xlpm._exists,LEFT($E18,1)="+"),"+",_xlpm._exists,"*",NOT(_xlpm._exists),"")
)</f>
        <v>*</v>
      </c>
      <c r="K18" s="33" t="str" cm="1">
        <f t="array" aca="1" ref="K1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($E18=CLASSIFICATION[[Keyword Aggr]:[Keyword Aggr]])*($D18=CLASSIFICATION[[Functional Scope Aggr]:[Functional Scope Aggr]])),
_xlpm._platform_keywords, _xlfn.TEXTSPLIT(SUBSTITUTE(SUBSTITUTE(VLOOKUP($D18,_xlpm._platform_range,3,FALSE),"+"&amp;CHAR(34),"+"),CHAR(34),""),", "),
_xlpm._exists, SUMPRODUCT(--ISNUMBER(MATCH(_xlpm._platform_keywords,_xlpm._original_keywords,0)))&gt;0,
_xlfn.IFS(AND(_xlpm._exists,LEFT($E18,1)="+"),"+",_xlpm._exists,"*",NOT(_xlpm._exists),"")
)</f>
        <v>*</v>
      </c>
      <c r="L18" s="33" t="str" cm="1">
        <f t="array" aca="1" ref="L1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($E18=CLASSIFICATION[[Keyword Aggr]:[Keyword Aggr]])*($D18=CLASSIFICATION[[Functional Scope Aggr]:[Functional Scope Aggr]])),
_xlpm._platform_keywords, _xlfn.TEXTSPLIT(SUBSTITUTE(SUBSTITUTE(VLOOKUP($D18,_xlpm._platform_range,3,FALSE),"+"&amp;CHAR(34),"+"),CHAR(34),""),", "),
_xlpm._exists, SUMPRODUCT(--ISNUMBER(MATCH(_xlpm._platform_keywords,_xlpm._original_keywords,0)))&gt;0,
_xlfn.IFS(AND(_xlpm._exists,LEFT($E18,1)="+"),"+",_xlpm._exists,"*",NOT(_xlpm._exists),"")
)</f>
        <v>*</v>
      </c>
      <c r="M18" s="33" t="str" cm="1">
        <f t="array" aca="1" ref="M1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($E18=CLASSIFICATION[[Keyword Aggr]:[Keyword Aggr]])*($D18=CLASSIFICATION[[Functional Scope Aggr]:[Functional Scope Aggr]])),
_xlpm._platform_keywords, _xlfn.TEXTSPLIT(SUBSTITUTE(SUBSTITUTE(VLOOKUP($D18,_xlpm._platform_range,3,FALSE),"+"&amp;CHAR(34),"+"),CHAR(34),""),", "),
_xlpm._exists, SUMPRODUCT(--ISNUMBER(MATCH(_xlpm._platform_keywords,_xlpm._original_keywords,0)))&gt;0,
_xlfn.IFS(AND(_xlpm._exists,LEFT($E18,1)="+"),"+",_xlpm._exists,"*",NOT(_xlpm._exists),"")
)</f>
        <v>*</v>
      </c>
      <c r="N18" s="33" t="str" cm="1">
        <f t="array" aca="1" ref="N1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($E18=CLASSIFICATION[[Keyword Aggr]:[Keyword Aggr]])*($D18=CLASSIFICATION[[Functional Scope Aggr]:[Functional Scope Aggr]])),
_xlpm._platform_keywords, _xlfn.TEXTSPLIT(SUBSTITUTE(SUBSTITUTE(VLOOKUP($D18,_xlpm._platform_range,3,FALSE),"+"&amp;CHAR(34),"+"),CHAR(34),""),", "),
_xlpm._exists, SUMPRODUCT(--ISNUMBER(MATCH(_xlpm._platform_keywords,_xlpm._original_keywords,0)))&gt;0,
_xlfn.IFS(AND(_xlpm._exists,LEFT($E18,1)="+"),"+",_xlpm._exists,"*",NOT(_xlpm._exists),"")
)</f>
        <v/>
      </c>
      <c r="O18" s="33" t="str" cm="1">
        <f t="array" aca="1" ref="O1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($E18=CLASSIFICATION[[Keyword Aggr]:[Keyword Aggr]])*($D18=CLASSIFICATION[[Functional Scope Aggr]:[Functional Scope Aggr]])),
_xlpm._platform_keywords, _xlfn.TEXTSPLIT(SUBSTITUTE(SUBSTITUTE(VLOOKUP($D18,_xlpm._platform_range,3,FALSE),"+"&amp;CHAR(34),"+"),CHAR(34),""),", "),
_xlpm._exists, SUMPRODUCT(--ISNUMBER(MATCH(_xlpm._platform_keywords,_xlpm._original_keywords,0)))&gt;0,
_xlfn.IFS(AND(_xlpm._exists,LEFT($E18,1)="+"),"+",_xlpm._exists,"*",NOT(_xlpm._exists),"")
)</f>
        <v/>
      </c>
      <c r="Q18" s="33" cm="1">
        <f t="array" aca="1" ref="Q1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($E18=CLASSIFICATION[[Keyword Aggr]:[Keyword Aggr]])*($D18=CLASSIFICATION[[Functional Scope Aggr]:[Functional Scope Aggr]])),
_xlpm._platform_keywords, _xlfn.TEXTSPLIT(SUBSTITUTE(SUBSTITUTE(VLOOKUP($D18,_xlpm._platform_range,3,FALSE),"+"&amp;CHAR(34),"+"),CHAR(34),""),", "),
_xlpm._exists, SUMPRODUCT(--ISNUMBER(MATCH(_xlpm._platform_keywords,_xlpm._original_keywords,0)))&gt;0,
_xlfn.IFS(_xlpm._exists,1,NOT(_xlpm._exists),"")
)</f>
        <v>1</v>
      </c>
      <c r="R18" s="33" cm="1">
        <f t="array" aca="1" ref="R1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($E18=CLASSIFICATION[[Keyword Aggr]:[Keyword Aggr]])*($D18=CLASSIFICATION[[Functional Scope Aggr]:[Functional Scope Aggr]])),
_xlpm._platform_keywords, _xlfn.TEXTSPLIT(SUBSTITUTE(SUBSTITUTE(VLOOKUP($D18,_xlpm._platform_range,3,FALSE),"+"&amp;CHAR(34),"+"),CHAR(34),""),", "),
_xlpm._exists, SUMPRODUCT(--ISNUMBER(MATCH(_xlpm._platform_keywords,_xlpm._original_keywords,0)))&gt;0,
_xlfn.IFS(_xlpm._exists,1,NOT(_xlpm._exists),"")
)</f>
        <v>1</v>
      </c>
      <c r="S18" s="33" cm="1">
        <f t="array" aca="1" ref="S1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($E18=CLASSIFICATION[[Keyword Aggr]:[Keyword Aggr]])*($D18=CLASSIFICATION[[Functional Scope Aggr]:[Functional Scope Aggr]])),
_xlpm._platform_keywords, _xlfn.TEXTSPLIT(SUBSTITUTE(SUBSTITUTE(VLOOKUP($D18,_xlpm._platform_range,3,FALSE),"+"&amp;CHAR(34),"+"),CHAR(34),""),", "),
_xlpm._exists, SUMPRODUCT(--ISNUMBER(MATCH(_xlpm._platform_keywords,_xlpm._original_keywords,0)))&gt;0,
_xlfn.IFS(_xlpm._exists,1,NOT(_xlpm._exists),"")
)</f>
        <v>1</v>
      </c>
      <c r="T18" s="33" cm="1">
        <f t="array" aca="1" ref="T1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($E18=CLASSIFICATION[[Keyword Aggr]:[Keyword Aggr]])*($D18=CLASSIFICATION[[Functional Scope Aggr]:[Functional Scope Aggr]])),
_xlpm._platform_keywords, _xlfn.TEXTSPLIT(SUBSTITUTE(SUBSTITUTE(VLOOKUP($D18,_xlpm._platform_range,3,FALSE),"+"&amp;CHAR(34),"+"),CHAR(34),""),", "),
_xlpm._exists, SUMPRODUCT(--ISNUMBER(MATCH(_xlpm._platform_keywords,_xlpm._original_keywords,0)))&gt;0,
_xlfn.IFS(_xlpm._exists,1,NOT(_xlpm._exists),"")
)</f>
        <v>1</v>
      </c>
      <c r="U18" s="33" t="str" cm="1">
        <f t="array" aca="1" ref="U1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($E18=CLASSIFICATION[[Keyword Aggr]:[Keyword Aggr]])*($D18=CLASSIFICATION[[Functional Scope Aggr]:[Functional Scope Aggr]])),
_xlpm._platform_keywords, _xlfn.TEXTSPLIT(SUBSTITUTE(SUBSTITUTE(VLOOKUP($D18,_xlpm._platform_range,3,FALSE),"+"&amp;CHAR(34),"+"),CHAR(34),""),", "),
_xlpm._exists, SUMPRODUCT(--ISNUMBER(MATCH(_xlpm._platform_keywords,_xlpm._original_keywords,0)))&gt;0,
_xlfn.IFS(_xlpm._exists,1,NOT(_xlpm._exists),"")
)</f>
        <v/>
      </c>
      <c r="V18" s="33" t="str" cm="1">
        <f t="array" aca="1" ref="V1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($E18=CLASSIFICATION[[Keyword Aggr]:[Keyword Aggr]])*($D18=CLASSIFICATION[[Functional Scope Aggr]:[Functional Scope Aggr]])),
_xlpm._platform_keywords, _xlfn.TEXTSPLIT(SUBSTITUTE(SUBSTITUTE(VLOOKUP($D18,_xlpm._platform_range,3,FALSE),"+"&amp;CHAR(34),"+"),CHAR(34),""),", "),
_xlpm._exists, SUMPRODUCT(--ISNUMBER(MATCH(_xlpm._platform_keywords,_xlpm._original_keywords,0)))&gt;0,
_xlfn.IFS(_xlpm._exists,1,NOT(_xlpm._exists),"")
)</f>
        <v/>
      </c>
      <c r="X18" s="33" t="str">
        <f t="shared" si="4"/>
        <v/>
      </c>
      <c r="Y18" s="33" t="str">
        <f t="shared" si="5"/>
        <v/>
      </c>
      <c r="Z18" s="33" t="str">
        <f t="shared" si="6"/>
        <v/>
      </c>
      <c r="AA18" s="33" t="str">
        <f t="shared" si="7"/>
        <v/>
      </c>
      <c r="AB18" s="33" t="str">
        <f t="shared" si="8"/>
        <v/>
      </c>
      <c r="AC18" s="33" t="str">
        <f t="shared" si="9"/>
        <v/>
      </c>
    </row>
    <row r="19" spans="1:29" x14ac:dyDescent="0.25">
      <c r="A19" s="19" t="str">
        <v>Design,Database model,XML/XPath</v>
      </c>
      <c r="B19" t="s">
        <v>377</v>
      </c>
      <c r="C19" s="19" t="str" cm="1">
        <f t="array" ref="C19:E19">_xlfn.TEXTSPLIT(A19,",")</f>
        <v>Design</v>
      </c>
      <c r="D19" s="19" t="str">
        <v>Database model</v>
      </c>
      <c r="E19" s="19" t="str">
        <v>XML/XPath</v>
      </c>
      <c r="F19" s="36" t="str" cm="1">
        <f t="array" ref="F19">_xlfn.TEXTJOIN(",",TRUE,_xlfn._xlws.FILTER(CLASSIFICATION[Keyword], ($E19=CLASSIFICATION[Keyword Aggr])*($D19=CLASSIFICATION[Functional Scope Aggr])))</f>
        <v>XML,XPath,XML/Xpath</v>
      </c>
      <c r="G19" s="32" t="str">
        <f t="shared" si="2"/>
        <v/>
      </c>
      <c r="H19" s="32" t="str">
        <f t="shared" si="3"/>
        <v/>
      </c>
      <c r="I19" s="32" t="str">
        <f t="shared" si="10"/>
        <v>XML/XPath</v>
      </c>
      <c r="J19" s="33" t="str" cm="1">
        <f t="array" aca="1" ref="J1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($E19=CLASSIFICATION[[Keyword Aggr]:[Keyword Aggr]])*($D19=CLASSIFICATION[[Functional Scope Aggr]:[Functional Scope Aggr]])),
_xlpm._platform_keywords, _xlfn.TEXTSPLIT(SUBSTITUTE(SUBSTITUTE(VLOOKUP($D19,_xlpm._platform_range,3,FALSE),"+"&amp;CHAR(34),"+"),CHAR(34),""),", "),
_xlpm._exists, SUMPRODUCT(--ISNUMBER(MATCH(_xlpm._platform_keywords,_xlpm._original_keywords,0)))&gt;0,
_xlfn.IFS(AND(_xlpm._exists,LEFT($E19,1)="+"),"+",_xlpm._exists,"*",NOT(_xlpm._exists),"")
)</f>
        <v>*</v>
      </c>
      <c r="K19" s="33" t="str" cm="1">
        <f t="array" aca="1" ref="K1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($E19=CLASSIFICATION[[Keyword Aggr]:[Keyword Aggr]])*($D19=CLASSIFICATION[[Functional Scope Aggr]:[Functional Scope Aggr]])),
_xlpm._platform_keywords, _xlfn.TEXTSPLIT(SUBSTITUTE(SUBSTITUTE(VLOOKUP($D19,_xlpm._platform_range,3,FALSE),"+"&amp;CHAR(34),"+"),CHAR(34),""),", "),
_xlpm._exists, SUMPRODUCT(--ISNUMBER(MATCH(_xlpm._platform_keywords,_xlpm._original_keywords,0)))&gt;0,
_xlfn.IFS(AND(_xlpm._exists,LEFT($E19,1)="+"),"+",_xlpm._exists,"*",NOT(_xlpm._exists),"")
)</f>
        <v/>
      </c>
      <c r="L19" s="33" t="str" cm="1">
        <f t="array" aca="1" ref="L1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($E19=CLASSIFICATION[[Keyword Aggr]:[Keyword Aggr]])*($D19=CLASSIFICATION[[Functional Scope Aggr]:[Functional Scope Aggr]])),
_xlpm._platform_keywords, _xlfn.TEXTSPLIT(SUBSTITUTE(SUBSTITUTE(VLOOKUP($D19,_xlpm._platform_range,3,FALSE),"+"&amp;CHAR(34),"+"),CHAR(34),""),", "),
_xlpm._exists, SUMPRODUCT(--ISNUMBER(MATCH(_xlpm._platform_keywords,_xlpm._original_keywords,0)))&gt;0,
_xlfn.IFS(AND(_xlpm._exists,LEFT($E19,1)="+"),"+",_xlpm._exists,"*",NOT(_xlpm._exists),"")
)</f>
        <v/>
      </c>
      <c r="M19" s="33" t="str" cm="1">
        <f t="array" aca="1" ref="M1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($E19=CLASSIFICATION[[Keyword Aggr]:[Keyword Aggr]])*($D19=CLASSIFICATION[[Functional Scope Aggr]:[Functional Scope Aggr]])),
_xlpm._platform_keywords, _xlfn.TEXTSPLIT(SUBSTITUTE(SUBSTITUTE(VLOOKUP($D19,_xlpm._platform_range,3,FALSE),"+"&amp;CHAR(34),"+"),CHAR(34),""),", "),
_xlpm._exists, SUMPRODUCT(--ISNUMBER(MATCH(_xlpm._platform_keywords,_xlpm._original_keywords,0)))&gt;0,
_xlfn.IFS(AND(_xlpm._exists,LEFT($E19,1)="+"),"+",_xlpm._exists,"*",NOT(_xlpm._exists),"")
)</f>
        <v/>
      </c>
      <c r="N19" s="33" t="str" cm="1">
        <f t="array" aca="1" ref="N1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($E19=CLASSIFICATION[[Keyword Aggr]:[Keyword Aggr]])*($D19=CLASSIFICATION[[Functional Scope Aggr]:[Functional Scope Aggr]])),
_xlpm._platform_keywords, _xlfn.TEXTSPLIT(SUBSTITUTE(SUBSTITUTE(VLOOKUP($D19,_xlpm._platform_range,3,FALSE),"+"&amp;CHAR(34),"+"),CHAR(34),""),", "),
_xlpm._exists, SUMPRODUCT(--ISNUMBER(MATCH(_xlpm._platform_keywords,_xlpm._original_keywords,0)))&gt;0,
_xlfn.IFS(AND(_xlpm._exists,LEFT($E19,1)="+"),"+",_xlpm._exists,"*",NOT(_xlpm._exists),"")
)</f>
        <v/>
      </c>
      <c r="O19" s="33" t="str" cm="1">
        <f t="array" aca="1" ref="O1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($E19=CLASSIFICATION[[Keyword Aggr]:[Keyword Aggr]])*($D19=CLASSIFICATION[[Functional Scope Aggr]:[Functional Scope Aggr]])),
_xlpm._platform_keywords, _xlfn.TEXTSPLIT(SUBSTITUTE(SUBSTITUTE(VLOOKUP($D19,_xlpm._platform_range,3,FALSE),"+"&amp;CHAR(34),"+"),CHAR(34),""),", "),
_xlpm._exists, SUMPRODUCT(--ISNUMBER(MATCH(_xlpm._platform_keywords,_xlpm._original_keywords,0)))&gt;0,
_xlfn.IFS(AND(_xlpm._exists,LEFT($E19,1)="+"),"+",_xlpm._exists,"*",NOT(_xlpm._exists),"")
)</f>
        <v>*</v>
      </c>
      <c r="Q19" s="33" cm="1">
        <f t="array" aca="1" ref="Q1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($E19=CLASSIFICATION[[Keyword Aggr]:[Keyword Aggr]])*($D19=CLASSIFICATION[[Functional Scope Aggr]:[Functional Scope Aggr]])),
_xlpm._platform_keywords, _xlfn.TEXTSPLIT(SUBSTITUTE(SUBSTITUTE(VLOOKUP($D19,_xlpm._platform_range,3,FALSE),"+"&amp;CHAR(34),"+"),CHAR(34),""),", "),
_xlpm._exists, SUMPRODUCT(--ISNUMBER(MATCH(_xlpm._platform_keywords,_xlpm._original_keywords,0)))&gt;0,
_xlfn.IFS(_xlpm._exists,1,NOT(_xlpm._exists),"")
)</f>
        <v>1</v>
      </c>
      <c r="R19" s="33" t="str" cm="1">
        <f t="array" aca="1" ref="R1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($E19=CLASSIFICATION[[Keyword Aggr]:[Keyword Aggr]])*($D19=CLASSIFICATION[[Functional Scope Aggr]:[Functional Scope Aggr]])),
_xlpm._platform_keywords, _xlfn.TEXTSPLIT(SUBSTITUTE(SUBSTITUTE(VLOOKUP($D19,_xlpm._platform_range,3,FALSE),"+"&amp;CHAR(34),"+"),CHAR(34),""),", "),
_xlpm._exists, SUMPRODUCT(--ISNUMBER(MATCH(_xlpm._platform_keywords,_xlpm._original_keywords,0)))&gt;0,
_xlfn.IFS(_xlpm._exists,1,NOT(_xlpm._exists),"")
)</f>
        <v/>
      </c>
      <c r="S19" s="33" t="str" cm="1">
        <f t="array" aca="1" ref="S1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($E19=CLASSIFICATION[[Keyword Aggr]:[Keyword Aggr]])*($D19=CLASSIFICATION[[Functional Scope Aggr]:[Functional Scope Aggr]])),
_xlpm._platform_keywords, _xlfn.TEXTSPLIT(SUBSTITUTE(SUBSTITUTE(VLOOKUP($D19,_xlpm._platform_range,3,FALSE),"+"&amp;CHAR(34),"+"),CHAR(34),""),", "),
_xlpm._exists, SUMPRODUCT(--ISNUMBER(MATCH(_xlpm._platform_keywords,_xlpm._original_keywords,0)))&gt;0,
_xlfn.IFS(_xlpm._exists,1,NOT(_xlpm._exists),"")
)</f>
        <v/>
      </c>
      <c r="T19" s="33" t="str" cm="1">
        <f t="array" aca="1" ref="T1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($E19=CLASSIFICATION[[Keyword Aggr]:[Keyword Aggr]])*($D19=CLASSIFICATION[[Functional Scope Aggr]:[Functional Scope Aggr]])),
_xlpm._platform_keywords, _xlfn.TEXTSPLIT(SUBSTITUTE(SUBSTITUTE(VLOOKUP($D19,_xlpm._platform_range,3,FALSE),"+"&amp;CHAR(34),"+"),CHAR(34),""),", "),
_xlpm._exists, SUMPRODUCT(--ISNUMBER(MATCH(_xlpm._platform_keywords,_xlpm._original_keywords,0)))&gt;0,
_xlfn.IFS(_xlpm._exists,1,NOT(_xlpm._exists),"")
)</f>
        <v/>
      </c>
      <c r="U19" s="33" t="str" cm="1">
        <f t="array" aca="1" ref="U1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($E19=CLASSIFICATION[[Keyword Aggr]:[Keyword Aggr]])*($D19=CLASSIFICATION[[Functional Scope Aggr]:[Functional Scope Aggr]])),
_xlpm._platform_keywords, _xlfn.TEXTSPLIT(SUBSTITUTE(SUBSTITUTE(VLOOKUP($D19,_xlpm._platform_range,3,FALSE),"+"&amp;CHAR(34),"+"),CHAR(34),""),", "),
_xlpm._exists, SUMPRODUCT(--ISNUMBER(MATCH(_xlpm._platform_keywords,_xlpm._original_keywords,0)))&gt;0,
_xlfn.IFS(_xlpm._exists,1,NOT(_xlpm._exists),"")
)</f>
        <v/>
      </c>
      <c r="V19" s="33" cm="1">
        <f t="array" aca="1" ref="V1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($E19=CLASSIFICATION[[Keyword Aggr]:[Keyword Aggr]])*($D19=CLASSIFICATION[[Functional Scope Aggr]:[Functional Scope Aggr]])),
_xlpm._platform_keywords, _xlfn.TEXTSPLIT(SUBSTITUTE(SUBSTITUTE(VLOOKUP($D19,_xlpm._platform_range,3,FALSE),"+"&amp;CHAR(34),"+"),CHAR(34),""),", "),
_xlpm._exists, SUMPRODUCT(--ISNUMBER(MATCH(_xlpm._platform_keywords,_xlpm._original_keywords,0)))&gt;0,
_xlfn.IFS(_xlpm._exists,1,NOT(_xlpm._exists),"")
)</f>
        <v>1</v>
      </c>
      <c r="X19" s="33" t="str">
        <f t="shared" si="4"/>
        <v/>
      </c>
      <c r="Y19" s="33" t="str">
        <f t="shared" si="5"/>
        <v/>
      </c>
      <c r="Z19" s="33" t="str">
        <f t="shared" si="6"/>
        <v/>
      </c>
      <c r="AA19" s="33" t="str">
        <f t="shared" si="7"/>
        <v/>
      </c>
      <c r="AB19" s="33" t="str">
        <f t="shared" si="8"/>
        <v/>
      </c>
      <c r="AC19" s="33" t="str">
        <f t="shared" si="9"/>
        <v/>
      </c>
    </row>
    <row r="20" spans="1:29" x14ac:dyDescent="0.25">
      <c r="A20" s="19" t="str">
        <v>Design,UI model,+App templates</v>
      </c>
      <c r="B20" t="s">
        <v>377</v>
      </c>
      <c r="C20" s="19" t="str" cm="1">
        <f t="array" ref="C20:E20">_xlfn.TEXTSPLIT(A20,",")</f>
        <v>Design</v>
      </c>
      <c r="D20" s="19" t="str">
        <v>UI model</v>
      </c>
      <c r="E20" s="19" t="str">
        <v>+App templates</v>
      </c>
      <c r="F20" s="36" t="str" cm="1">
        <f t="array" ref="F20">_xlfn.TEXTJOIN(",",TRUE,_xlfn._xlws.FILTER(CLASSIFICATION[Keyword], ($E20=CLASSIFICATION[Keyword Aggr])*($D20=CLASSIFICATION[Functional Scope Aggr])))</f>
        <v>+App templates,+App templates (CUBBE)</v>
      </c>
      <c r="G20" s="32" t="str">
        <f t="shared" si="2"/>
        <v/>
      </c>
      <c r="H20" s="32" t="str">
        <f t="shared" si="3"/>
        <v>UI model</v>
      </c>
      <c r="I20" s="32" t="str">
        <f t="shared" si="10"/>
        <v>+App templates</v>
      </c>
      <c r="J20" s="33" t="str" cm="1">
        <f t="array" aca="1" ref="J2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($E20=CLASSIFICATION[[Keyword Aggr]:[Keyword Aggr]])*($D20=CLASSIFICATION[[Functional Scope Aggr]:[Functional Scope Aggr]])),
_xlpm._platform_keywords, _xlfn.TEXTSPLIT(SUBSTITUTE(SUBSTITUTE(VLOOKUP($D20,_xlpm._platform_range,3,FALSE),"+"&amp;CHAR(34),"+"),CHAR(34),""),", "),
_xlpm._exists, SUMPRODUCT(--ISNUMBER(MATCH(_xlpm._platform_keywords,_xlpm._original_keywords,0)))&gt;0,
_xlfn.IFS(AND(_xlpm._exists,LEFT($E20,1)="+"),"+",_xlpm._exists,"*",NOT(_xlpm._exists),"")
)</f>
        <v/>
      </c>
      <c r="K20" s="33" t="str" cm="1">
        <f t="array" aca="1" ref="K2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($E20=CLASSIFICATION[[Keyword Aggr]:[Keyword Aggr]])*($D20=CLASSIFICATION[[Functional Scope Aggr]:[Functional Scope Aggr]])),
_xlpm._platform_keywords, _xlfn.TEXTSPLIT(SUBSTITUTE(SUBSTITUTE(VLOOKUP($D20,_xlpm._platform_range,3,FALSE),"+"&amp;CHAR(34),"+"),CHAR(34),""),", "),
_xlpm._exists, SUMPRODUCT(--ISNUMBER(MATCH(_xlpm._platform_keywords,_xlpm._original_keywords,0)))&gt;0,
_xlfn.IFS(AND(_xlpm._exists,LEFT($E20,1)="+"),"+",_xlpm._exists,"*",NOT(_xlpm._exists),"")
)</f>
        <v/>
      </c>
      <c r="L20" s="33" t="str" cm="1">
        <f t="array" aca="1" ref="L2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($E20=CLASSIFICATION[[Keyword Aggr]:[Keyword Aggr]])*($D20=CLASSIFICATION[[Functional Scope Aggr]:[Functional Scope Aggr]])),
_xlpm._platform_keywords, _xlfn.TEXTSPLIT(SUBSTITUTE(SUBSTITUTE(VLOOKUP($D20,_xlpm._platform_range,3,FALSE),"+"&amp;CHAR(34),"+"),CHAR(34),""),", "),
_xlpm._exists, SUMPRODUCT(--ISNUMBER(MATCH(_xlpm._platform_keywords,_xlpm._original_keywords,0)))&gt;0,
_xlfn.IFS(AND(_xlpm._exists,LEFT($E20,1)="+"),"+",_xlpm._exists,"*",NOT(_xlpm._exists),"")
)</f>
        <v/>
      </c>
      <c r="M20" s="33" t="str" cm="1">
        <f t="array" aca="1" ref="M2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($E20=CLASSIFICATION[[Keyword Aggr]:[Keyword Aggr]])*($D20=CLASSIFICATION[[Functional Scope Aggr]:[Functional Scope Aggr]])),
_xlpm._platform_keywords, _xlfn.TEXTSPLIT(SUBSTITUTE(SUBSTITUTE(VLOOKUP($D20,_xlpm._platform_range,3,FALSE),"+"&amp;CHAR(34),"+"),CHAR(34),""),", "),
_xlpm._exists, SUMPRODUCT(--ISNUMBER(MATCH(_xlpm._platform_keywords,_xlpm._original_keywords,0)))&gt;0,
_xlfn.IFS(AND(_xlpm._exists,LEFT($E20,1)="+"),"+",_xlpm._exists,"*",NOT(_xlpm._exists),"")
)</f>
        <v/>
      </c>
      <c r="N20" s="33" t="str" cm="1">
        <f t="array" aca="1" ref="N2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($E20=CLASSIFICATION[[Keyword Aggr]:[Keyword Aggr]])*($D20=CLASSIFICATION[[Functional Scope Aggr]:[Functional Scope Aggr]])),
_xlpm._platform_keywords, _xlfn.TEXTSPLIT(SUBSTITUTE(SUBSTITUTE(VLOOKUP($D20,_xlpm._platform_range,3,FALSE),"+"&amp;CHAR(34),"+"),CHAR(34),""),", "),
_xlpm._exists, SUMPRODUCT(--ISNUMBER(MATCH(_xlpm._platform_keywords,_xlpm._original_keywords,0)))&gt;0,
_xlfn.IFS(AND(_xlpm._exists,LEFT($E20,1)="+"),"+",_xlpm._exists,"*",NOT(_xlpm._exists),"")
)</f>
        <v>+</v>
      </c>
      <c r="O20" s="33" t="str" cm="1">
        <f t="array" aca="1" ref="O2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($E20=CLASSIFICATION[[Keyword Aggr]:[Keyword Aggr]])*($D20=CLASSIFICATION[[Functional Scope Aggr]:[Functional Scope Aggr]])),
_xlpm._platform_keywords, _xlfn.TEXTSPLIT(SUBSTITUTE(SUBSTITUTE(VLOOKUP($D20,_xlpm._platform_range,3,FALSE),"+"&amp;CHAR(34),"+"),CHAR(34),""),", "),
_xlpm._exists, SUMPRODUCT(--ISNUMBER(MATCH(_xlpm._platform_keywords,_xlpm._original_keywords,0)))&gt;0,
_xlfn.IFS(AND(_xlpm._exists,LEFT($E20,1)="+"),"+",_xlpm._exists,"*",NOT(_xlpm._exists),"")
)</f>
        <v>+</v>
      </c>
      <c r="Q20" s="33" t="str" cm="1">
        <f t="array" aca="1" ref="Q2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($E20=CLASSIFICATION[[Keyword Aggr]:[Keyword Aggr]])*($D20=CLASSIFICATION[[Functional Scope Aggr]:[Functional Scope Aggr]])),
_xlpm._platform_keywords, _xlfn.TEXTSPLIT(SUBSTITUTE(SUBSTITUTE(VLOOKUP($D20,_xlpm._platform_range,3,FALSE),"+"&amp;CHAR(34),"+"),CHAR(34),""),", "),
_xlpm._exists, SUMPRODUCT(--ISNUMBER(MATCH(_xlpm._platform_keywords,_xlpm._original_keywords,0)))&gt;0,
_xlfn.IFS(_xlpm._exists,1,NOT(_xlpm._exists),"")
)</f>
        <v/>
      </c>
      <c r="R20" s="33" t="str" cm="1">
        <f t="array" aca="1" ref="R2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($E20=CLASSIFICATION[[Keyword Aggr]:[Keyword Aggr]])*($D20=CLASSIFICATION[[Functional Scope Aggr]:[Functional Scope Aggr]])),
_xlpm._platform_keywords, _xlfn.TEXTSPLIT(SUBSTITUTE(SUBSTITUTE(VLOOKUP($D20,_xlpm._platform_range,3,FALSE),"+"&amp;CHAR(34),"+"),CHAR(34),""),", "),
_xlpm._exists, SUMPRODUCT(--ISNUMBER(MATCH(_xlpm._platform_keywords,_xlpm._original_keywords,0)))&gt;0,
_xlfn.IFS(_xlpm._exists,1,NOT(_xlpm._exists),"")
)</f>
        <v/>
      </c>
      <c r="S20" s="33" t="str" cm="1">
        <f t="array" aca="1" ref="S2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($E20=CLASSIFICATION[[Keyword Aggr]:[Keyword Aggr]])*($D20=CLASSIFICATION[[Functional Scope Aggr]:[Functional Scope Aggr]])),
_xlpm._platform_keywords, _xlfn.TEXTSPLIT(SUBSTITUTE(SUBSTITUTE(VLOOKUP($D20,_xlpm._platform_range,3,FALSE),"+"&amp;CHAR(34),"+"),CHAR(34),""),", "),
_xlpm._exists, SUMPRODUCT(--ISNUMBER(MATCH(_xlpm._platform_keywords,_xlpm._original_keywords,0)))&gt;0,
_xlfn.IFS(_xlpm._exists,1,NOT(_xlpm._exists),"")
)</f>
        <v/>
      </c>
      <c r="T20" s="33" t="str" cm="1">
        <f t="array" aca="1" ref="T2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($E20=CLASSIFICATION[[Keyword Aggr]:[Keyword Aggr]])*($D20=CLASSIFICATION[[Functional Scope Aggr]:[Functional Scope Aggr]])),
_xlpm._platform_keywords, _xlfn.TEXTSPLIT(SUBSTITUTE(SUBSTITUTE(VLOOKUP($D20,_xlpm._platform_range,3,FALSE),"+"&amp;CHAR(34),"+"),CHAR(34),""),", "),
_xlpm._exists, SUMPRODUCT(--ISNUMBER(MATCH(_xlpm._platform_keywords,_xlpm._original_keywords,0)))&gt;0,
_xlfn.IFS(_xlpm._exists,1,NOT(_xlpm._exists),"")
)</f>
        <v/>
      </c>
      <c r="U20" s="33" cm="1">
        <f t="array" aca="1" ref="U2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($E20=CLASSIFICATION[[Keyword Aggr]:[Keyword Aggr]])*($D20=CLASSIFICATION[[Functional Scope Aggr]:[Functional Scope Aggr]])),
_xlpm._platform_keywords, _xlfn.TEXTSPLIT(SUBSTITUTE(SUBSTITUTE(VLOOKUP($D20,_xlpm._platform_range,3,FALSE),"+"&amp;CHAR(34),"+"),CHAR(34),""),", "),
_xlpm._exists, SUMPRODUCT(--ISNUMBER(MATCH(_xlpm._platform_keywords,_xlpm._original_keywords,0)))&gt;0,
_xlfn.IFS(_xlpm._exists,1,NOT(_xlpm._exists),"")
)</f>
        <v>1</v>
      </c>
      <c r="V20" s="33" cm="1">
        <f t="array" aca="1" ref="V2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($E20=CLASSIFICATION[[Keyword Aggr]:[Keyword Aggr]])*($D20=CLASSIFICATION[[Functional Scope Aggr]:[Functional Scope Aggr]])),
_xlpm._platform_keywords, _xlfn.TEXTSPLIT(SUBSTITUTE(SUBSTITUTE(VLOOKUP($D20,_xlpm._platform_range,3,FALSE),"+"&amp;CHAR(34),"+"),CHAR(34),""),", "),
_xlpm._exists, SUMPRODUCT(--ISNUMBER(MATCH(_xlpm._platform_keywords,_xlpm._original_keywords,0)))&gt;0,
_xlfn.IFS(_xlpm._exists,1,NOT(_xlpm._exists),"")
)</f>
        <v>1</v>
      </c>
      <c r="X20" s="33">
        <f t="shared" ca="1" si="4"/>
        <v>3</v>
      </c>
      <c r="Y20" s="33">
        <f t="shared" ca="1" si="5"/>
        <v>3</v>
      </c>
      <c r="Z20" s="33">
        <f t="shared" ca="1" si="6"/>
        <v>2</v>
      </c>
      <c r="AA20" s="33">
        <f t="shared" ca="1" si="7"/>
        <v>2</v>
      </c>
      <c r="AB20" s="33">
        <f t="shared" ca="1" si="8"/>
        <v>2</v>
      </c>
      <c r="AC20" s="33">
        <f t="shared" ca="1" si="9"/>
        <v>2</v>
      </c>
    </row>
    <row r="21" spans="1:29" x14ac:dyDescent="0.25">
      <c r="A21" s="19" t="str">
        <v>Design,UI model,+Business Data Types</v>
      </c>
      <c r="B21" t="s">
        <v>377</v>
      </c>
      <c r="C21" s="19" t="str" cm="1">
        <f t="array" ref="C21:E21">_xlfn.TEXTSPLIT(A21,",")</f>
        <v>Design</v>
      </c>
      <c r="D21" s="19" t="str">
        <v>UI model</v>
      </c>
      <c r="E21" s="19" t="str">
        <v>+Business Data Types</v>
      </c>
      <c r="F21" s="36" t="str" cm="1">
        <f t="array" ref="F21">_xlfn.TEXTJOIN(",",TRUE,_xlfn._xlws.FILTER(CLASSIFICATION[Keyword], ($E21=CLASSIFICATION[Keyword Aggr])*($D21=CLASSIFICATION[Functional Scope Aggr])))</f>
        <v>+Business Data Types</v>
      </c>
      <c r="G21" s="32" t="str">
        <f t="shared" si="2"/>
        <v/>
      </c>
      <c r="H21" s="32" t="str">
        <f t="shared" si="3"/>
        <v/>
      </c>
      <c r="I21" s="32" t="str">
        <f t="shared" si="10"/>
        <v>+Business Data Types</v>
      </c>
      <c r="J21" s="33" t="str" cm="1">
        <f t="array" aca="1" ref="J2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($E21=CLASSIFICATION[[Keyword Aggr]:[Keyword Aggr]])*($D21=CLASSIFICATION[[Functional Scope Aggr]:[Functional Scope Aggr]])),
_xlpm._platform_keywords, _xlfn.TEXTSPLIT(SUBSTITUTE(SUBSTITUTE(VLOOKUP($D21,_xlpm._platform_range,3,FALSE),"+"&amp;CHAR(34),"+"),CHAR(34),""),", "),
_xlpm._exists, SUMPRODUCT(--ISNUMBER(MATCH(_xlpm._platform_keywords,_xlpm._original_keywords,0)))&gt;0,
_xlfn.IFS(AND(_xlpm._exists,LEFT($E21,1)="+"),"+",_xlpm._exists,"*",NOT(_xlpm._exists),"")
)</f>
        <v/>
      </c>
      <c r="K21" s="33" t="str" cm="1">
        <f t="array" aca="1" ref="K2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($E21=CLASSIFICATION[[Keyword Aggr]:[Keyword Aggr]])*($D21=CLASSIFICATION[[Functional Scope Aggr]:[Functional Scope Aggr]])),
_xlpm._platform_keywords, _xlfn.TEXTSPLIT(SUBSTITUTE(SUBSTITUTE(VLOOKUP($D21,_xlpm._platform_range,3,FALSE),"+"&amp;CHAR(34),"+"),CHAR(34),""),", "),
_xlpm._exists, SUMPRODUCT(--ISNUMBER(MATCH(_xlpm._platform_keywords,_xlpm._original_keywords,0)))&gt;0,
_xlfn.IFS(AND(_xlpm._exists,LEFT($E21,1)="+"),"+",_xlpm._exists,"*",NOT(_xlpm._exists),"")
)</f>
        <v>+</v>
      </c>
      <c r="L21" s="33" t="str" cm="1">
        <f t="array" aca="1" ref="L2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($E21=CLASSIFICATION[[Keyword Aggr]:[Keyword Aggr]])*($D21=CLASSIFICATION[[Functional Scope Aggr]:[Functional Scope Aggr]])),
_xlpm._platform_keywords, _xlfn.TEXTSPLIT(SUBSTITUTE(SUBSTITUTE(VLOOKUP($D21,_xlpm._platform_range,3,FALSE),"+"&amp;CHAR(34),"+"),CHAR(34),""),", "),
_xlpm._exists, SUMPRODUCT(--ISNUMBER(MATCH(_xlpm._platform_keywords,_xlpm._original_keywords,0)))&gt;0,
_xlfn.IFS(AND(_xlpm._exists,LEFT($E21,1)="+"),"+",_xlpm._exists,"*",NOT(_xlpm._exists),"")
)</f>
        <v>+</v>
      </c>
      <c r="M21" s="33" t="str" cm="1">
        <f t="array" aca="1" ref="M2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($E21=CLASSIFICATION[[Keyword Aggr]:[Keyword Aggr]])*($D21=CLASSIFICATION[[Functional Scope Aggr]:[Functional Scope Aggr]])),
_xlpm._platform_keywords, _xlfn.TEXTSPLIT(SUBSTITUTE(SUBSTITUTE(VLOOKUP($D21,_xlpm._platform_range,3,FALSE),"+"&amp;CHAR(34),"+"),CHAR(34),""),", "),
_xlpm._exists, SUMPRODUCT(--ISNUMBER(MATCH(_xlpm._platform_keywords,_xlpm._original_keywords,0)))&gt;0,
_xlfn.IFS(AND(_xlpm._exists,LEFT($E21,1)="+"),"+",_xlpm._exists,"*",NOT(_xlpm._exists),"")
)</f>
        <v/>
      </c>
      <c r="N21" s="33" t="str" cm="1">
        <f t="array" aca="1" ref="N2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($E21=CLASSIFICATION[[Keyword Aggr]:[Keyword Aggr]])*($D21=CLASSIFICATION[[Functional Scope Aggr]:[Functional Scope Aggr]])),
_xlpm._platform_keywords, _xlfn.TEXTSPLIT(SUBSTITUTE(SUBSTITUTE(VLOOKUP($D21,_xlpm._platform_range,3,FALSE),"+"&amp;CHAR(34),"+"),CHAR(34),""),", "),
_xlpm._exists, SUMPRODUCT(--ISNUMBER(MATCH(_xlpm._platform_keywords,_xlpm._original_keywords,0)))&gt;0,
_xlfn.IFS(AND(_xlpm._exists,LEFT($E21,1)="+"),"+",_xlpm._exists,"*",NOT(_xlpm._exists),"")
)</f>
        <v/>
      </c>
      <c r="O21" s="33" t="str" cm="1">
        <f t="array" aca="1" ref="O2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($E21=CLASSIFICATION[[Keyword Aggr]:[Keyword Aggr]])*($D21=CLASSIFICATION[[Functional Scope Aggr]:[Functional Scope Aggr]])),
_xlpm._platform_keywords, _xlfn.TEXTSPLIT(SUBSTITUTE(SUBSTITUTE(VLOOKUP($D21,_xlpm._platform_range,3,FALSE),"+"&amp;CHAR(34),"+"),CHAR(34),""),", "),
_xlpm._exists, SUMPRODUCT(--ISNUMBER(MATCH(_xlpm._platform_keywords,_xlpm._original_keywords,0)))&gt;0,
_xlfn.IFS(AND(_xlpm._exists,LEFT($E21,1)="+"),"+",_xlpm._exists,"*",NOT(_xlpm._exists),"")
)</f>
        <v>+</v>
      </c>
      <c r="Q21" s="33" t="str" cm="1">
        <f t="array" aca="1" ref="Q2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($E21=CLASSIFICATION[[Keyword Aggr]:[Keyword Aggr]])*($D21=CLASSIFICATION[[Functional Scope Aggr]:[Functional Scope Aggr]])),
_xlpm._platform_keywords, _xlfn.TEXTSPLIT(SUBSTITUTE(SUBSTITUTE(VLOOKUP($D21,_xlpm._platform_range,3,FALSE),"+"&amp;CHAR(34),"+"),CHAR(34),""),", "),
_xlpm._exists, SUMPRODUCT(--ISNUMBER(MATCH(_xlpm._platform_keywords,_xlpm._original_keywords,0)))&gt;0,
_xlfn.IFS(_xlpm._exists,1,NOT(_xlpm._exists),"")
)</f>
        <v/>
      </c>
      <c r="R21" s="33" cm="1">
        <f t="array" aca="1" ref="R2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($E21=CLASSIFICATION[[Keyword Aggr]:[Keyword Aggr]])*($D21=CLASSIFICATION[[Functional Scope Aggr]:[Functional Scope Aggr]])),
_xlpm._platform_keywords, _xlfn.TEXTSPLIT(SUBSTITUTE(SUBSTITUTE(VLOOKUP($D21,_xlpm._platform_range,3,FALSE),"+"&amp;CHAR(34),"+"),CHAR(34),""),", "),
_xlpm._exists, SUMPRODUCT(--ISNUMBER(MATCH(_xlpm._platform_keywords,_xlpm._original_keywords,0)))&gt;0,
_xlfn.IFS(_xlpm._exists,1,NOT(_xlpm._exists),"")
)</f>
        <v>1</v>
      </c>
      <c r="S21" s="33" cm="1">
        <f t="array" aca="1" ref="S2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($E21=CLASSIFICATION[[Keyword Aggr]:[Keyword Aggr]])*($D21=CLASSIFICATION[[Functional Scope Aggr]:[Functional Scope Aggr]])),
_xlpm._platform_keywords, _xlfn.TEXTSPLIT(SUBSTITUTE(SUBSTITUTE(VLOOKUP($D21,_xlpm._platform_range,3,FALSE),"+"&amp;CHAR(34),"+"),CHAR(34),""),", "),
_xlpm._exists, SUMPRODUCT(--ISNUMBER(MATCH(_xlpm._platform_keywords,_xlpm._original_keywords,0)))&gt;0,
_xlfn.IFS(_xlpm._exists,1,NOT(_xlpm._exists),"")
)</f>
        <v>1</v>
      </c>
      <c r="T21" s="33" t="str" cm="1">
        <f t="array" aca="1" ref="T2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($E21=CLASSIFICATION[[Keyword Aggr]:[Keyword Aggr]])*($D21=CLASSIFICATION[[Functional Scope Aggr]:[Functional Scope Aggr]])),
_xlpm._platform_keywords, _xlfn.TEXTSPLIT(SUBSTITUTE(SUBSTITUTE(VLOOKUP($D21,_xlpm._platform_range,3,FALSE),"+"&amp;CHAR(34),"+"),CHAR(34),""),", "),
_xlpm._exists, SUMPRODUCT(--ISNUMBER(MATCH(_xlpm._platform_keywords,_xlpm._original_keywords,0)))&gt;0,
_xlfn.IFS(_xlpm._exists,1,NOT(_xlpm._exists),"")
)</f>
        <v/>
      </c>
      <c r="U21" s="33" t="str" cm="1">
        <f t="array" aca="1" ref="U2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($E21=CLASSIFICATION[[Keyword Aggr]:[Keyword Aggr]])*($D21=CLASSIFICATION[[Functional Scope Aggr]:[Functional Scope Aggr]])),
_xlpm._platform_keywords, _xlfn.TEXTSPLIT(SUBSTITUTE(SUBSTITUTE(VLOOKUP($D21,_xlpm._platform_range,3,FALSE),"+"&amp;CHAR(34),"+"),CHAR(34),""),", "),
_xlpm._exists, SUMPRODUCT(--ISNUMBER(MATCH(_xlpm._platform_keywords,_xlpm._original_keywords,0)))&gt;0,
_xlfn.IFS(_xlpm._exists,1,NOT(_xlpm._exists),"")
)</f>
        <v/>
      </c>
      <c r="V21" s="33" cm="1">
        <f t="array" aca="1" ref="V2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($E21=CLASSIFICATION[[Keyword Aggr]:[Keyword Aggr]])*($D21=CLASSIFICATION[[Functional Scope Aggr]:[Functional Scope Aggr]])),
_xlpm._platform_keywords, _xlfn.TEXTSPLIT(SUBSTITUTE(SUBSTITUTE(VLOOKUP($D21,_xlpm._platform_range,3,FALSE),"+"&amp;CHAR(34),"+"),CHAR(34),""),", "),
_xlpm._exists, SUMPRODUCT(--ISNUMBER(MATCH(_xlpm._platform_keywords,_xlpm._original_keywords,0)))&gt;0,
_xlfn.IFS(_xlpm._exists,1,NOT(_xlpm._exists),"")
)</f>
        <v>1</v>
      </c>
      <c r="X21" s="33" t="str">
        <f t="shared" si="4"/>
        <v/>
      </c>
      <c r="Y21" s="33" t="str">
        <f t="shared" si="5"/>
        <v/>
      </c>
      <c r="Z21" s="33" t="str">
        <f t="shared" si="6"/>
        <v/>
      </c>
      <c r="AA21" s="33" t="str">
        <f t="shared" si="7"/>
        <v/>
      </c>
      <c r="AB21" s="33" t="str">
        <f t="shared" si="8"/>
        <v/>
      </c>
      <c r="AC21" s="33" t="str">
        <f t="shared" si="9"/>
        <v/>
      </c>
    </row>
    <row r="22" spans="1:29" x14ac:dyDescent="0.25">
      <c r="A22" s="19" t="str">
        <v>Design,UI model,+Screen Templates</v>
      </c>
      <c r="B22" t="s">
        <v>377</v>
      </c>
      <c r="C22" s="19" t="str" cm="1">
        <f t="array" ref="C22:E22">_xlfn.TEXTSPLIT(A22,",")</f>
        <v>Design</v>
      </c>
      <c r="D22" s="19" t="str">
        <v>UI model</v>
      </c>
      <c r="E22" s="19" t="str">
        <v>+Screen Templates</v>
      </c>
      <c r="F22" s="36" t="str" cm="1">
        <f t="array" ref="F22">_xlfn.TEXTJOIN(",",TRUE,_xlfn._xlws.FILTER(CLASSIFICATION[Keyword], ($E22=CLASSIFICATION[Keyword Aggr])*($D22=CLASSIFICATION[Functional Scope Aggr])))</f>
        <v>+Screen Templates,+Screen Templates / Sample Power Apps,+Screen templates / Zoho - Pre-built Apps</v>
      </c>
      <c r="G22" s="32" t="str">
        <f t="shared" si="2"/>
        <v/>
      </c>
      <c r="H22" s="32" t="str">
        <f t="shared" si="3"/>
        <v/>
      </c>
      <c r="I22" s="32" t="str">
        <f t="shared" si="10"/>
        <v>+Screen Templates</v>
      </c>
      <c r="J22" s="33" t="str" cm="1">
        <f t="array" aca="1" ref="J2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($E22=CLASSIFICATION[[Keyword Aggr]:[Keyword Aggr]])*($D22=CLASSIFICATION[[Functional Scope Aggr]:[Functional Scope Aggr]])),
_xlpm._platform_keywords, _xlfn.TEXTSPLIT(SUBSTITUTE(SUBSTITUTE(VLOOKUP($D22,_xlpm._platform_range,3,FALSE),"+"&amp;CHAR(34),"+"),CHAR(34),""),", "),
_xlpm._exists, SUMPRODUCT(--ISNUMBER(MATCH(_xlpm._platform_keywords,_xlpm._original_keywords,0)))&gt;0,
_xlfn.IFS(AND(_xlpm._exists,LEFT($E22,1)="+"),"+",_xlpm._exists,"*",NOT(_xlpm._exists),"")
)</f>
        <v/>
      </c>
      <c r="K22" s="33" t="str" cm="1">
        <f t="array" aca="1" ref="K2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($E22=CLASSIFICATION[[Keyword Aggr]:[Keyword Aggr]])*($D22=CLASSIFICATION[[Functional Scope Aggr]:[Functional Scope Aggr]])),
_xlpm._platform_keywords, _xlfn.TEXTSPLIT(SUBSTITUTE(SUBSTITUTE(VLOOKUP($D22,_xlpm._platform_range,3,FALSE),"+"&amp;CHAR(34),"+"),CHAR(34),""),", "),
_xlpm._exists, SUMPRODUCT(--ISNUMBER(MATCH(_xlpm._platform_keywords,_xlpm._original_keywords,0)))&gt;0,
_xlfn.IFS(AND(_xlpm._exists,LEFT($E22,1)="+"),"+",_xlpm._exists,"*",NOT(_xlpm._exists),"")
)</f>
        <v>+</v>
      </c>
      <c r="L22" s="33" t="str" cm="1">
        <f t="array" aca="1" ref="L2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($E22=CLASSIFICATION[[Keyword Aggr]:[Keyword Aggr]])*($D22=CLASSIFICATION[[Functional Scope Aggr]:[Functional Scope Aggr]])),
_xlpm._platform_keywords, _xlfn.TEXTSPLIT(SUBSTITUTE(SUBSTITUTE(VLOOKUP($D22,_xlpm._platform_range,3,FALSE),"+"&amp;CHAR(34),"+"),CHAR(34),""),", "),
_xlpm._exists, SUMPRODUCT(--ISNUMBER(MATCH(_xlpm._platform_keywords,_xlpm._original_keywords,0)))&gt;0,
_xlfn.IFS(AND(_xlpm._exists,LEFT($E22,1)="+"),"+",_xlpm._exists,"*",NOT(_xlpm._exists),"")
)</f>
        <v>+</v>
      </c>
      <c r="M22" s="33" t="str" cm="1">
        <f t="array" aca="1" ref="M2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($E22=CLASSIFICATION[[Keyword Aggr]:[Keyword Aggr]])*($D22=CLASSIFICATION[[Functional Scope Aggr]:[Functional Scope Aggr]])),
_xlpm._platform_keywords, _xlfn.TEXTSPLIT(SUBSTITUTE(SUBSTITUTE(VLOOKUP($D22,_xlpm._platform_range,3,FALSE),"+"&amp;CHAR(34),"+"),CHAR(34),""),", "),
_xlpm._exists, SUMPRODUCT(--ISNUMBER(MATCH(_xlpm._platform_keywords,_xlpm._original_keywords,0)))&gt;0,
_xlfn.IFS(AND(_xlpm._exists,LEFT($E22,1)="+"),"+",_xlpm._exists,"*",NOT(_xlpm._exists),"")
)</f>
        <v>+</v>
      </c>
      <c r="N22" s="33" t="str" cm="1">
        <f t="array" aca="1" ref="N2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($E22=CLASSIFICATION[[Keyword Aggr]:[Keyword Aggr]])*($D22=CLASSIFICATION[[Functional Scope Aggr]:[Functional Scope Aggr]])),
_xlpm._platform_keywords, _xlfn.TEXTSPLIT(SUBSTITUTE(SUBSTITUTE(VLOOKUP($D22,_xlpm._platform_range,3,FALSE),"+"&amp;CHAR(34),"+"),CHAR(34),""),", "),
_xlpm._exists, SUMPRODUCT(--ISNUMBER(MATCH(_xlpm._platform_keywords,_xlpm._original_keywords,0)))&gt;0,
_xlfn.IFS(AND(_xlpm._exists,LEFT($E22,1)="+"),"+",_xlpm._exists,"*",NOT(_xlpm._exists),"")
)</f>
        <v/>
      </c>
      <c r="O22" s="33" t="str" cm="1">
        <f t="array" aca="1" ref="O2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($E22=CLASSIFICATION[[Keyword Aggr]:[Keyword Aggr]])*($D22=CLASSIFICATION[[Functional Scope Aggr]:[Functional Scope Aggr]])),
_xlpm._platform_keywords, _xlfn.TEXTSPLIT(SUBSTITUTE(SUBSTITUTE(VLOOKUP($D22,_xlpm._platform_range,3,FALSE),"+"&amp;CHAR(34),"+"),CHAR(34),""),", "),
_xlpm._exists, SUMPRODUCT(--ISNUMBER(MATCH(_xlpm._platform_keywords,_xlpm._original_keywords,0)))&gt;0,
_xlfn.IFS(AND(_xlpm._exists,LEFT($E22,1)="+"),"+",_xlpm._exists,"*",NOT(_xlpm._exists),"")
)</f>
        <v/>
      </c>
      <c r="Q22" s="33" t="str" cm="1">
        <f t="array" aca="1" ref="Q2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($E22=CLASSIFICATION[[Keyword Aggr]:[Keyword Aggr]])*($D22=CLASSIFICATION[[Functional Scope Aggr]:[Functional Scope Aggr]])),
_xlpm._platform_keywords, _xlfn.TEXTSPLIT(SUBSTITUTE(SUBSTITUTE(VLOOKUP($D22,_xlpm._platform_range,3,FALSE),"+"&amp;CHAR(34),"+"),CHAR(34),""),", "),
_xlpm._exists, SUMPRODUCT(--ISNUMBER(MATCH(_xlpm._platform_keywords,_xlpm._original_keywords,0)))&gt;0,
_xlfn.IFS(_xlpm._exists,1,NOT(_xlpm._exists),"")
)</f>
        <v/>
      </c>
      <c r="R22" s="33" cm="1">
        <f t="array" aca="1" ref="R2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($E22=CLASSIFICATION[[Keyword Aggr]:[Keyword Aggr]])*($D22=CLASSIFICATION[[Functional Scope Aggr]:[Functional Scope Aggr]])),
_xlpm._platform_keywords, _xlfn.TEXTSPLIT(SUBSTITUTE(SUBSTITUTE(VLOOKUP($D22,_xlpm._platform_range,3,FALSE),"+"&amp;CHAR(34),"+"),CHAR(34),""),", "),
_xlpm._exists, SUMPRODUCT(--ISNUMBER(MATCH(_xlpm._platform_keywords,_xlpm._original_keywords,0)))&gt;0,
_xlfn.IFS(_xlpm._exists,1,NOT(_xlpm._exists),"")
)</f>
        <v>1</v>
      </c>
      <c r="S22" s="33" cm="1">
        <f t="array" aca="1" ref="S2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($E22=CLASSIFICATION[[Keyword Aggr]:[Keyword Aggr]])*($D22=CLASSIFICATION[[Functional Scope Aggr]:[Functional Scope Aggr]])),
_xlpm._platform_keywords, _xlfn.TEXTSPLIT(SUBSTITUTE(SUBSTITUTE(VLOOKUP($D22,_xlpm._platform_range,3,FALSE),"+"&amp;CHAR(34),"+"),CHAR(34),""),", "),
_xlpm._exists, SUMPRODUCT(--ISNUMBER(MATCH(_xlpm._platform_keywords,_xlpm._original_keywords,0)))&gt;0,
_xlfn.IFS(_xlpm._exists,1,NOT(_xlpm._exists),"")
)</f>
        <v>1</v>
      </c>
      <c r="T22" s="33" cm="1">
        <f t="array" aca="1" ref="T2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($E22=CLASSIFICATION[[Keyword Aggr]:[Keyword Aggr]])*($D22=CLASSIFICATION[[Functional Scope Aggr]:[Functional Scope Aggr]])),
_xlpm._platform_keywords, _xlfn.TEXTSPLIT(SUBSTITUTE(SUBSTITUTE(VLOOKUP($D22,_xlpm._platform_range,3,FALSE),"+"&amp;CHAR(34),"+"),CHAR(34),""),", "),
_xlpm._exists, SUMPRODUCT(--ISNUMBER(MATCH(_xlpm._platform_keywords,_xlpm._original_keywords,0)))&gt;0,
_xlfn.IFS(_xlpm._exists,1,NOT(_xlpm._exists),"")
)</f>
        <v>1</v>
      </c>
      <c r="U22" s="33" t="str" cm="1">
        <f t="array" aca="1" ref="U2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($E22=CLASSIFICATION[[Keyword Aggr]:[Keyword Aggr]])*($D22=CLASSIFICATION[[Functional Scope Aggr]:[Functional Scope Aggr]])),
_xlpm._platform_keywords, _xlfn.TEXTSPLIT(SUBSTITUTE(SUBSTITUTE(VLOOKUP($D22,_xlpm._platform_range,3,FALSE),"+"&amp;CHAR(34),"+"),CHAR(34),""),", "),
_xlpm._exists, SUMPRODUCT(--ISNUMBER(MATCH(_xlpm._platform_keywords,_xlpm._original_keywords,0)))&gt;0,
_xlfn.IFS(_xlpm._exists,1,NOT(_xlpm._exists),"")
)</f>
        <v/>
      </c>
      <c r="V22" s="33" t="str" cm="1">
        <f t="array" aca="1" ref="V2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($E22=CLASSIFICATION[[Keyword Aggr]:[Keyword Aggr]])*($D22=CLASSIFICATION[[Functional Scope Aggr]:[Functional Scope Aggr]])),
_xlpm._platform_keywords, _xlfn.TEXTSPLIT(SUBSTITUTE(SUBSTITUTE(VLOOKUP($D22,_xlpm._platform_range,3,FALSE),"+"&amp;CHAR(34),"+"),CHAR(34),""),", "),
_xlpm._exists, SUMPRODUCT(--ISNUMBER(MATCH(_xlpm._platform_keywords,_xlpm._original_keywords,0)))&gt;0,
_xlfn.IFS(_xlpm._exists,1,NOT(_xlpm._exists),"")
)</f>
        <v/>
      </c>
      <c r="X22" s="33" t="str">
        <f t="shared" si="4"/>
        <v/>
      </c>
      <c r="Y22" s="33" t="str">
        <f t="shared" si="5"/>
        <v/>
      </c>
      <c r="Z22" s="33" t="str">
        <f t="shared" si="6"/>
        <v/>
      </c>
      <c r="AA22" s="33" t="str">
        <f t="shared" si="7"/>
        <v/>
      </c>
      <c r="AB22" s="33" t="str">
        <f t="shared" si="8"/>
        <v/>
      </c>
      <c r="AC22" s="33" t="str">
        <f t="shared" si="9"/>
        <v/>
      </c>
    </row>
    <row r="23" spans="1:29" x14ac:dyDescent="0.25">
      <c r="A23" s="19" t="str">
        <v>Design,UI model,+UI Branding</v>
      </c>
      <c r="B23" t="s">
        <v>377</v>
      </c>
      <c r="C23" s="19" t="str" cm="1">
        <f t="array" ref="C23:E23">_xlfn.TEXTSPLIT(A23,",")</f>
        <v>Design</v>
      </c>
      <c r="D23" s="19" t="str">
        <v>UI model</v>
      </c>
      <c r="E23" s="19" t="str">
        <v>+UI Branding</v>
      </c>
      <c r="F23" s="36" t="str" cm="1">
        <f t="array" ref="F23">_xlfn.TEXTJOIN(",",TRUE,_xlfn._xlws.FILTER(CLASSIFICATION[Keyword], ($E23=CLASSIFICATION[Keyword Aggr])*($D23=CLASSIFICATION[Functional Scope Aggr])))</f>
        <v>+UI Branding (no HTML/CSS)</v>
      </c>
      <c r="G23" s="32" t="str">
        <f t="shared" si="2"/>
        <v/>
      </c>
      <c r="H23" s="32" t="str">
        <f t="shared" si="3"/>
        <v/>
      </c>
      <c r="I23" s="32" t="str">
        <f t="shared" si="10"/>
        <v>+UI Branding</v>
      </c>
      <c r="J23" s="33" t="str" cm="1">
        <f t="array" aca="1" ref="J2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($E23=CLASSIFICATION[[Keyword Aggr]:[Keyword Aggr]])*($D23=CLASSIFICATION[[Functional Scope Aggr]:[Functional Scope Aggr]])),
_xlpm._platform_keywords, _xlfn.TEXTSPLIT(SUBSTITUTE(SUBSTITUTE(VLOOKUP($D23,_xlpm._platform_range,3,FALSE),"+"&amp;CHAR(34),"+"),CHAR(34),""),", "),
_xlpm._exists, SUMPRODUCT(--ISNUMBER(MATCH(_xlpm._platform_keywords,_xlpm._original_keywords,0)))&gt;0,
_xlfn.IFS(AND(_xlpm._exists,LEFT($E23,1)="+"),"+",_xlpm._exists,"*",NOT(_xlpm._exists),"")
)</f>
        <v/>
      </c>
      <c r="K23" s="33" t="str" cm="1">
        <f t="array" aca="1" ref="K2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($E23=CLASSIFICATION[[Keyword Aggr]:[Keyword Aggr]])*($D23=CLASSIFICATION[[Functional Scope Aggr]:[Functional Scope Aggr]])),
_xlpm._platform_keywords, _xlfn.TEXTSPLIT(SUBSTITUTE(SUBSTITUTE(VLOOKUP($D23,_xlpm._platform_range,3,FALSE),"+"&amp;CHAR(34),"+"),CHAR(34),""),", "),
_xlpm._exists, SUMPRODUCT(--ISNUMBER(MATCH(_xlpm._platform_keywords,_xlpm._original_keywords,0)))&gt;0,
_xlfn.IFS(AND(_xlpm._exists,LEFT($E23,1)="+"),"+",_xlpm._exists,"*",NOT(_xlpm._exists),"")
)</f>
        <v/>
      </c>
      <c r="L23" s="33" t="str" cm="1">
        <f t="array" aca="1" ref="L2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($E23=CLASSIFICATION[[Keyword Aggr]:[Keyword Aggr]])*($D23=CLASSIFICATION[[Functional Scope Aggr]:[Functional Scope Aggr]])),
_xlpm._platform_keywords, _xlfn.TEXTSPLIT(SUBSTITUTE(SUBSTITUTE(VLOOKUP($D23,_xlpm._platform_range,3,FALSE),"+"&amp;CHAR(34),"+"),CHAR(34),""),", "),
_xlpm._exists, SUMPRODUCT(--ISNUMBER(MATCH(_xlpm._platform_keywords,_xlpm._original_keywords,0)))&gt;0,
_xlfn.IFS(AND(_xlpm._exists,LEFT($E23,1)="+"),"+",_xlpm._exists,"*",NOT(_xlpm._exists),"")
)</f>
        <v/>
      </c>
      <c r="M23" s="33" t="str" cm="1">
        <f t="array" aca="1" ref="M2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($E23=CLASSIFICATION[[Keyword Aggr]:[Keyword Aggr]])*($D23=CLASSIFICATION[[Functional Scope Aggr]:[Functional Scope Aggr]])),
_xlpm._platform_keywords, _xlfn.TEXTSPLIT(SUBSTITUTE(SUBSTITUTE(VLOOKUP($D23,_xlpm._platform_range,3,FALSE),"+"&amp;CHAR(34),"+"),CHAR(34),""),", "),
_xlpm._exists, SUMPRODUCT(--ISNUMBER(MATCH(_xlpm._platform_keywords,_xlpm._original_keywords,0)))&gt;0,
_xlfn.IFS(AND(_xlpm._exists,LEFT($E23,1)="+"),"+",_xlpm._exists,"*",NOT(_xlpm._exists),"")
)</f>
        <v/>
      </c>
      <c r="N23" s="33" t="str" cm="1">
        <f t="array" aca="1" ref="N2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($E23=CLASSIFICATION[[Keyword Aggr]:[Keyword Aggr]])*($D23=CLASSIFICATION[[Functional Scope Aggr]:[Functional Scope Aggr]])),
_xlpm._platform_keywords, _xlfn.TEXTSPLIT(SUBSTITUTE(SUBSTITUTE(VLOOKUP($D23,_xlpm._platform_range,3,FALSE),"+"&amp;CHAR(34),"+"),CHAR(34),""),", "),
_xlpm._exists, SUMPRODUCT(--ISNUMBER(MATCH(_xlpm._platform_keywords,_xlpm._original_keywords,0)))&gt;0,
_xlfn.IFS(AND(_xlpm._exists,LEFT($E23,1)="+"),"+",_xlpm._exists,"*",NOT(_xlpm._exists),"")
)</f>
        <v>+</v>
      </c>
      <c r="O23" s="33" t="str" cm="1">
        <f t="array" aca="1" ref="O2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($E23=CLASSIFICATION[[Keyword Aggr]:[Keyword Aggr]])*($D23=CLASSIFICATION[[Functional Scope Aggr]:[Functional Scope Aggr]])),
_xlpm._platform_keywords, _xlfn.TEXTSPLIT(SUBSTITUTE(SUBSTITUTE(VLOOKUP($D23,_xlpm._platform_range,3,FALSE),"+"&amp;CHAR(34),"+"),CHAR(34),""),", "),
_xlpm._exists, SUMPRODUCT(--ISNUMBER(MATCH(_xlpm._platform_keywords,_xlpm._original_keywords,0)))&gt;0,
_xlfn.IFS(AND(_xlpm._exists,LEFT($E23,1)="+"),"+",_xlpm._exists,"*",NOT(_xlpm._exists),"")
)</f>
        <v/>
      </c>
      <c r="Q23" s="33" t="str" cm="1">
        <f t="array" aca="1" ref="Q2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($E23=CLASSIFICATION[[Keyword Aggr]:[Keyword Aggr]])*($D23=CLASSIFICATION[[Functional Scope Aggr]:[Functional Scope Aggr]])),
_xlpm._platform_keywords, _xlfn.TEXTSPLIT(SUBSTITUTE(SUBSTITUTE(VLOOKUP($D23,_xlpm._platform_range,3,FALSE),"+"&amp;CHAR(34),"+"),CHAR(34),""),", "),
_xlpm._exists, SUMPRODUCT(--ISNUMBER(MATCH(_xlpm._platform_keywords,_xlpm._original_keywords,0)))&gt;0,
_xlfn.IFS(_xlpm._exists,1,NOT(_xlpm._exists),"")
)</f>
        <v/>
      </c>
      <c r="R23" s="33" t="str" cm="1">
        <f t="array" aca="1" ref="R2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($E23=CLASSIFICATION[[Keyword Aggr]:[Keyword Aggr]])*($D23=CLASSIFICATION[[Functional Scope Aggr]:[Functional Scope Aggr]])),
_xlpm._platform_keywords, _xlfn.TEXTSPLIT(SUBSTITUTE(SUBSTITUTE(VLOOKUP($D23,_xlpm._platform_range,3,FALSE),"+"&amp;CHAR(34),"+"),CHAR(34),""),", "),
_xlpm._exists, SUMPRODUCT(--ISNUMBER(MATCH(_xlpm._platform_keywords,_xlpm._original_keywords,0)))&gt;0,
_xlfn.IFS(_xlpm._exists,1,NOT(_xlpm._exists),"")
)</f>
        <v/>
      </c>
      <c r="S23" s="33" t="str" cm="1">
        <f t="array" aca="1" ref="S2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($E23=CLASSIFICATION[[Keyword Aggr]:[Keyword Aggr]])*($D23=CLASSIFICATION[[Functional Scope Aggr]:[Functional Scope Aggr]])),
_xlpm._platform_keywords, _xlfn.TEXTSPLIT(SUBSTITUTE(SUBSTITUTE(VLOOKUP($D23,_xlpm._platform_range,3,FALSE),"+"&amp;CHAR(34),"+"),CHAR(34),""),", "),
_xlpm._exists, SUMPRODUCT(--ISNUMBER(MATCH(_xlpm._platform_keywords,_xlpm._original_keywords,0)))&gt;0,
_xlfn.IFS(_xlpm._exists,1,NOT(_xlpm._exists),"")
)</f>
        <v/>
      </c>
      <c r="T23" s="33" t="str" cm="1">
        <f t="array" aca="1" ref="T2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($E23=CLASSIFICATION[[Keyword Aggr]:[Keyword Aggr]])*($D23=CLASSIFICATION[[Functional Scope Aggr]:[Functional Scope Aggr]])),
_xlpm._platform_keywords, _xlfn.TEXTSPLIT(SUBSTITUTE(SUBSTITUTE(VLOOKUP($D23,_xlpm._platform_range,3,FALSE),"+"&amp;CHAR(34),"+"),CHAR(34),""),", "),
_xlpm._exists, SUMPRODUCT(--ISNUMBER(MATCH(_xlpm._platform_keywords,_xlpm._original_keywords,0)))&gt;0,
_xlfn.IFS(_xlpm._exists,1,NOT(_xlpm._exists),"")
)</f>
        <v/>
      </c>
      <c r="U23" s="33" cm="1">
        <f t="array" aca="1" ref="U2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($E23=CLASSIFICATION[[Keyword Aggr]:[Keyword Aggr]])*($D23=CLASSIFICATION[[Functional Scope Aggr]:[Functional Scope Aggr]])),
_xlpm._platform_keywords, _xlfn.TEXTSPLIT(SUBSTITUTE(SUBSTITUTE(VLOOKUP($D23,_xlpm._platform_range,3,FALSE),"+"&amp;CHAR(34),"+"),CHAR(34),""),", "),
_xlpm._exists, SUMPRODUCT(--ISNUMBER(MATCH(_xlpm._platform_keywords,_xlpm._original_keywords,0)))&gt;0,
_xlfn.IFS(_xlpm._exists,1,NOT(_xlpm._exists),"")
)</f>
        <v>1</v>
      </c>
      <c r="V23" s="33" t="str" cm="1">
        <f t="array" aca="1" ref="V2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($E23=CLASSIFICATION[[Keyword Aggr]:[Keyword Aggr]])*($D23=CLASSIFICATION[[Functional Scope Aggr]:[Functional Scope Aggr]])),
_xlpm._platform_keywords, _xlfn.TEXTSPLIT(SUBSTITUTE(SUBSTITUTE(VLOOKUP($D23,_xlpm._platform_range,3,FALSE),"+"&amp;CHAR(34),"+"),CHAR(34),""),", "),
_xlpm._exists, SUMPRODUCT(--ISNUMBER(MATCH(_xlpm._platform_keywords,_xlpm._original_keywords,0)))&gt;0,
_xlfn.IFS(_xlpm._exists,1,NOT(_xlpm._exists),"")
)</f>
        <v/>
      </c>
      <c r="X23" s="33" t="str">
        <f t="shared" si="4"/>
        <v/>
      </c>
      <c r="Y23" s="33" t="str">
        <f t="shared" si="5"/>
        <v/>
      </c>
      <c r="Z23" s="33" t="str">
        <f t="shared" si="6"/>
        <v/>
      </c>
      <c r="AA23" s="33" t="str">
        <f t="shared" si="7"/>
        <v/>
      </c>
      <c r="AB23" s="33" t="str">
        <f t="shared" si="8"/>
        <v/>
      </c>
      <c r="AC23" s="33" t="str">
        <f t="shared" si="9"/>
        <v/>
      </c>
    </row>
    <row r="24" spans="1:29" x14ac:dyDescent="0.25">
      <c r="A24" s="19" t="str">
        <v>Design,UI model,+View Types</v>
      </c>
      <c r="B24" t="s">
        <v>377</v>
      </c>
      <c r="C24" s="19" t="str" cm="1">
        <f t="array" ref="C24:E24">_xlfn.TEXTSPLIT(A24,",")</f>
        <v>Design</v>
      </c>
      <c r="D24" s="19" t="str">
        <v>UI model</v>
      </c>
      <c r="E24" s="19" t="str">
        <v>+View Types</v>
      </c>
      <c r="F24" s="36" t="str" cm="1">
        <f t="array" ref="F24">_xlfn.TEXTJOIN(",",TRUE,_xlfn._xlws.FILTER(CLASSIFICATION[Keyword], ($E24=CLASSIFICATION[Keyword Aggr])*($D24=CLASSIFICATION[Functional Scope Aggr])))</f>
        <v>+View Types</v>
      </c>
      <c r="G24" s="32" t="str">
        <f t="shared" si="2"/>
        <v/>
      </c>
      <c r="H24" s="32" t="str">
        <f t="shared" si="3"/>
        <v/>
      </c>
      <c r="I24" s="32" t="str">
        <f t="shared" si="10"/>
        <v>+View Types</v>
      </c>
      <c r="J24" s="33" t="str" cm="1">
        <f t="array" aca="1" ref="J2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($E24=CLASSIFICATION[[Keyword Aggr]:[Keyword Aggr]])*($D24=CLASSIFICATION[[Functional Scope Aggr]:[Functional Scope Aggr]])),
_xlpm._platform_keywords, _xlfn.TEXTSPLIT(SUBSTITUTE(SUBSTITUTE(VLOOKUP($D24,_xlpm._platform_range,3,FALSE),"+"&amp;CHAR(34),"+"),CHAR(34),""),", "),
_xlpm._exists, SUMPRODUCT(--ISNUMBER(MATCH(_xlpm._platform_keywords,_xlpm._original_keywords,0)))&gt;0,
_xlfn.IFS(AND(_xlpm._exists,LEFT($E24,1)="+"),"+",_xlpm._exists,"*",NOT(_xlpm._exists),"")
)</f>
        <v/>
      </c>
      <c r="K24" s="33" t="str" cm="1">
        <f t="array" aca="1" ref="K2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($E24=CLASSIFICATION[[Keyword Aggr]:[Keyword Aggr]])*($D24=CLASSIFICATION[[Functional Scope Aggr]:[Functional Scope Aggr]])),
_xlpm._platform_keywords, _xlfn.TEXTSPLIT(SUBSTITUTE(SUBSTITUTE(VLOOKUP($D24,_xlpm._platform_range,3,FALSE),"+"&amp;CHAR(34),"+"),CHAR(34),""),", "),
_xlpm._exists, SUMPRODUCT(--ISNUMBER(MATCH(_xlpm._platform_keywords,_xlpm._original_keywords,0)))&gt;0,
_xlfn.IFS(AND(_xlpm._exists,LEFT($E24,1)="+"),"+",_xlpm._exists,"*",NOT(_xlpm._exists),"")
)</f>
        <v/>
      </c>
      <c r="L24" s="33" t="str" cm="1">
        <f t="array" aca="1" ref="L2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($E24=CLASSIFICATION[[Keyword Aggr]:[Keyword Aggr]])*($D24=CLASSIFICATION[[Functional Scope Aggr]:[Functional Scope Aggr]])),
_xlpm._platform_keywords, _xlfn.TEXTSPLIT(SUBSTITUTE(SUBSTITUTE(VLOOKUP($D24,_xlpm._platform_range,3,FALSE),"+"&amp;CHAR(34),"+"),CHAR(34),""),", "),
_xlpm._exists, SUMPRODUCT(--ISNUMBER(MATCH(_xlpm._platform_keywords,_xlpm._original_keywords,0)))&gt;0,
_xlfn.IFS(AND(_xlpm._exists,LEFT($E24,1)="+"),"+",_xlpm._exists,"*",NOT(_xlpm._exists),"")
)</f>
        <v/>
      </c>
      <c r="M24" s="33" t="str" cm="1">
        <f t="array" aca="1" ref="M2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($E24=CLASSIFICATION[[Keyword Aggr]:[Keyword Aggr]])*($D24=CLASSIFICATION[[Functional Scope Aggr]:[Functional Scope Aggr]])),
_xlpm._platform_keywords, _xlfn.TEXTSPLIT(SUBSTITUTE(SUBSTITUTE(VLOOKUP($D24,_xlpm._platform_range,3,FALSE),"+"&amp;CHAR(34),"+"),CHAR(34),""),", "),
_xlpm._exists, SUMPRODUCT(--ISNUMBER(MATCH(_xlpm._platform_keywords,_xlpm._original_keywords,0)))&gt;0,
_xlfn.IFS(AND(_xlpm._exists,LEFT($E24,1)="+"),"+",_xlpm._exists,"*",NOT(_xlpm._exists),"")
)</f>
        <v/>
      </c>
      <c r="N24" s="33" t="str" cm="1">
        <f t="array" aca="1" ref="N2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($E24=CLASSIFICATION[[Keyword Aggr]:[Keyword Aggr]])*($D24=CLASSIFICATION[[Functional Scope Aggr]:[Functional Scope Aggr]])),
_xlpm._platform_keywords, _xlfn.TEXTSPLIT(SUBSTITUTE(SUBSTITUTE(VLOOKUP($D24,_xlpm._platform_range,3,FALSE),"+"&amp;CHAR(34),"+"),CHAR(34),""),", "),
_xlpm._exists, SUMPRODUCT(--ISNUMBER(MATCH(_xlpm._platform_keywords,_xlpm._original_keywords,0)))&gt;0,
_xlfn.IFS(AND(_xlpm._exists,LEFT($E24,1)="+"),"+",_xlpm._exists,"*",NOT(_xlpm._exists),"")
)</f>
        <v>+</v>
      </c>
      <c r="O24" s="33" t="str" cm="1">
        <f t="array" aca="1" ref="O2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($E24=CLASSIFICATION[[Keyword Aggr]:[Keyword Aggr]])*($D24=CLASSIFICATION[[Functional Scope Aggr]:[Functional Scope Aggr]])),
_xlpm._platform_keywords, _xlfn.TEXTSPLIT(SUBSTITUTE(SUBSTITUTE(VLOOKUP($D24,_xlpm._platform_range,3,FALSE),"+"&amp;CHAR(34),"+"),CHAR(34),""),", "),
_xlpm._exists, SUMPRODUCT(--ISNUMBER(MATCH(_xlpm._platform_keywords,_xlpm._original_keywords,0)))&gt;0,
_xlfn.IFS(AND(_xlpm._exists,LEFT($E24,1)="+"),"+",_xlpm._exists,"*",NOT(_xlpm._exists),"")
)</f>
        <v>+</v>
      </c>
      <c r="Q24" s="33" t="str" cm="1">
        <f t="array" aca="1" ref="Q2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($E24=CLASSIFICATION[[Keyword Aggr]:[Keyword Aggr]])*($D24=CLASSIFICATION[[Functional Scope Aggr]:[Functional Scope Aggr]])),
_xlpm._platform_keywords, _xlfn.TEXTSPLIT(SUBSTITUTE(SUBSTITUTE(VLOOKUP($D24,_xlpm._platform_range,3,FALSE),"+"&amp;CHAR(34),"+"),CHAR(34),""),", "),
_xlpm._exists, SUMPRODUCT(--ISNUMBER(MATCH(_xlpm._platform_keywords,_xlpm._original_keywords,0)))&gt;0,
_xlfn.IFS(_xlpm._exists,1,NOT(_xlpm._exists),"")
)</f>
        <v/>
      </c>
      <c r="R24" s="33" t="str" cm="1">
        <f t="array" aca="1" ref="R2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($E24=CLASSIFICATION[[Keyword Aggr]:[Keyword Aggr]])*($D24=CLASSIFICATION[[Functional Scope Aggr]:[Functional Scope Aggr]])),
_xlpm._platform_keywords, _xlfn.TEXTSPLIT(SUBSTITUTE(SUBSTITUTE(VLOOKUP($D24,_xlpm._platform_range,3,FALSE),"+"&amp;CHAR(34),"+"),CHAR(34),""),", "),
_xlpm._exists, SUMPRODUCT(--ISNUMBER(MATCH(_xlpm._platform_keywords,_xlpm._original_keywords,0)))&gt;0,
_xlfn.IFS(_xlpm._exists,1,NOT(_xlpm._exists),"")
)</f>
        <v/>
      </c>
      <c r="S24" s="33" t="str" cm="1">
        <f t="array" aca="1" ref="S2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($E24=CLASSIFICATION[[Keyword Aggr]:[Keyword Aggr]])*($D24=CLASSIFICATION[[Functional Scope Aggr]:[Functional Scope Aggr]])),
_xlpm._platform_keywords, _xlfn.TEXTSPLIT(SUBSTITUTE(SUBSTITUTE(VLOOKUP($D24,_xlpm._platform_range,3,FALSE),"+"&amp;CHAR(34),"+"),CHAR(34),""),", "),
_xlpm._exists, SUMPRODUCT(--ISNUMBER(MATCH(_xlpm._platform_keywords,_xlpm._original_keywords,0)))&gt;0,
_xlfn.IFS(_xlpm._exists,1,NOT(_xlpm._exists),"")
)</f>
        <v/>
      </c>
      <c r="T24" s="33" t="str" cm="1">
        <f t="array" aca="1" ref="T2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($E24=CLASSIFICATION[[Keyword Aggr]:[Keyword Aggr]])*($D24=CLASSIFICATION[[Functional Scope Aggr]:[Functional Scope Aggr]])),
_xlpm._platform_keywords, _xlfn.TEXTSPLIT(SUBSTITUTE(SUBSTITUTE(VLOOKUP($D24,_xlpm._platform_range,3,FALSE),"+"&amp;CHAR(34),"+"),CHAR(34),""),", "),
_xlpm._exists, SUMPRODUCT(--ISNUMBER(MATCH(_xlpm._platform_keywords,_xlpm._original_keywords,0)))&gt;0,
_xlfn.IFS(_xlpm._exists,1,NOT(_xlpm._exists),"")
)</f>
        <v/>
      </c>
      <c r="U24" s="33" cm="1">
        <f t="array" aca="1" ref="U2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($E24=CLASSIFICATION[[Keyword Aggr]:[Keyword Aggr]])*($D24=CLASSIFICATION[[Functional Scope Aggr]:[Functional Scope Aggr]])),
_xlpm._platform_keywords, _xlfn.TEXTSPLIT(SUBSTITUTE(SUBSTITUTE(VLOOKUP($D24,_xlpm._platform_range,3,FALSE),"+"&amp;CHAR(34),"+"),CHAR(34),""),", "),
_xlpm._exists, SUMPRODUCT(--ISNUMBER(MATCH(_xlpm._platform_keywords,_xlpm._original_keywords,0)))&gt;0,
_xlfn.IFS(_xlpm._exists,1,NOT(_xlpm._exists),"")
)</f>
        <v>1</v>
      </c>
      <c r="V24" s="33" cm="1">
        <f t="array" aca="1" ref="V2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($E24=CLASSIFICATION[[Keyword Aggr]:[Keyword Aggr]])*($D24=CLASSIFICATION[[Functional Scope Aggr]:[Functional Scope Aggr]])),
_xlpm._platform_keywords, _xlfn.TEXTSPLIT(SUBSTITUTE(SUBSTITUTE(VLOOKUP($D24,_xlpm._platform_range,3,FALSE),"+"&amp;CHAR(34),"+"),CHAR(34),""),", "),
_xlpm._exists, SUMPRODUCT(--ISNUMBER(MATCH(_xlpm._platform_keywords,_xlpm._original_keywords,0)))&gt;0,
_xlfn.IFS(_xlpm._exists,1,NOT(_xlpm._exists),"")
)</f>
        <v>1</v>
      </c>
      <c r="X24" s="33" t="str">
        <f t="shared" si="4"/>
        <v/>
      </c>
      <c r="Y24" s="33" t="str">
        <f t="shared" si="5"/>
        <v/>
      </c>
      <c r="Z24" s="33" t="str">
        <f t="shared" si="6"/>
        <v/>
      </c>
      <c r="AA24" s="33" t="str">
        <f t="shared" si="7"/>
        <v/>
      </c>
      <c r="AB24" s="33" t="str">
        <f t="shared" si="8"/>
        <v/>
      </c>
      <c r="AC24" s="33" t="str">
        <f t="shared" si="9"/>
        <v/>
      </c>
    </row>
    <row r="25" spans="1:29" x14ac:dyDescent="0.25">
      <c r="A25" s="19" t="str">
        <v>Design,UI model,Expressions</v>
      </c>
      <c r="B25" t="s">
        <v>377</v>
      </c>
      <c r="C25" s="19" t="str" cm="1">
        <f t="array" ref="C25:E25">_xlfn.TEXTSPLIT(A25,",")</f>
        <v>Design</v>
      </c>
      <c r="D25" s="19" t="str">
        <v>UI model</v>
      </c>
      <c r="E25" s="19" t="str">
        <v>Expressions</v>
      </c>
      <c r="F25" s="36" t="str" cm="1">
        <f t="array" ref="F25">_xlfn.TEXTJOIN(",",TRUE,_xlfn._xlws.FILTER(CLASSIFICATION[Keyword], ($E25=CLASSIFICATION[Keyword Aggr])*($D25=CLASSIFICATION[Functional Scope Aggr])))</f>
        <v>Boolean Expressions,Conditional Expressions,Expressions</v>
      </c>
      <c r="G25" s="32" t="str">
        <f t="shared" si="2"/>
        <v/>
      </c>
      <c r="H25" s="32" t="str">
        <f t="shared" si="3"/>
        <v/>
      </c>
      <c r="I25" s="32" t="str">
        <f t="shared" si="10"/>
        <v>Expressions</v>
      </c>
      <c r="J25" s="33" t="str" cm="1">
        <f t="array" aca="1" ref="J2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($E25=CLASSIFICATION[[Keyword Aggr]:[Keyword Aggr]])*($D25=CLASSIFICATION[[Functional Scope Aggr]:[Functional Scope Aggr]])),
_xlpm._platform_keywords, _xlfn.TEXTSPLIT(SUBSTITUTE(SUBSTITUTE(VLOOKUP($D25,_xlpm._platform_range,3,FALSE),"+"&amp;CHAR(34),"+"),CHAR(34),""),", "),
_xlpm._exists, SUMPRODUCT(--ISNUMBER(MATCH(_xlpm._platform_keywords,_xlpm._original_keywords,0)))&gt;0,
_xlfn.IFS(AND(_xlpm._exists,LEFT($E25,1)="+"),"+",_xlpm._exists,"*",NOT(_xlpm._exists),"")
)</f>
        <v>*</v>
      </c>
      <c r="K25" s="33" t="str" cm="1">
        <f t="array" aca="1" ref="K2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($E25=CLASSIFICATION[[Keyword Aggr]:[Keyword Aggr]])*($D25=CLASSIFICATION[[Functional Scope Aggr]:[Functional Scope Aggr]])),
_xlpm._platform_keywords, _xlfn.TEXTSPLIT(SUBSTITUTE(SUBSTITUTE(VLOOKUP($D25,_xlpm._platform_range,3,FALSE),"+"&amp;CHAR(34),"+"),CHAR(34),""),", "),
_xlpm._exists, SUMPRODUCT(--ISNUMBER(MATCH(_xlpm._platform_keywords,_xlpm._original_keywords,0)))&gt;0,
_xlfn.IFS(AND(_xlpm._exists,LEFT($E25,1)="+"),"+",_xlpm._exists,"*",NOT(_xlpm._exists),"")
)</f>
        <v>*</v>
      </c>
      <c r="L25" s="33" t="str" cm="1">
        <f t="array" aca="1" ref="L2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($E25=CLASSIFICATION[[Keyword Aggr]:[Keyword Aggr]])*($D25=CLASSIFICATION[[Functional Scope Aggr]:[Functional Scope Aggr]])),
_xlpm._platform_keywords, _xlfn.TEXTSPLIT(SUBSTITUTE(SUBSTITUTE(VLOOKUP($D25,_xlpm._platform_range,3,FALSE),"+"&amp;CHAR(34),"+"),CHAR(34),""),", "),
_xlpm._exists, SUMPRODUCT(--ISNUMBER(MATCH(_xlpm._platform_keywords,_xlpm._original_keywords,0)))&gt;0,
_xlfn.IFS(AND(_xlpm._exists,LEFT($E25,1)="+"),"+",_xlpm._exists,"*",NOT(_xlpm._exists),"")
)</f>
        <v>*</v>
      </c>
      <c r="M25" s="33" t="str" cm="1">
        <f t="array" aca="1" ref="M2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($E25=CLASSIFICATION[[Keyword Aggr]:[Keyword Aggr]])*($D25=CLASSIFICATION[[Functional Scope Aggr]:[Functional Scope Aggr]])),
_xlpm._platform_keywords, _xlfn.TEXTSPLIT(SUBSTITUTE(SUBSTITUTE(VLOOKUP($D25,_xlpm._platform_range,3,FALSE),"+"&amp;CHAR(34),"+"),CHAR(34),""),", "),
_xlpm._exists, SUMPRODUCT(--ISNUMBER(MATCH(_xlpm._platform_keywords,_xlpm._original_keywords,0)))&gt;0,
_xlfn.IFS(AND(_xlpm._exists,LEFT($E25,1)="+"),"+",_xlpm._exists,"*",NOT(_xlpm._exists),"")
)</f>
        <v/>
      </c>
      <c r="N25" s="33" t="str" cm="1">
        <f t="array" aca="1" ref="N2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($E25=CLASSIFICATION[[Keyword Aggr]:[Keyword Aggr]])*($D25=CLASSIFICATION[[Functional Scope Aggr]:[Functional Scope Aggr]])),
_xlpm._platform_keywords, _xlfn.TEXTSPLIT(SUBSTITUTE(SUBSTITUTE(VLOOKUP($D25,_xlpm._platform_range,3,FALSE),"+"&amp;CHAR(34),"+"),CHAR(34),""),", "),
_xlpm._exists, SUMPRODUCT(--ISNUMBER(MATCH(_xlpm._platform_keywords,_xlpm._original_keywords,0)))&gt;0,
_xlfn.IFS(AND(_xlpm._exists,LEFT($E25,1)="+"),"+",_xlpm._exists,"*",NOT(_xlpm._exists),"")
)</f>
        <v>*</v>
      </c>
      <c r="O25" s="33" t="str" cm="1">
        <f t="array" aca="1" ref="O2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($E25=CLASSIFICATION[[Keyword Aggr]:[Keyword Aggr]])*($D25=CLASSIFICATION[[Functional Scope Aggr]:[Functional Scope Aggr]])),
_xlpm._platform_keywords, _xlfn.TEXTSPLIT(SUBSTITUTE(SUBSTITUTE(VLOOKUP($D25,_xlpm._platform_range,3,FALSE),"+"&amp;CHAR(34),"+"),CHAR(34),""),", "),
_xlpm._exists, SUMPRODUCT(--ISNUMBER(MATCH(_xlpm._platform_keywords,_xlpm._original_keywords,0)))&gt;0,
_xlfn.IFS(AND(_xlpm._exists,LEFT($E25,1)="+"),"+",_xlpm._exists,"*",NOT(_xlpm._exists),"")
)</f>
        <v>*</v>
      </c>
      <c r="Q25" s="33" cm="1">
        <f t="array" aca="1" ref="Q2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($E25=CLASSIFICATION[[Keyword Aggr]:[Keyword Aggr]])*($D25=CLASSIFICATION[[Functional Scope Aggr]:[Functional Scope Aggr]])),
_xlpm._platform_keywords, _xlfn.TEXTSPLIT(SUBSTITUTE(SUBSTITUTE(VLOOKUP($D25,_xlpm._platform_range,3,FALSE),"+"&amp;CHAR(34),"+"),CHAR(34),""),", "),
_xlpm._exists, SUMPRODUCT(--ISNUMBER(MATCH(_xlpm._platform_keywords,_xlpm._original_keywords,0)))&gt;0,
_xlfn.IFS(_xlpm._exists,1,NOT(_xlpm._exists),"")
)</f>
        <v>1</v>
      </c>
      <c r="R25" s="33" cm="1">
        <f t="array" aca="1" ref="R2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($E25=CLASSIFICATION[[Keyword Aggr]:[Keyword Aggr]])*($D25=CLASSIFICATION[[Functional Scope Aggr]:[Functional Scope Aggr]])),
_xlpm._platform_keywords, _xlfn.TEXTSPLIT(SUBSTITUTE(SUBSTITUTE(VLOOKUP($D25,_xlpm._platform_range,3,FALSE),"+"&amp;CHAR(34),"+"),CHAR(34),""),", "),
_xlpm._exists, SUMPRODUCT(--ISNUMBER(MATCH(_xlpm._platform_keywords,_xlpm._original_keywords,0)))&gt;0,
_xlfn.IFS(_xlpm._exists,1,NOT(_xlpm._exists),"")
)</f>
        <v>1</v>
      </c>
      <c r="S25" s="33" cm="1">
        <f t="array" aca="1" ref="S2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($E25=CLASSIFICATION[[Keyword Aggr]:[Keyword Aggr]])*($D25=CLASSIFICATION[[Functional Scope Aggr]:[Functional Scope Aggr]])),
_xlpm._platform_keywords, _xlfn.TEXTSPLIT(SUBSTITUTE(SUBSTITUTE(VLOOKUP($D25,_xlpm._platform_range,3,FALSE),"+"&amp;CHAR(34),"+"),CHAR(34),""),", "),
_xlpm._exists, SUMPRODUCT(--ISNUMBER(MATCH(_xlpm._platform_keywords,_xlpm._original_keywords,0)))&gt;0,
_xlfn.IFS(_xlpm._exists,1,NOT(_xlpm._exists),"")
)</f>
        <v>1</v>
      </c>
      <c r="T25" s="33" t="str" cm="1">
        <f t="array" aca="1" ref="T2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($E25=CLASSIFICATION[[Keyword Aggr]:[Keyword Aggr]])*($D25=CLASSIFICATION[[Functional Scope Aggr]:[Functional Scope Aggr]])),
_xlpm._platform_keywords, _xlfn.TEXTSPLIT(SUBSTITUTE(SUBSTITUTE(VLOOKUP($D25,_xlpm._platform_range,3,FALSE),"+"&amp;CHAR(34),"+"),CHAR(34),""),", "),
_xlpm._exists, SUMPRODUCT(--ISNUMBER(MATCH(_xlpm._platform_keywords,_xlpm._original_keywords,0)))&gt;0,
_xlfn.IFS(_xlpm._exists,1,NOT(_xlpm._exists),"")
)</f>
        <v/>
      </c>
      <c r="U25" s="33" cm="1">
        <f t="array" aca="1" ref="U2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($E25=CLASSIFICATION[[Keyword Aggr]:[Keyword Aggr]])*($D25=CLASSIFICATION[[Functional Scope Aggr]:[Functional Scope Aggr]])),
_xlpm._platform_keywords, _xlfn.TEXTSPLIT(SUBSTITUTE(SUBSTITUTE(VLOOKUP($D25,_xlpm._platform_range,3,FALSE),"+"&amp;CHAR(34),"+"),CHAR(34),""),", "),
_xlpm._exists, SUMPRODUCT(--ISNUMBER(MATCH(_xlpm._platform_keywords,_xlpm._original_keywords,0)))&gt;0,
_xlfn.IFS(_xlpm._exists,1,NOT(_xlpm._exists),"")
)</f>
        <v>1</v>
      </c>
      <c r="V25" s="33" cm="1">
        <f t="array" aca="1" ref="V2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($E25=CLASSIFICATION[[Keyword Aggr]:[Keyword Aggr]])*($D25=CLASSIFICATION[[Functional Scope Aggr]:[Functional Scope Aggr]])),
_xlpm._platform_keywords, _xlfn.TEXTSPLIT(SUBSTITUTE(SUBSTITUTE(VLOOKUP($D25,_xlpm._platform_range,3,FALSE),"+"&amp;CHAR(34),"+"),CHAR(34),""),", "),
_xlpm._exists, SUMPRODUCT(--ISNUMBER(MATCH(_xlpm._platform_keywords,_xlpm._original_keywords,0)))&gt;0,
_xlfn.IFS(_xlpm._exists,1,NOT(_xlpm._exists),"")
)</f>
        <v>1</v>
      </c>
      <c r="X25" s="33" t="str">
        <f t="shared" si="4"/>
        <v/>
      </c>
      <c r="Y25" s="33" t="str">
        <f t="shared" si="5"/>
        <v/>
      </c>
      <c r="Z25" s="33" t="str">
        <f t="shared" si="6"/>
        <v/>
      </c>
      <c r="AA25" s="33" t="str">
        <f t="shared" si="7"/>
        <v/>
      </c>
      <c r="AB25" s="33" t="str">
        <f t="shared" si="8"/>
        <v/>
      </c>
      <c r="AC25" s="33" t="str">
        <f t="shared" si="9"/>
        <v/>
      </c>
    </row>
    <row r="26" spans="1:29" x14ac:dyDescent="0.25">
      <c r="A26" s="19" t="str">
        <v>Design,UI model,IT Data Types</v>
      </c>
      <c r="B26" t="s">
        <v>377</v>
      </c>
      <c r="C26" s="19" t="str" cm="1">
        <f t="array" ref="C26:E26">_xlfn.TEXTSPLIT(A26,",")</f>
        <v>Design</v>
      </c>
      <c r="D26" s="19" t="str">
        <v>UI model</v>
      </c>
      <c r="E26" s="19" t="str">
        <v>IT Data Types</v>
      </c>
      <c r="F26" s="36" t="str" cm="1">
        <f t="array" ref="F26">_xlfn.TEXTJOIN(",",TRUE,_xlfn._xlws.FILTER(CLASSIFICATION[Keyword], ($E26=CLASSIFICATION[Keyword Aggr])*($D26=CLASSIFICATION[Functional Scope Aggr])))</f>
        <v>Data Types</v>
      </c>
      <c r="G26" s="32" t="str">
        <f t="shared" si="2"/>
        <v/>
      </c>
      <c r="H26" s="32" t="str">
        <f t="shared" si="3"/>
        <v/>
      </c>
      <c r="I26" s="32" t="str">
        <f t="shared" si="10"/>
        <v>IT Data Types</v>
      </c>
      <c r="J26" s="33" t="str" cm="1">
        <f t="array" aca="1" ref="J2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($E26=CLASSIFICATION[[Keyword Aggr]:[Keyword Aggr]])*($D26=CLASSIFICATION[[Functional Scope Aggr]:[Functional Scope Aggr]])),
_xlpm._platform_keywords, _xlfn.TEXTSPLIT(SUBSTITUTE(SUBSTITUTE(VLOOKUP($D26,_xlpm._platform_range,3,FALSE),"+"&amp;CHAR(34),"+"),CHAR(34),""),", "),
_xlpm._exists, SUMPRODUCT(--ISNUMBER(MATCH(_xlpm._platform_keywords,_xlpm._original_keywords,0)))&gt;0,
_xlfn.IFS(AND(_xlpm._exists,LEFT($E26,1)="+"),"+",_xlpm._exists,"*",NOT(_xlpm._exists),"")
)</f>
        <v>*</v>
      </c>
      <c r="K26" s="33" t="str" cm="1">
        <f t="array" aca="1" ref="K2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($E26=CLASSIFICATION[[Keyword Aggr]:[Keyword Aggr]])*($D26=CLASSIFICATION[[Functional Scope Aggr]:[Functional Scope Aggr]])),
_xlpm._platform_keywords, _xlfn.TEXTSPLIT(SUBSTITUTE(SUBSTITUTE(VLOOKUP($D26,_xlpm._platform_range,3,FALSE),"+"&amp;CHAR(34),"+"),CHAR(34),""),", "),
_xlpm._exists, SUMPRODUCT(--ISNUMBER(MATCH(_xlpm._platform_keywords,_xlpm._original_keywords,0)))&gt;0,
_xlfn.IFS(AND(_xlpm._exists,LEFT($E26,1)="+"),"+",_xlpm._exists,"*",NOT(_xlpm._exists),"")
)</f>
        <v/>
      </c>
      <c r="L26" s="33" t="str" cm="1">
        <f t="array" aca="1" ref="L2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($E26=CLASSIFICATION[[Keyword Aggr]:[Keyword Aggr]])*($D26=CLASSIFICATION[[Functional Scope Aggr]:[Functional Scope Aggr]])),
_xlpm._platform_keywords, _xlfn.TEXTSPLIT(SUBSTITUTE(SUBSTITUTE(VLOOKUP($D26,_xlpm._platform_range,3,FALSE),"+"&amp;CHAR(34),"+"),CHAR(34),""),", "),
_xlpm._exists, SUMPRODUCT(--ISNUMBER(MATCH(_xlpm._platform_keywords,_xlpm._original_keywords,0)))&gt;0,
_xlfn.IFS(AND(_xlpm._exists,LEFT($E26,1)="+"),"+",_xlpm._exists,"*",NOT(_xlpm._exists),"")
)</f>
        <v/>
      </c>
      <c r="M26" s="33" t="str" cm="1">
        <f t="array" aca="1" ref="M2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($E26=CLASSIFICATION[[Keyword Aggr]:[Keyword Aggr]])*($D26=CLASSIFICATION[[Functional Scope Aggr]:[Functional Scope Aggr]])),
_xlpm._platform_keywords, _xlfn.TEXTSPLIT(SUBSTITUTE(SUBSTITUTE(VLOOKUP($D26,_xlpm._platform_range,3,FALSE),"+"&amp;CHAR(34),"+"),CHAR(34),""),", "),
_xlpm._exists, SUMPRODUCT(--ISNUMBER(MATCH(_xlpm._platform_keywords,_xlpm._original_keywords,0)))&gt;0,
_xlfn.IFS(AND(_xlpm._exists,LEFT($E26,1)="+"),"+",_xlpm._exists,"*",NOT(_xlpm._exists),"")
)</f>
        <v/>
      </c>
      <c r="N26" s="33" t="str" cm="1">
        <f t="array" aca="1" ref="N2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($E26=CLASSIFICATION[[Keyword Aggr]:[Keyword Aggr]])*($D26=CLASSIFICATION[[Functional Scope Aggr]:[Functional Scope Aggr]])),
_xlpm._platform_keywords, _xlfn.TEXTSPLIT(SUBSTITUTE(SUBSTITUTE(VLOOKUP($D26,_xlpm._platform_range,3,FALSE),"+"&amp;CHAR(34),"+"),CHAR(34),""),", "),
_xlpm._exists, SUMPRODUCT(--ISNUMBER(MATCH(_xlpm._platform_keywords,_xlpm._original_keywords,0)))&gt;0,
_xlfn.IFS(AND(_xlpm._exists,LEFT($E26,1)="+"),"+",_xlpm._exists,"*",NOT(_xlpm._exists),"")
)</f>
        <v/>
      </c>
      <c r="O26" s="33" t="str" cm="1">
        <f t="array" aca="1" ref="O2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($E26=CLASSIFICATION[[Keyword Aggr]:[Keyword Aggr]])*($D26=CLASSIFICATION[[Functional Scope Aggr]:[Functional Scope Aggr]])),
_xlpm._platform_keywords, _xlfn.TEXTSPLIT(SUBSTITUTE(SUBSTITUTE(VLOOKUP($D26,_xlpm._platform_range,3,FALSE),"+"&amp;CHAR(34),"+"),CHAR(34),""),", "),
_xlpm._exists, SUMPRODUCT(--ISNUMBER(MATCH(_xlpm._platform_keywords,_xlpm._original_keywords,0)))&gt;0,
_xlfn.IFS(AND(_xlpm._exists,LEFT($E26,1)="+"),"+",_xlpm._exists,"*",NOT(_xlpm._exists),"")
)</f>
        <v/>
      </c>
      <c r="Q26" s="33" cm="1">
        <f t="array" aca="1" ref="Q2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($E26=CLASSIFICATION[[Keyword Aggr]:[Keyword Aggr]])*($D26=CLASSIFICATION[[Functional Scope Aggr]:[Functional Scope Aggr]])),
_xlpm._platform_keywords, _xlfn.TEXTSPLIT(SUBSTITUTE(SUBSTITUTE(VLOOKUP($D26,_xlpm._platform_range,3,FALSE),"+"&amp;CHAR(34),"+"),CHAR(34),""),", "),
_xlpm._exists, SUMPRODUCT(--ISNUMBER(MATCH(_xlpm._platform_keywords,_xlpm._original_keywords,0)))&gt;0,
_xlfn.IFS(_xlpm._exists,1,NOT(_xlpm._exists),"")
)</f>
        <v>1</v>
      </c>
      <c r="R26" s="33" t="str" cm="1">
        <f t="array" aca="1" ref="R2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($E26=CLASSIFICATION[[Keyword Aggr]:[Keyword Aggr]])*($D26=CLASSIFICATION[[Functional Scope Aggr]:[Functional Scope Aggr]])),
_xlpm._platform_keywords, _xlfn.TEXTSPLIT(SUBSTITUTE(SUBSTITUTE(VLOOKUP($D26,_xlpm._platform_range,3,FALSE),"+"&amp;CHAR(34),"+"),CHAR(34),""),", "),
_xlpm._exists, SUMPRODUCT(--ISNUMBER(MATCH(_xlpm._platform_keywords,_xlpm._original_keywords,0)))&gt;0,
_xlfn.IFS(_xlpm._exists,1,NOT(_xlpm._exists),"")
)</f>
        <v/>
      </c>
      <c r="S26" s="33" t="str" cm="1">
        <f t="array" aca="1" ref="S2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($E26=CLASSIFICATION[[Keyword Aggr]:[Keyword Aggr]])*($D26=CLASSIFICATION[[Functional Scope Aggr]:[Functional Scope Aggr]])),
_xlpm._platform_keywords, _xlfn.TEXTSPLIT(SUBSTITUTE(SUBSTITUTE(VLOOKUP($D26,_xlpm._platform_range,3,FALSE),"+"&amp;CHAR(34),"+"),CHAR(34),""),", "),
_xlpm._exists, SUMPRODUCT(--ISNUMBER(MATCH(_xlpm._platform_keywords,_xlpm._original_keywords,0)))&gt;0,
_xlfn.IFS(_xlpm._exists,1,NOT(_xlpm._exists),"")
)</f>
        <v/>
      </c>
      <c r="T26" s="33" t="str" cm="1">
        <f t="array" aca="1" ref="T2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($E26=CLASSIFICATION[[Keyword Aggr]:[Keyword Aggr]])*($D26=CLASSIFICATION[[Functional Scope Aggr]:[Functional Scope Aggr]])),
_xlpm._platform_keywords, _xlfn.TEXTSPLIT(SUBSTITUTE(SUBSTITUTE(VLOOKUP($D26,_xlpm._platform_range,3,FALSE),"+"&amp;CHAR(34),"+"),CHAR(34),""),", "),
_xlpm._exists, SUMPRODUCT(--ISNUMBER(MATCH(_xlpm._platform_keywords,_xlpm._original_keywords,0)))&gt;0,
_xlfn.IFS(_xlpm._exists,1,NOT(_xlpm._exists),"")
)</f>
        <v/>
      </c>
      <c r="U26" s="33" t="str" cm="1">
        <f t="array" aca="1" ref="U2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($E26=CLASSIFICATION[[Keyword Aggr]:[Keyword Aggr]])*($D26=CLASSIFICATION[[Functional Scope Aggr]:[Functional Scope Aggr]])),
_xlpm._platform_keywords, _xlfn.TEXTSPLIT(SUBSTITUTE(SUBSTITUTE(VLOOKUP($D26,_xlpm._platform_range,3,FALSE),"+"&amp;CHAR(34),"+"),CHAR(34),""),", "),
_xlpm._exists, SUMPRODUCT(--ISNUMBER(MATCH(_xlpm._platform_keywords,_xlpm._original_keywords,0)))&gt;0,
_xlfn.IFS(_xlpm._exists,1,NOT(_xlpm._exists),"")
)</f>
        <v/>
      </c>
      <c r="V26" s="33" t="str" cm="1">
        <f t="array" aca="1" ref="V2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($E26=CLASSIFICATION[[Keyword Aggr]:[Keyword Aggr]])*($D26=CLASSIFICATION[[Functional Scope Aggr]:[Functional Scope Aggr]])),
_xlpm._platform_keywords, _xlfn.TEXTSPLIT(SUBSTITUTE(SUBSTITUTE(VLOOKUP($D26,_xlpm._platform_range,3,FALSE),"+"&amp;CHAR(34),"+"),CHAR(34),""),", "),
_xlpm._exists, SUMPRODUCT(--ISNUMBER(MATCH(_xlpm._platform_keywords,_xlpm._original_keywords,0)))&gt;0,
_xlfn.IFS(_xlpm._exists,1,NOT(_xlpm._exists),"")
)</f>
        <v/>
      </c>
      <c r="X26" s="33" t="str">
        <f t="shared" si="4"/>
        <v/>
      </c>
      <c r="Y26" s="33" t="str">
        <f t="shared" si="5"/>
        <v/>
      </c>
      <c r="Z26" s="33" t="str">
        <f t="shared" si="6"/>
        <v/>
      </c>
      <c r="AA26" s="33" t="str">
        <f t="shared" si="7"/>
        <v/>
      </c>
      <c r="AB26" s="33" t="str">
        <f t="shared" si="8"/>
        <v/>
      </c>
      <c r="AC26" s="33" t="str">
        <f t="shared" si="9"/>
        <v/>
      </c>
    </row>
    <row r="27" spans="1:29" x14ac:dyDescent="0.25">
      <c r="A27" s="19" t="str">
        <v>Design,UI model,Functions</v>
      </c>
      <c r="B27" t="s">
        <v>377</v>
      </c>
      <c r="C27" s="19" t="str" cm="1">
        <f t="array" ref="C27:E27">_xlfn.TEXTSPLIT(A27,",")</f>
        <v>Design</v>
      </c>
      <c r="D27" s="19" t="str">
        <v>UI model</v>
      </c>
      <c r="E27" s="19" t="str">
        <v>Functions</v>
      </c>
      <c r="F27" s="36" t="str" cm="1">
        <f t="array" ref="F27">_xlfn.TEXTJOIN(",",TRUE,_xlfn._xlws.FILTER(CLASSIFICATION[Keyword], ($E27=CLASSIFICATION[Keyword Aggr])*($D27=CLASSIFICATION[Functional Scope Aggr])))</f>
        <v>Functions</v>
      </c>
      <c r="G27" s="32" t="str">
        <f t="shared" si="2"/>
        <v/>
      </c>
      <c r="H27" s="32" t="str">
        <f t="shared" si="3"/>
        <v/>
      </c>
      <c r="I27" s="32" t="str">
        <f t="shared" si="10"/>
        <v>Functions</v>
      </c>
      <c r="J27" s="33" t="str" cm="1">
        <f t="array" aca="1" ref="J2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($E27=CLASSIFICATION[[Keyword Aggr]:[Keyword Aggr]])*($D27=CLASSIFICATION[[Functional Scope Aggr]:[Functional Scope Aggr]])),
_xlpm._platform_keywords, _xlfn.TEXTSPLIT(SUBSTITUTE(SUBSTITUTE(VLOOKUP($D27,_xlpm._platform_range,3,FALSE),"+"&amp;CHAR(34),"+"),CHAR(34),""),", "),
_xlpm._exists, SUMPRODUCT(--ISNUMBER(MATCH(_xlpm._platform_keywords,_xlpm._original_keywords,0)))&gt;0,
_xlfn.IFS(AND(_xlpm._exists,LEFT($E27,1)="+"),"+",_xlpm._exists,"*",NOT(_xlpm._exists),"")
)</f>
        <v/>
      </c>
      <c r="K27" s="33" t="str" cm="1">
        <f t="array" aca="1" ref="K2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($E27=CLASSIFICATION[[Keyword Aggr]:[Keyword Aggr]])*($D27=CLASSIFICATION[[Functional Scope Aggr]:[Functional Scope Aggr]])),
_xlpm._platform_keywords, _xlfn.TEXTSPLIT(SUBSTITUTE(SUBSTITUTE(VLOOKUP($D27,_xlpm._platform_range,3,FALSE),"+"&amp;CHAR(34),"+"),CHAR(34),""),", "),
_xlpm._exists, SUMPRODUCT(--ISNUMBER(MATCH(_xlpm._platform_keywords,_xlpm._original_keywords,0)))&gt;0,
_xlfn.IFS(AND(_xlpm._exists,LEFT($E27,1)="+"),"+",_xlpm._exists,"*",NOT(_xlpm._exists),"")
)</f>
        <v/>
      </c>
      <c r="L27" s="33" t="str" cm="1">
        <f t="array" aca="1" ref="L2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($E27=CLASSIFICATION[[Keyword Aggr]:[Keyword Aggr]])*($D27=CLASSIFICATION[[Functional Scope Aggr]:[Functional Scope Aggr]])),
_xlpm._platform_keywords, _xlfn.TEXTSPLIT(SUBSTITUTE(SUBSTITUTE(VLOOKUP($D27,_xlpm._platform_range,3,FALSE),"+"&amp;CHAR(34),"+"),CHAR(34),""),", "),
_xlpm._exists, SUMPRODUCT(--ISNUMBER(MATCH(_xlpm._platform_keywords,_xlpm._original_keywords,0)))&gt;0,
_xlfn.IFS(AND(_xlpm._exists,LEFT($E27,1)="+"),"+",_xlpm._exists,"*",NOT(_xlpm._exists),"")
)</f>
        <v/>
      </c>
      <c r="M27" s="33" t="str" cm="1">
        <f t="array" aca="1" ref="M2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($E27=CLASSIFICATION[[Keyword Aggr]:[Keyword Aggr]])*($D27=CLASSIFICATION[[Functional Scope Aggr]:[Functional Scope Aggr]])),
_xlpm._platform_keywords, _xlfn.TEXTSPLIT(SUBSTITUTE(SUBSTITUTE(VLOOKUP($D27,_xlpm._platform_range,3,FALSE),"+"&amp;CHAR(34),"+"),CHAR(34),""),", "),
_xlpm._exists, SUMPRODUCT(--ISNUMBER(MATCH(_xlpm._platform_keywords,_xlpm._original_keywords,0)))&gt;0,
_xlfn.IFS(AND(_xlpm._exists,LEFT($E27,1)="+"),"+",_xlpm._exists,"*",NOT(_xlpm._exists),"")
)</f>
        <v/>
      </c>
      <c r="N27" s="33" t="str" cm="1">
        <f t="array" aca="1" ref="N2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($E27=CLASSIFICATION[[Keyword Aggr]:[Keyword Aggr]])*($D27=CLASSIFICATION[[Functional Scope Aggr]:[Functional Scope Aggr]])),
_xlpm._platform_keywords, _xlfn.TEXTSPLIT(SUBSTITUTE(SUBSTITUTE(VLOOKUP($D27,_xlpm._platform_range,3,FALSE),"+"&amp;CHAR(34),"+"),CHAR(34),""),", "),
_xlpm._exists, SUMPRODUCT(--ISNUMBER(MATCH(_xlpm._platform_keywords,_xlpm._original_keywords,0)))&gt;0,
_xlfn.IFS(AND(_xlpm._exists,LEFT($E27,1)="+"),"+",_xlpm._exists,"*",NOT(_xlpm._exists),"")
)</f>
        <v>*</v>
      </c>
      <c r="O27" s="33" t="str" cm="1">
        <f t="array" aca="1" ref="O2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($E27=CLASSIFICATION[[Keyword Aggr]:[Keyword Aggr]])*($D27=CLASSIFICATION[[Functional Scope Aggr]:[Functional Scope Aggr]])),
_xlpm._platform_keywords, _xlfn.TEXTSPLIT(SUBSTITUTE(SUBSTITUTE(VLOOKUP($D27,_xlpm._platform_range,3,FALSE),"+"&amp;CHAR(34),"+"),CHAR(34),""),", "),
_xlpm._exists, SUMPRODUCT(--ISNUMBER(MATCH(_xlpm._platform_keywords,_xlpm._original_keywords,0)))&gt;0,
_xlfn.IFS(AND(_xlpm._exists,LEFT($E27,1)="+"),"+",_xlpm._exists,"*",NOT(_xlpm._exists),"")
)</f>
        <v/>
      </c>
      <c r="Q27" s="33" t="str" cm="1">
        <f t="array" aca="1" ref="Q2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($E27=CLASSIFICATION[[Keyword Aggr]:[Keyword Aggr]])*($D27=CLASSIFICATION[[Functional Scope Aggr]:[Functional Scope Aggr]])),
_xlpm._platform_keywords, _xlfn.TEXTSPLIT(SUBSTITUTE(SUBSTITUTE(VLOOKUP($D27,_xlpm._platform_range,3,FALSE),"+"&amp;CHAR(34),"+"),CHAR(34),""),", "),
_xlpm._exists, SUMPRODUCT(--ISNUMBER(MATCH(_xlpm._platform_keywords,_xlpm._original_keywords,0)))&gt;0,
_xlfn.IFS(_xlpm._exists,1,NOT(_xlpm._exists),"")
)</f>
        <v/>
      </c>
      <c r="R27" s="33" t="str" cm="1">
        <f t="array" aca="1" ref="R2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($E27=CLASSIFICATION[[Keyword Aggr]:[Keyword Aggr]])*($D27=CLASSIFICATION[[Functional Scope Aggr]:[Functional Scope Aggr]])),
_xlpm._platform_keywords, _xlfn.TEXTSPLIT(SUBSTITUTE(SUBSTITUTE(VLOOKUP($D27,_xlpm._platform_range,3,FALSE),"+"&amp;CHAR(34),"+"),CHAR(34),""),", "),
_xlpm._exists, SUMPRODUCT(--ISNUMBER(MATCH(_xlpm._platform_keywords,_xlpm._original_keywords,0)))&gt;0,
_xlfn.IFS(_xlpm._exists,1,NOT(_xlpm._exists),"")
)</f>
        <v/>
      </c>
      <c r="S27" s="33" t="str" cm="1">
        <f t="array" aca="1" ref="S2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($E27=CLASSIFICATION[[Keyword Aggr]:[Keyword Aggr]])*($D27=CLASSIFICATION[[Functional Scope Aggr]:[Functional Scope Aggr]])),
_xlpm._platform_keywords, _xlfn.TEXTSPLIT(SUBSTITUTE(SUBSTITUTE(VLOOKUP($D27,_xlpm._platform_range,3,FALSE),"+"&amp;CHAR(34),"+"),CHAR(34),""),", "),
_xlpm._exists, SUMPRODUCT(--ISNUMBER(MATCH(_xlpm._platform_keywords,_xlpm._original_keywords,0)))&gt;0,
_xlfn.IFS(_xlpm._exists,1,NOT(_xlpm._exists),"")
)</f>
        <v/>
      </c>
      <c r="T27" s="33" t="str" cm="1">
        <f t="array" aca="1" ref="T2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($E27=CLASSIFICATION[[Keyword Aggr]:[Keyword Aggr]])*($D27=CLASSIFICATION[[Functional Scope Aggr]:[Functional Scope Aggr]])),
_xlpm._platform_keywords, _xlfn.TEXTSPLIT(SUBSTITUTE(SUBSTITUTE(VLOOKUP($D27,_xlpm._platform_range,3,FALSE),"+"&amp;CHAR(34),"+"),CHAR(34),""),", "),
_xlpm._exists, SUMPRODUCT(--ISNUMBER(MATCH(_xlpm._platform_keywords,_xlpm._original_keywords,0)))&gt;0,
_xlfn.IFS(_xlpm._exists,1,NOT(_xlpm._exists),"")
)</f>
        <v/>
      </c>
      <c r="U27" s="33" cm="1">
        <f t="array" aca="1" ref="U2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($E27=CLASSIFICATION[[Keyword Aggr]:[Keyword Aggr]])*($D27=CLASSIFICATION[[Functional Scope Aggr]:[Functional Scope Aggr]])),
_xlpm._platform_keywords, _xlfn.TEXTSPLIT(SUBSTITUTE(SUBSTITUTE(VLOOKUP($D27,_xlpm._platform_range,3,FALSE),"+"&amp;CHAR(34),"+"),CHAR(34),""),", "),
_xlpm._exists, SUMPRODUCT(--ISNUMBER(MATCH(_xlpm._platform_keywords,_xlpm._original_keywords,0)))&gt;0,
_xlfn.IFS(_xlpm._exists,1,NOT(_xlpm._exists),"")
)</f>
        <v>1</v>
      </c>
      <c r="V27" s="33" t="str" cm="1">
        <f t="array" aca="1" ref="V2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($E27=CLASSIFICATION[[Keyword Aggr]:[Keyword Aggr]])*($D27=CLASSIFICATION[[Functional Scope Aggr]:[Functional Scope Aggr]])),
_xlpm._platform_keywords, _xlfn.TEXTSPLIT(SUBSTITUTE(SUBSTITUTE(VLOOKUP($D27,_xlpm._platform_range,3,FALSE),"+"&amp;CHAR(34),"+"),CHAR(34),""),", "),
_xlpm._exists, SUMPRODUCT(--ISNUMBER(MATCH(_xlpm._platform_keywords,_xlpm._original_keywords,0)))&gt;0,
_xlfn.IFS(_xlpm._exists,1,NOT(_xlpm._exists),"")
)</f>
        <v/>
      </c>
      <c r="X27" s="33" t="str">
        <f t="shared" si="4"/>
        <v/>
      </c>
      <c r="Y27" s="33" t="str">
        <f t="shared" si="5"/>
        <v/>
      </c>
      <c r="Z27" s="33" t="str">
        <f t="shared" si="6"/>
        <v/>
      </c>
      <c r="AA27" s="33" t="str">
        <f t="shared" si="7"/>
        <v/>
      </c>
      <c r="AB27" s="33" t="str">
        <f t="shared" si="8"/>
        <v/>
      </c>
      <c r="AC27" s="33" t="str">
        <f t="shared" si="9"/>
        <v/>
      </c>
    </row>
    <row r="28" spans="1:29" x14ac:dyDescent="0.25">
      <c r="A28" s="19" t="str">
        <v>Design,UI model,Model-driven Apps</v>
      </c>
      <c r="B28" t="s">
        <v>377</v>
      </c>
      <c r="C28" s="19" t="str" cm="1">
        <f t="array" ref="C28:E28">_xlfn.TEXTSPLIT(A28,",")</f>
        <v>Design</v>
      </c>
      <c r="D28" s="19" t="str">
        <v>UI model</v>
      </c>
      <c r="E28" s="19" t="str">
        <v>Model-driven Apps</v>
      </c>
      <c r="F28" s="36" t="str" cm="1">
        <f t="array" ref="F28">_xlfn.TEXTJOIN(",",TRUE,_xlfn._xlws.FILTER(CLASSIFICATION[Keyword], ($E28=CLASSIFICATION[Keyword Aggr])*($D28=CLASSIFICATION[Functional Scope Aggr])))</f>
        <v>Model-driven Apps</v>
      </c>
      <c r="G28" s="32" t="str">
        <f t="shared" si="2"/>
        <v/>
      </c>
      <c r="H28" s="32" t="str">
        <f t="shared" si="3"/>
        <v/>
      </c>
      <c r="I28" s="32" t="str">
        <f t="shared" si="10"/>
        <v>Model-driven Apps</v>
      </c>
      <c r="J28" s="33" t="str" cm="1">
        <f t="array" aca="1" ref="J2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($E28=CLASSIFICATION[[Keyword Aggr]:[Keyword Aggr]])*($D28=CLASSIFICATION[[Functional Scope Aggr]:[Functional Scope Aggr]])),
_xlpm._platform_keywords, _xlfn.TEXTSPLIT(SUBSTITUTE(SUBSTITUTE(VLOOKUP($D28,_xlpm._platform_range,3,FALSE),"+"&amp;CHAR(34),"+"),CHAR(34),""),", "),
_xlpm._exists, SUMPRODUCT(--ISNUMBER(MATCH(_xlpm._platform_keywords,_xlpm._original_keywords,0)))&gt;0,
_xlfn.IFS(AND(_xlpm._exists,LEFT($E28,1)="+"),"+",_xlpm._exists,"*",NOT(_xlpm._exists),"")
)</f>
        <v/>
      </c>
      <c r="K28" s="33" t="str" cm="1">
        <f t="array" aca="1" ref="K2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($E28=CLASSIFICATION[[Keyword Aggr]:[Keyword Aggr]])*($D28=CLASSIFICATION[[Functional Scope Aggr]:[Functional Scope Aggr]])),
_xlpm._platform_keywords, _xlfn.TEXTSPLIT(SUBSTITUTE(SUBSTITUTE(VLOOKUP($D28,_xlpm._platform_range,3,FALSE),"+"&amp;CHAR(34),"+"),CHAR(34),""),", "),
_xlpm._exists, SUMPRODUCT(--ISNUMBER(MATCH(_xlpm._platform_keywords,_xlpm._original_keywords,0)))&gt;0,
_xlfn.IFS(AND(_xlpm._exists,LEFT($E28,1)="+"),"+",_xlpm._exists,"*",NOT(_xlpm._exists),"")
)</f>
        <v/>
      </c>
      <c r="L28" s="33" t="str" cm="1">
        <f t="array" aca="1" ref="L2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($E28=CLASSIFICATION[[Keyword Aggr]:[Keyword Aggr]])*($D28=CLASSIFICATION[[Functional Scope Aggr]:[Functional Scope Aggr]])),
_xlpm._platform_keywords, _xlfn.TEXTSPLIT(SUBSTITUTE(SUBSTITUTE(VLOOKUP($D28,_xlpm._platform_range,3,FALSE),"+"&amp;CHAR(34),"+"),CHAR(34),""),", "),
_xlpm._exists, SUMPRODUCT(--ISNUMBER(MATCH(_xlpm._platform_keywords,_xlpm._original_keywords,0)))&gt;0,
_xlfn.IFS(AND(_xlpm._exists,LEFT($E28,1)="+"),"+",_xlpm._exists,"*",NOT(_xlpm._exists),"")
)</f>
        <v/>
      </c>
      <c r="M28" s="33" t="str" cm="1">
        <f t="array" aca="1" ref="M2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($E28=CLASSIFICATION[[Keyword Aggr]:[Keyword Aggr]])*($D28=CLASSIFICATION[[Functional Scope Aggr]:[Functional Scope Aggr]])),
_xlpm._platform_keywords, _xlfn.TEXTSPLIT(SUBSTITUTE(SUBSTITUTE(VLOOKUP($D28,_xlpm._platform_range,3,FALSE),"+"&amp;CHAR(34),"+"),CHAR(34),""),", "),
_xlpm._exists, SUMPRODUCT(--ISNUMBER(MATCH(_xlpm._platform_keywords,_xlpm._original_keywords,0)))&gt;0,
_xlfn.IFS(AND(_xlpm._exists,LEFT($E28,1)="+"),"+",_xlpm._exists,"*",NOT(_xlpm._exists),"")
)</f>
        <v>*</v>
      </c>
      <c r="N28" s="33" t="str" cm="1">
        <f t="array" aca="1" ref="N2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($E28=CLASSIFICATION[[Keyword Aggr]:[Keyword Aggr]])*($D28=CLASSIFICATION[[Functional Scope Aggr]:[Functional Scope Aggr]])),
_xlpm._platform_keywords, _xlfn.TEXTSPLIT(SUBSTITUTE(SUBSTITUTE(VLOOKUP($D28,_xlpm._platform_range,3,FALSE),"+"&amp;CHAR(34),"+"),CHAR(34),""),", "),
_xlpm._exists, SUMPRODUCT(--ISNUMBER(MATCH(_xlpm._platform_keywords,_xlpm._original_keywords,0)))&gt;0,
_xlfn.IFS(AND(_xlpm._exists,LEFT($E28,1)="+"),"+",_xlpm._exists,"*",NOT(_xlpm._exists),"")
)</f>
        <v/>
      </c>
      <c r="O28" s="33" t="str" cm="1">
        <f t="array" aca="1" ref="O2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($E28=CLASSIFICATION[[Keyword Aggr]:[Keyword Aggr]])*($D28=CLASSIFICATION[[Functional Scope Aggr]:[Functional Scope Aggr]])),
_xlpm._platform_keywords, _xlfn.TEXTSPLIT(SUBSTITUTE(SUBSTITUTE(VLOOKUP($D28,_xlpm._platform_range,3,FALSE),"+"&amp;CHAR(34),"+"),CHAR(34),""),", "),
_xlpm._exists, SUMPRODUCT(--ISNUMBER(MATCH(_xlpm._platform_keywords,_xlpm._original_keywords,0)))&gt;0,
_xlfn.IFS(AND(_xlpm._exists,LEFT($E28,1)="+"),"+",_xlpm._exists,"*",NOT(_xlpm._exists),"")
)</f>
        <v/>
      </c>
      <c r="Q28" s="33" t="str" cm="1">
        <f t="array" aca="1" ref="Q2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($E28=CLASSIFICATION[[Keyword Aggr]:[Keyword Aggr]])*($D28=CLASSIFICATION[[Functional Scope Aggr]:[Functional Scope Aggr]])),
_xlpm._platform_keywords, _xlfn.TEXTSPLIT(SUBSTITUTE(SUBSTITUTE(VLOOKUP($D28,_xlpm._platform_range,3,FALSE),"+"&amp;CHAR(34),"+"),CHAR(34),""),", "),
_xlpm._exists, SUMPRODUCT(--ISNUMBER(MATCH(_xlpm._platform_keywords,_xlpm._original_keywords,0)))&gt;0,
_xlfn.IFS(_xlpm._exists,1,NOT(_xlpm._exists),"")
)</f>
        <v/>
      </c>
      <c r="R28" s="33" t="str" cm="1">
        <f t="array" aca="1" ref="R2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($E28=CLASSIFICATION[[Keyword Aggr]:[Keyword Aggr]])*($D28=CLASSIFICATION[[Functional Scope Aggr]:[Functional Scope Aggr]])),
_xlpm._platform_keywords, _xlfn.TEXTSPLIT(SUBSTITUTE(SUBSTITUTE(VLOOKUP($D28,_xlpm._platform_range,3,FALSE),"+"&amp;CHAR(34),"+"),CHAR(34),""),", "),
_xlpm._exists, SUMPRODUCT(--ISNUMBER(MATCH(_xlpm._platform_keywords,_xlpm._original_keywords,0)))&gt;0,
_xlfn.IFS(_xlpm._exists,1,NOT(_xlpm._exists),"")
)</f>
        <v/>
      </c>
      <c r="S28" s="33" t="str" cm="1">
        <f t="array" aca="1" ref="S2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($E28=CLASSIFICATION[[Keyword Aggr]:[Keyword Aggr]])*($D28=CLASSIFICATION[[Functional Scope Aggr]:[Functional Scope Aggr]])),
_xlpm._platform_keywords, _xlfn.TEXTSPLIT(SUBSTITUTE(SUBSTITUTE(VLOOKUP($D28,_xlpm._platform_range,3,FALSE),"+"&amp;CHAR(34),"+"),CHAR(34),""),", "),
_xlpm._exists, SUMPRODUCT(--ISNUMBER(MATCH(_xlpm._platform_keywords,_xlpm._original_keywords,0)))&gt;0,
_xlfn.IFS(_xlpm._exists,1,NOT(_xlpm._exists),"")
)</f>
        <v/>
      </c>
      <c r="T28" s="33" cm="1">
        <f t="array" aca="1" ref="T2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($E28=CLASSIFICATION[[Keyword Aggr]:[Keyword Aggr]])*($D28=CLASSIFICATION[[Functional Scope Aggr]:[Functional Scope Aggr]])),
_xlpm._platform_keywords, _xlfn.TEXTSPLIT(SUBSTITUTE(SUBSTITUTE(VLOOKUP($D28,_xlpm._platform_range,3,FALSE),"+"&amp;CHAR(34),"+"),CHAR(34),""),", "),
_xlpm._exists, SUMPRODUCT(--ISNUMBER(MATCH(_xlpm._platform_keywords,_xlpm._original_keywords,0)))&gt;0,
_xlfn.IFS(_xlpm._exists,1,NOT(_xlpm._exists),"")
)</f>
        <v>1</v>
      </c>
      <c r="U28" s="33" t="str" cm="1">
        <f t="array" aca="1" ref="U2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($E28=CLASSIFICATION[[Keyword Aggr]:[Keyword Aggr]])*($D28=CLASSIFICATION[[Functional Scope Aggr]:[Functional Scope Aggr]])),
_xlpm._platform_keywords, _xlfn.TEXTSPLIT(SUBSTITUTE(SUBSTITUTE(VLOOKUP($D28,_xlpm._platform_range,3,FALSE),"+"&amp;CHAR(34),"+"),CHAR(34),""),", "),
_xlpm._exists, SUMPRODUCT(--ISNUMBER(MATCH(_xlpm._platform_keywords,_xlpm._original_keywords,0)))&gt;0,
_xlfn.IFS(_xlpm._exists,1,NOT(_xlpm._exists),"")
)</f>
        <v/>
      </c>
      <c r="V28" s="33" t="str" cm="1">
        <f t="array" aca="1" ref="V2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($E28=CLASSIFICATION[[Keyword Aggr]:[Keyword Aggr]])*($D28=CLASSIFICATION[[Functional Scope Aggr]:[Functional Scope Aggr]])),
_xlpm._platform_keywords, _xlfn.TEXTSPLIT(SUBSTITUTE(SUBSTITUTE(VLOOKUP($D28,_xlpm._platform_range,3,FALSE),"+"&amp;CHAR(34),"+"),CHAR(34),""),", "),
_xlpm._exists, SUMPRODUCT(--ISNUMBER(MATCH(_xlpm._platform_keywords,_xlpm._original_keywords,0)))&gt;0,
_xlfn.IFS(_xlpm._exists,1,NOT(_xlpm._exists),"")
)</f>
        <v/>
      </c>
      <c r="X28" s="33" t="str">
        <f t="shared" si="4"/>
        <v/>
      </c>
      <c r="Y28" s="33" t="str">
        <f t="shared" si="5"/>
        <v/>
      </c>
      <c r="Z28" s="33" t="str">
        <f t="shared" si="6"/>
        <v/>
      </c>
      <c r="AA28" s="33" t="str">
        <f t="shared" si="7"/>
        <v/>
      </c>
      <c r="AB28" s="33" t="str">
        <f t="shared" si="8"/>
        <v/>
      </c>
      <c r="AC28" s="33" t="str">
        <f t="shared" si="9"/>
        <v/>
      </c>
    </row>
    <row r="29" spans="1:29" x14ac:dyDescent="0.25">
      <c r="A29" s="19" t="str">
        <v>Design,UI model,Reactive Web App</v>
      </c>
      <c r="B29" t="s">
        <v>377</v>
      </c>
      <c r="C29" s="19" t="str" cm="1">
        <f t="array" ref="C29:E29">_xlfn.TEXTSPLIT(A29,",")</f>
        <v>Design</v>
      </c>
      <c r="D29" s="19" t="str">
        <v>UI model</v>
      </c>
      <c r="E29" s="19" t="str">
        <v>Reactive Web App</v>
      </c>
      <c r="F29" s="36" t="str" cm="1">
        <f t="array" ref="F29">_xlfn.TEXTJOIN(",",TRUE,_xlfn._xlws.FILTER(CLASSIFICATION[Keyword], ($E29=CLASSIFICATION[Keyword Aggr])*($D29=CLASSIFICATION[Functional Scope Aggr])))</f>
        <v>Reactive Web App</v>
      </c>
      <c r="G29" s="32" t="str">
        <f t="shared" si="2"/>
        <v/>
      </c>
      <c r="H29" s="32" t="str">
        <f t="shared" si="3"/>
        <v/>
      </c>
      <c r="I29" s="32" t="str">
        <f t="shared" si="10"/>
        <v>Reactive Web App</v>
      </c>
      <c r="J29" s="33" t="str" cm="1">
        <f t="array" aca="1" ref="J2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($E29=CLASSIFICATION[[Keyword Aggr]:[Keyword Aggr]])*($D29=CLASSIFICATION[[Functional Scope Aggr]:[Functional Scope Aggr]])),
_xlpm._platform_keywords, _xlfn.TEXTSPLIT(SUBSTITUTE(SUBSTITUTE(VLOOKUP($D29,_xlpm._platform_range,3,FALSE),"+"&amp;CHAR(34),"+"),CHAR(34),""),", "),
_xlpm._exists, SUMPRODUCT(--ISNUMBER(MATCH(_xlpm._platform_keywords,_xlpm._original_keywords,0)))&gt;0,
_xlfn.IFS(AND(_xlpm._exists,LEFT($E29,1)="+"),"+",_xlpm._exists,"*",NOT(_xlpm._exists),"")
)</f>
        <v/>
      </c>
      <c r="K29" s="33" t="str" cm="1">
        <f t="array" aca="1" ref="K2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($E29=CLASSIFICATION[[Keyword Aggr]:[Keyword Aggr]])*($D29=CLASSIFICATION[[Functional Scope Aggr]:[Functional Scope Aggr]])),
_xlpm._platform_keywords, _xlfn.TEXTSPLIT(SUBSTITUTE(SUBSTITUTE(VLOOKUP($D29,_xlpm._platform_range,3,FALSE),"+"&amp;CHAR(34),"+"),CHAR(34),""),", "),
_xlpm._exists, SUMPRODUCT(--ISNUMBER(MATCH(_xlpm._platform_keywords,_xlpm._original_keywords,0)))&gt;0,
_xlfn.IFS(AND(_xlpm._exists,LEFT($E29,1)="+"),"+",_xlpm._exists,"*",NOT(_xlpm._exists),"")
)</f>
        <v>*</v>
      </c>
      <c r="L29" s="33" t="str" cm="1">
        <f t="array" aca="1" ref="L2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($E29=CLASSIFICATION[[Keyword Aggr]:[Keyword Aggr]])*($D29=CLASSIFICATION[[Functional Scope Aggr]:[Functional Scope Aggr]])),
_xlpm._platform_keywords, _xlfn.TEXTSPLIT(SUBSTITUTE(SUBSTITUTE(VLOOKUP($D29,_xlpm._platform_range,3,FALSE),"+"&amp;CHAR(34),"+"),CHAR(34),""),", "),
_xlpm._exists, SUMPRODUCT(--ISNUMBER(MATCH(_xlpm._platform_keywords,_xlpm._original_keywords,0)))&gt;0,
_xlfn.IFS(AND(_xlpm._exists,LEFT($E29,1)="+"),"+",_xlpm._exists,"*",NOT(_xlpm._exists),"")
)</f>
        <v/>
      </c>
      <c r="M29" s="33" t="str" cm="1">
        <f t="array" aca="1" ref="M2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($E29=CLASSIFICATION[[Keyword Aggr]:[Keyword Aggr]])*($D29=CLASSIFICATION[[Functional Scope Aggr]:[Functional Scope Aggr]])),
_xlpm._platform_keywords, _xlfn.TEXTSPLIT(SUBSTITUTE(SUBSTITUTE(VLOOKUP($D29,_xlpm._platform_range,3,FALSE),"+"&amp;CHAR(34),"+"),CHAR(34),""),", "),
_xlpm._exists, SUMPRODUCT(--ISNUMBER(MATCH(_xlpm._platform_keywords,_xlpm._original_keywords,0)))&gt;0,
_xlfn.IFS(AND(_xlpm._exists,LEFT($E29,1)="+"),"+",_xlpm._exists,"*",NOT(_xlpm._exists),"")
)</f>
        <v/>
      </c>
      <c r="N29" s="33" t="str" cm="1">
        <f t="array" aca="1" ref="N2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($E29=CLASSIFICATION[[Keyword Aggr]:[Keyword Aggr]])*($D29=CLASSIFICATION[[Functional Scope Aggr]:[Functional Scope Aggr]])),
_xlpm._platform_keywords, _xlfn.TEXTSPLIT(SUBSTITUTE(SUBSTITUTE(VLOOKUP($D29,_xlpm._platform_range,3,FALSE),"+"&amp;CHAR(34),"+"),CHAR(34),""),", "),
_xlpm._exists, SUMPRODUCT(--ISNUMBER(MATCH(_xlpm._platform_keywords,_xlpm._original_keywords,0)))&gt;0,
_xlfn.IFS(AND(_xlpm._exists,LEFT($E29,1)="+"),"+",_xlpm._exists,"*",NOT(_xlpm._exists),"")
)</f>
        <v/>
      </c>
      <c r="O29" s="33" t="str" cm="1">
        <f t="array" aca="1" ref="O2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($E29=CLASSIFICATION[[Keyword Aggr]:[Keyword Aggr]])*($D29=CLASSIFICATION[[Functional Scope Aggr]:[Functional Scope Aggr]])),
_xlpm._platform_keywords, _xlfn.TEXTSPLIT(SUBSTITUTE(SUBSTITUTE(VLOOKUP($D29,_xlpm._platform_range,3,FALSE),"+"&amp;CHAR(34),"+"),CHAR(34),""),", "),
_xlpm._exists, SUMPRODUCT(--ISNUMBER(MATCH(_xlpm._platform_keywords,_xlpm._original_keywords,0)))&gt;0,
_xlfn.IFS(AND(_xlpm._exists,LEFT($E29,1)="+"),"+",_xlpm._exists,"*",NOT(_xlpm._exists),"")
)</f>
        <v/>
      </c>
      <c r="Q29" s="33" t="str" cm="1">
        <f t="array" aca="1" ref="Q2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($E29=CLASSIFICATION[[Keyword Aggr]:[Keyword Aggr]])*($D29=CLASSIFICATION[[Functional Scope Aggr]:[Functional Scope Aggr]])),
_xlpm._platform_keywords, _xlfn.TEXTSPLIT(SUBSTITUTE(SUBSTITUTE(VLOOKUP($D29,_xlpm._platform_range,3,FALSE),"+"&amp;CHAR(34),"+"),CHAR(34),""),", "),
_xlpm._exists, SUMPRODUCT(--ISNUMBER(MATCH(_xlpm._platform_keywords,_xlpm._original_keywords,0)))&gt;0,
_xlfn.IFS(_xlpm._exists,1,NOT(_xlpm._exists),"")
)</f>
        <v/>
      </c>
      <c r="R29" s="33" cm="1">
        <f t="array" aca="1" ref="R2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($E29=CLASSIFICATION[[Keyword Aggr]:[Keyword Aggr]])*($D29=CLASSIFICATION[[Functional Scope Aggr]:[Functional Scope Aggr]])),
_xlpm._platform_keywords, _xlfn.TEXTSPLIT(SUBSTITUTE(SUBSTITUTE(VLOOKUP($D29,_xlpm._platform_range,3,FALSE),"+"&amp;CHAR(34),"+"),CHAR(34),""),", "),
_xlpm._exists, SUMPRODUCT(--ISNUMBER(MATCH(_xlpm._platform_keywords,_xlpm._original_keywords,0)))&gt;0,
_xlfn.IFS(_xlpm._exists,1,NOT(_xlpm._exists),"")
)</f>
        <v>1</v>
      </c>
      <c r="S29" s="33" t="str" cm="1">
        <f t="array" aca="1" ref="S2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($E29=CLASSIFICATION[[Keyword Aggr]:[Keyword Aggr]])*($D29=CLASSIFICATION[[Functional Scope Aggr]:[Functional Scope Aggr]])),
_xlpm._platform_keywords, _xlfn.TEXTSPLIT(SUBSTITUTE(SUBSTITUTE(VLOOKUP($D29,_xlpm._platform_range,3,FALSE),"+"&amp;CHAR(34),"+"),CHAR(34),""),", "),
_xlpm._exists, SUMPRODUCT(--ISNUMBER(MATCH(_xlpm._platform_keywords,_xlpm._original_keywords,0)))&gt;0,
_xlfn.IFS(_xlpm._exists,1,NOT(_xlpm._exists),"")
)</f>
        <v/>
      </c>
      <c r="T29" s="33" t="str" cm="1">
        <f t="array" aca="1" ref="T2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($E29=CLASSIFICATION[[Keyword Aggr]:[Keyword Aggr]])*($D29=CLASSIFICATION[[Functional Scope Aggr]:[Functional Scope Aggr]])),
_xlpm._platform_keywords, _xlfn.TEXTSPLIT(SUBSTITUTE(SUBSTITUTE(VLOOKUP($D29,_xlpm._platform_range,3,FALSE),"+"&amp;CHAR(34),"+"),CHAR(34),""),", "),
_xlpm._exists, SUMPRODUCT(--ISNUMBER(MATCH(_xlpm._platform_keywords,_xlpm._original_keywords,0)))&gt;0,
_xlfn.IFS(_xlpm._exists,1,NOT(_xlpm._exists),"")
)</f>
        <v/>
      </c>
      <c r="U29" s="33" t="str" cm="1">
        <f t="array" aca="1" ref="U2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($E29=CLASSIFICATION[[Keyword Aggr]:[Keyword Aggr]])*($D29=CLASSIFICATION[[Functional Scope Aggr]:[Functional Scope Aggr]])),
_xlpm._platform_keywords, _xlfn.TEXTSPLIT(SUBSTITUTE(SUBSTITUTE(VLOOKUP($D29,_xlpm._platform_range,3,FALSE),"+"&amp;CHAR(34),"+"),CHAR(34),""),", "),
_xlpm._exists, SUMPRODUCT(--ISNUMBER(MATCH(_xlpm._platform_keywords,_xlpm._original_keywords,0)))&gt;0,
_xlfn.IFS(_xlpm._exists,1,NOT(_xlpm._exists),"")
)</f>
        <v/>
      </c>
      <c r="V29" s="33" t="str" cm="1">
        <f t="array" aca="1" ref="V2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($E29=CLASSIFICATION[[Keyword Aggr]:[Keyword Aggr]])*($D29=CLASSIFICATION[[Functional Scope Aggr]:[Functional Scope Aggr]])),
_xlpm._platform_keywords, _xlfn.TEXTSPLIT(SUBSTITUTE(SUBSTITUTE(VLOOKUP($D29,_xlpm._platform_range,3,FALSE),"+"&amp;CHAR(34),"+"),CHAR(34),""),", "),
_xlpm._exists, SUMPRODUCT(--ISNUMBER(MATCH(_xlpm._platform_keywords,_xlpm._original_keywords,0)))&gt;0,
_xlfn.IFS(_xlpm._exists,1,NOT(_xlpm._exists),"")
)</f>
        <v/>
      </c>
      <c r="X29" s="33" t="str">
        <f t="shared" si="4"/>
        <v/>
      </c>
      <c r="Y29" s="33" t="str">
        <f t="shared" si="5"/>
        <v/>
      </c>
      <c r="Z29" s="33" t="str">
        <f t="shared" si="6"/>
        <v/>
      </c>
      <c r="AA29" s="33" t="str">
        <f t="shared" si="7"/>
        <v/>
      </c>
      <c r="AB29" s="33" t="str">
        <f t="shared" si="8"/>
        <v/>
      </c>
      <c r="AC29" s="33" t="str">
        <f t="shared" si="9"/>
        <v/>
      </c>
    </row>
    <row r="30" spans="1:29" x14ac:dyDescent="0.25">
      <c r="A30" s="19" t="str">
        <v>Design,UI model,Responsive Web Design</v>
      </c>
      <c r="B30" t="s">
        <v>377</v>
      </c>
      <c r="C30" s="19" t="str" cm="1">
        <f t="array" ref="C30:E30">_xlfn.TEXTSPLIT(A30,",")</f>
        <v>Design</v>
      </c>
      <c r="D30" s="19" t="str">
        <v>UI model</v>
      </c>
      <c r="E30" s="19" t="str">
        <v>Responsive Web Design</v>
      </c>
      <c r="F30" s="36" t="str" cm="1">
        <f t="array" ref="F30">_xlfn.TEXTJOIN(",",TRUE,_xlfn._xlws.FILTER(CLASSIFICATION[Keyword], ($E30=CLASSIFICATION[Keyword Aggr])*($D30=CLASSIFICATION[Functional Scope Aggr])))</f>
        <v>Responsive Web Design</v>
      </c>
      <c r="G30" s="32" t="str">
        <f t="shared" si="2"/>
        <v/>
      </c>
      <c r="H30" s="32" t="str">
        <f t="shared" si="3"/>
        <v/>
      </c>
      <c r="I30" s="32" t="str">
        <f t="shared" si="10"/>
        <v>Responsive Web Design</v>
      </c>
      <c r="J30" s="33" t="str" cm="1">
        <f t="array" aca="1" ref="J3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($E30=CLASSIFICATION[[Keyword Aggr]:[Keyword Aggr]])*($D30=CLASSIFICATION[[Functional Scope Aggr]:[Functional Scope Aggr]])),
_xlpm._platform_keywords, _xlfn.TEXTSPLIT(SUBSTITUTE(SUBSTITUTE(VLOOKUP($D30,_xlpm._platform_range,3,FALSE),"+"&amp;CHAR(34),"+"),CHAR(34),""),", "),
_xlpm._exists, SUMPRODUCT(--ISNUMBER(MATCH(_xlpm._platform_keywords,_xlpm._original_keywords,0)))&gt;0,
_xlfn.IFS(AND(_xlpm._exists,LEFT($E30,1)="+"),"+",_xlpm._exists,"*",NOT(_xlpm._exists),"")
)</f>
        <v>*</v>
      </c>
      <c r="K30" s="33" t="str" cm="1">
        <f t="array" aca="1" ref="K3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($E30=CLASSIFICATION[[Keyword Aggr]:[Keyword Aggr]])*($D30=CLASSIFICATION[[Functional Scope Aggr]:[Functional Scope Aggr]])),
_xlpm._platform_keywords, _xlfn.TEXTSPLIT(SUBSTITUTE(SUBSTITUTE(VLOOKUP($D30,_xlpm._platform_range,3,FALSE),"+"&amp;CHAR(34),"+"),CHAR(34),""),", "),
_xlpm._exists, SUMPRODUCT(--ISNUMBER(MATCH(_xlpm._platform_keywords,_xlpm._original_keywords,0)))&gt;0,
_xlfn.IFS(AND(_xlpm._exists,LEFT($E30,1)="+"),"+",_xlpm._exists,"*",NOT(_xlpm._exists),"")
)</f>
        <v/>
      </c>
      <c r="L30" s="33" t="str" cm="1">
        <f t="array" aca="1" ref="L3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($E30=CLASSIFICATION[[Keyword Aggr]:[Keyword Aggr]])*($D30=CLASSIFICATION[[Functional Scope Aggr]:[Functional Scope Aggr]])),
_xlpm._platform_keywords, _xlfn.TEXTSPLIT(SUBSTITUTE(SUBSTITUTE(VLOOKUP($D30,_xlpm._platform_range,3,FALSE),"+"&amp;CHAR(34),"+"),CHAR(34),""),", "),
_xlpm._exists, SUMPRODUCT(--ISNUMBER(MATCH(_xlpm._platform_keywords,_xlpm._original_keywords,0)))&gt;0,
_xlfn.IFS(AND(_xlpm._exists,LEFT($E30,1)="+"),"+",_xlpm._exists,"*",NOT(_xlpm._exists),"")
)</f>
        <v/>
      </c>
      <c r="M30" s="33" t="str" cm="1">
        <f t="array" aca="1" ref="M3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($E30=CLASSIFICATION[[Keyword Aggr]:[Keyword Aggr]])*($D30=CLASSIFICATION[[Functional Scope Aggr]:[Functional Scope Aggr]])),
_xlpm._platform_keywords, _xlfn.TEXTSPLIT(SUBSTITUTE(SUBSTITUTE(VLOOKUP($D30,_xlpm._platform_range,3,FALSE),"+"&amp;CHAR(34),"+"),CHAR(34),""),", "),
_xlpm._exists, SUMPRODUCT(--ISNUMBER(MATCH(_xlpm._platform_keywords,_xlpm._original_keywords,0)))&gt;0,
_xlfn.IFS(AND(_xlpm._exists,LEFT($E30,1)="+"),"+",_xlpm._exists,"*",NOT(_xlpm._exists),"")
)</f>
        <v>*</v>
      </c>
      <c r="N30" s="33" t="str" cm="1">
        <f t="array" aca="1" ref="N3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($E30=CLASSIFICATION[[Keyword Aggr]:[Keyword Aggr]])*($D30=CLASSIFICATION[[Functional Scope Aggr]:[Functional Scope Aggr]])),
_xlpm._platform_keywords, _xlfn.TEXTSPLIT(SUBSTITUTE(SUBSTITUTE(VLOOKUP($D30,_xlpm._platform_range,3,FALSE),"+"&amp;CHAR(34),"+"),CHAR(34),""),", "),
_xlpm._exists, SUMPRODUCT(--ISNUMBER(MATCH(_xlpm._platform_keywords,_xlpm._original_keywords,0)))&gt;0,
_xlfn.IFS(AND(_xlpm._exists,LEFT($E30,1)="+"),"+",_xlpm._exists,"*",NOT(_xlpm._exists),"")
)</f>
        <v/>
      </c>
      <c r="O30" s="33" t="str" cm="1">
        <f t="array" aca="1" ref="O3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($E30=CLASSIFICATION[[Keyword Aggr]:[Keyword Aggr]])*($D30=CLASSIFICATION[[Functional Scope Aggr]:[Functional Scope Aggr]])),
_xlpm._platform_keywords, _xlfn.TEXTSPLIT(SUBSTITUTE(SUBSTITUTE(VLOOKUP($D30,_xlpm._platform_range,3,FALSE),"+"&amp;CHAR(34),"+"),CHAR(34),""),", "),
_xlpm._exists, SUMPRODUCT(--ISNUMBER(MATCH(_xlpm._platform_keywords,_xlpm._original_keywords,0)))&gt;0,
_xlfn.IFS(AND(_xlpm._exists,LEFT($E30,1)="+"),"+",_xlpm._exists,"*",NOT(_xlpm._exists),"")
)</f>
        <v/>
      </c>
      <c r="Q30" s="33" cm="1">
        <f t="array" aca="1" ref="Q3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($E30=CLASSIFICATION[[Keyword Aggr]:[Keyword Aggr]])*($D30=CLASSIFICATION[[Functional Scope Aggr]:[Functional Scope Aggr]])),
_xlpm._platform_keywords, _xlfn.TEXTSPLIT(SUBSTITUTE(SUBSTITUTE(VLOOKUP($D30,_xlpm._platform_range,3,FALSE),"+"&amp;CHAR(34),"+"),CHAR(34),""),", "),
_xlpm._exists, SUMPRODUCT(--ISNUMBER(MATCH(_xlpm._platform_keywords,_xlpm._original_keywords,0)))&gt;0,
_xlfn.IFS(_xlpm._exists,1,NOT(_xlpm._exists),"")
)</f>
        <v>1</v>
      </c>
      <c r="R30" s="33" t="str" cm="1">
        <f t="array" aca="1" ref="R3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($E30=CLASSIFICATION[[Keyword Aggr]:[Keyword Aggr]])*($D30=CLASSIFICATION[[Functional Scope Aggr]:[Functional Scope Aggr]])),
_xlpm._platform_keywords, _xlfn.TEXTSPLIT(SUBSTITUTE(SUBSTITUTE(VLOOKUP($D30,_xlpm._platform_range,3,FALSE),"+"&amp;CHAR(34),"+"),CHAR(34),""),", "),
_xlpm._exists, SUMPRODUCT(--ISNUMBER(MATCH(_xlpm._platform_keywords,_xlpm._original_keywords,0)))&gt;0,
_xlfn.IFS(_xlpm._exists,1,NOT(_xlpm._exists),"")
)</f>
        <v/>
      </c>
      <c r="S30" s="33" t="str" cm="1">
        <f t="array" aca="1" ref="S3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($E30=CLASSIFICATION[[Keyword Aggr]:[Keyword Aggr]])*($D30=CLASSIFICATION[[Functional Scope Aggr]:[Functional Scope Aggr]])),
_xlpm._platform_keywords, _xlfn.TEXTSPLIT(SUBSTITUTE(SUBSTITUTE(VLOOKUP($D30,_xlpm._platform_range,3,FALSE),"+"&amp;CHAR(34),"+"),CHAR(34),""),", "),
_xlpm._exists, SUMPRODUCT(--ISNUMBER(MATCH(_xlpm._platform_keywords,_xlpm._original_keywords,0)))&gt;0,
_xlfn.IFS(_xlpm._exists,1,NOT(_xlpm._exists),"")
)</f>
        <v/>
      </c>
      <c r="T30" s="33" cm="1">
        <f t="array" aca="1" ref="T3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($E30=CLASSIFICATION[[Keyword Aggr]:[Keyword Aggr]])*($D30=CLASSIFICATION[[Functional Scope Aggr]:[Functional Scope Aggr]])),
_xlpm._platform_keywords, _xlfn.TEXTSPLIT(SUBSTITUTE(SUBSTITUTE(VLOOKUP($D30,_xlpm._platform_range,3,FALSE),"+"&amp;CHAR(34),"+"),CHAR(34),""),", "),
_xlpm._exists, SUMPRODUCT(--ISNUMBER(MATCH(_xlpm._platform_keywords,_xlpm._original_keywords,0)))&gt;0,
_xlfn.IFS(_xlpm._exists,1,NOT(_xlpm._exists),"")
)</f>
        <v>1</v>
      </c>
      <c r="U30" s="33" t="str" cm="1">
        <f t="array" aca="1" ref="U3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($E30=CLASSIFICATION[[Keyword Aggr]:[Keyword Aggr]])*($D30=CLASSIFICATION[[Functional Scope Aggr]:[Functional Scope Aggr]])),
_xlpm._platform_keywords, _xlfn.TEXTSPLIT(SUBSTITUTE(SUBSTITUTE(VLOOKUP($D30,_xlpm._platform_range,3,FALSE),"+"&amp;CHAR(34),"+"),CHAR(34),""),", "),
_xlpm._exists, SUMPRODUCT(--ISNUMBER(MATCH(_xlpm._platform_keywords,_xlpm._original_keywords,0)))&gt;0,
_xlfn.IFS(_xlpm._exists,1,NOT(_xlpm._exists),"")
)</f>
        <v/>
      </c>
      <c r="V30" s="33" t="str" cm="1">
        <f t="array" aca="1" ref="V3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($E30=CLASSIFICATION[[Keyword Aggr]:[Keyword Aggr]])*($D30=CLASSIFICATION[[Functional Scope Aggr]:[Functional Scope Aggr]])),
_xlpm._platform_keywords, _xlfn.TEXTSPLIT(SUBSTITUTE(SUBSTITUTE(VLOOKUP($D30,_xlpm._platform_range,3,FALSE),"+"&amp;CHAR(34),"+"),CHAR(34),""),", "),
_xlpm._exists, SUMPRODUCT(--ISNUMBER(MATCH(_xlpm._platform_keywords,_xlpm._original_keywords,0)))&gt;0,
_xlfn.IFS(_xlpm._exists,1,NOT(_xlpm._exists),"")
)</f>
        <v/>
      </c>
      <c r="X30" s="33" t="str">
        <f t="shared" si="4"/>
        <v/>
      </c>
      <c r="Y30" s="33" t="str">
        <f t="shared" si="5"/>
        <v/>
      </c>
      <c r="Z30" s="33" t="str">
        <f t="shared" si="6"/>
        <v/>
      </c>
      <c r="AA30" s="33" t="str">
        <f t="shared" si="7"/>
        <v/>
      </c>
      <c r="AB30" s="33" t="str">
        <f t="shared" si="8"/>
        <v/>
      </c>
      <c r="AC30" s="33" t="str">
        <f t="shared" si="9"/>
        <v/>
      </c>
    </row>
    <row r="31" spans="1:29" x14ac:dyDescent="0.25">
      <c r="A31" s="19" t="str">
        <v>Design,UI model,Variables</v>
      </c>
      <c r="B31" t="s">
        <v>377</v>
      </c>
      <c r="C31" s="19" t="str" cm="1">
        <f t="array" ref="C31:E31">_xlfn.TEXTSPLIT(A31,",")</f>
        <v>Design</v>
      </c>
      <c r="D31" s="19" t="str">
        <v>UI model</v>
      </c>
      <c r="E31" s="19" t="str">
        <v>Variables</v>
      </c>
      <c r="F31" s="36" t="str" cm="1">
        <f t="array" ref="F31">_xlfn.TEXTJOIN(",",TRUE,_xlfn._xlws.FILTER(CLASSIFICATION[Keyword], ($E31=CLASSIFICATION[Keyword Aggr])*($D31=CLASSIFICATION[Functional Scope Aggr])))</f>
        <v>Variables</v>
      </c>
      <c r="G31" s="32" t="str">
        <f t="shared" si="2"/>
        <v/>
      </c>
      <c r="H31" s="32" t="str">
        <f t="shared" si="3"/>
        <v/>
      </c>
      <c r="I31" s="32" t="str">
        <f t="shared" si="10"/>
        <v>Variables</v>
      </c>
      <c r="J31" s="33" t="str" cm="1">
        <f t="array" aca="1" ref="J3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($E31=CLASSIFICATION[[Keyword Aggr]:[Keyword Aggr]])*($D31=CLASSIFICATION[[Functional Scope Aggr]:[Functional Scope Aggr]])),
_xlpm._platform_keywords, _xlfn.TEXTSPLIT(SUBSTITUTE(SUBSTITUTE(VLOOKUP($D31,_xlpm._platform_range,3,FALSE),"+"&amp;CHAR(34),"+"),CHAR(34),""),", "),
_xlpm._exists, SUMPRODUCT(--ISNUMBER(MATCH(_xlpm._platform_keywords,_xlpm._original_keywords,0)))&gt;0,
_xlfn.IFS(AND(_xlpm._exists,LEFT($E31,1)="+"),"+",_xlpm._exists,"*",NOT(_xlpm._exists),"")
)</f>
        <v/>
      </c>
      <c r="K31" s="33" t="str" cm="1">
        <f t="array" aca="1" ref="K3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($E31=CLASSIFICATION[[Keyword Aggr]:[Keyword Aggr]])*($D31=CLASSIFICATION[[Functional Scope Aggr]:[Functional Scope Aggr]])),
_xlpm._platform_keywords, _xlfn.TEXTSPLIT(SUBSTITUTE(SUBSTITUTE(VLOOKUP($D31,_xlpm._platform_range,3,FALSE),"+"&amp;CHAR(34),"+"),CHAR(34),""),", "),
_xlpm._exists, SUMPRODUCT(--ISNUMBER(MATCH(_xlpm._platform_keywords,_xlpm._original_keywords,0)))&gt;0,
_xlfn.IFS(AND(_xlpm._exists,LEFT($E31,1)="+"),"+",_xlpm._exists,"*",NOT(_xlpm._exists),"")
)</f>
        <v>*</v>
      </c>
      <c r="L31" s="33" t="str" cm="1">
        <f t="array" aca="1" ref="L3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($E31=CLASSIFICATION[[Keyword Aggr]:[Keyword Aggr]])*($D31=CLASSIFICATION[[Functional Scope Aggr]:[Functional Scope Aggr]])),
_xlpm._platform_keywords, _xlfn.TEXTSPLIT(SUBSTITUTE(SUBSTITUTE(VLOOKUP($D31,_xlpm._platform_range,3,FALSE),"+"&amp;CHAR(34),"+"),CHAR(34),""),", "),
_xlpm._exists, SUMPRODUCT(--ISNUMBER(MATCH(_xlpm._platform_keywords,_xlpm._original_keywords,0)))&gt;0,
_xlfn.IFS(AND(_xlpm._exists,LEFT($E31,1)="+"),"+",_xlpm._exists,"*",NOT(_xlpm._exists),"")
)</f>
        <v>*</v>
      </c>
      <c r="M31" s="33" t="str" cm="1">
        <f t="array" aca="1" ref="M3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($E31=CLASSIFICATION[[Keyword Aggr]:[Keyword Aggr]])*($D31=CLASSIFICATION[[Functional Scope Aggr]:[Functional Scope Aggr]])),
_xlpm._platform_keywords, _xlfn.TEXTSPLIT(SUBSTITUTE(SUBSTITUTE(VLOOKUP($D31,_xlpm._platform_range,3,FALSE),"+"&amp;CHAR(34),"+"),CHAR(34),""),", "),
_xlpm._exists, SUMPRODUCT(--ISNUMBER(MATCH(_xlpm._platform_keywords,_xlpm._original_keywords,0)))&gt;0,
_xlfn.IFS(AND(_xlpm._exists,LEFT($E31,1)="+"),"+",_xlpm._exists,"*",NOT(_xlpm._exists),"")
)</f>
        <v/>
      </c>
      <c r="N31" s="33" t="str" cm="1">
        <f t="array" aca="1" ref="N3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($E31=CLASSIFICATION[[Keyword Aggr]:[Keyword Aggr]])*($D31=CLASSIFICATION[[Functional Scope Aggr]:[Functional Scope Aggr]])),
_xlpm._platform_keywords, _xlfn.TEXTSPLIT(SUBSTITUTE(SUBSTITUTE(VLOOKUP($D31,_xlpm._platform_range,3,FALSE),"+"&amp;CHAR(34),"+"),CHAR(34),""),", "),
_xlpm._exists, SUMPRODUCT(--ISNUMBER(MATCH(_xlpm._platform_keywords,_xlpm._original_keywords,0)))&gt;0,
_xlfn.IFS(AND(_xlpm._exists,LEFT($E31,1)="+"),"+",_xlpm._exists,"*",NOT(_xlpm._exists),"")
)</f>
        <v/>
      </c>
      <c r="O31" s="33" t="str" cm="1">
        <f t="array" aca="1" ref="O3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($E31=CLASSIFICATION[[Keyword Aggr]:[Keyword Aggr]])*($D31=CLASSIFICATION[[Functional Scope Aggr]:[Functional Scope Aggr]])),
_xlpm._platform_keywords, _xlfn.TEXTSPLIT(SUBSTITUTE(SUBSTITUTE(VLOOKUP($D31,_xlpm._platform_range,3,FALSE),"+"&amp;CHAR(34),"+"),CHAR(34),""),", "),
_xlpm._exists, SUMPRODUCT(--ISNUMBER(MATCH(_xlpm._platform_keywords,_xlpm._original_keywords,0)))&gt;0,
_xlfn.IFS(AND(_xlpm._exists,LEFT($E31,1)="+"),"+",_xlpm._exists,"*",NOT(_xlpm._exists),"")
)</f>
        <v>*</v>
      </c>
      <c r="Q31" s="33" t="str" cm="1">
        <f t="array" aca="1" ref="Q3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($E31=CLASSIFICATION[[Keyword Aggr]:[Keyword Aggr]])*($D31=CLASSIFICATION[[Functional Scope Aggr]:[Functional Scope Aggr]])),
_xlpm._platform_keywords, _xlfn.TEXTSPLIT(SUBSTITUTE(SUBSTITUTE(VLOOKUP($D31,_xlpm._platform_range,3,FALSE),"+"&amp;CHAR(34),"+"),CHAR(34),""),", "),
_xlpm._exists, SUMPRODUCT(--ISNUMBER(MATCH(_xlpm._platform_keywords,_xlpm._original_keywords,0)))&gt;0,
_xlfn.IFS(_xlpm._exists,1,NOT(_xlpm._exists),"")
)</f>
        <v/>
      </c>
      <c r="R31" s="33" cm="1">
        <f t="array" aca="1" ref="R3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($E31=CLASSIFICATION[[Keyword Aggr]:[Keyword Aggr]])*($D31=CLASSIFICATION[[Functional Scope Aggr]:[Functional Scope Aggr]])),
_xlpm._platform_keywords, _xlfn.TEXTSPLIT(SUBSTITUTE(SUBSTITUTE(VLOOKUP($D31,_xlpm._platform_range,3,FALSE),"+"&amp;CHAR(34),"+"),CHAR(34),""),", "),
_xlpm._exists, SUMPRODUCT(--ISNUMBER(MATCH(_xlpm._platform_keywords,_xlpm._original_keywords,0)))&gt;0,
_xlfn.IFS(_xlpm._exists,1,NOT(_xlpm._exists),"")
)</f>
        <v>1</v>
      </c>
      <c r="S31" s="33" cm="1">
        <f t="array" aca="1" ref="S3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($E31=CLASSIFICATION[[Keyword Aggr]:[Keyword Aggr]])*($D31=CLASSIFICATION[[Functional Scope Aggr]:[Functional Scope Aggr]])),
_xlpm._platform_keywords, _xlfn.TEXTSPLIT(SUBSTITUTE(SUBSTITUTE(VLOOKUP($D31,_xlpm._platform_range,3,FALSE),"+"&amp;CHAR(34),"+"),CHAR(34),""),", "),
_xlpm._exists, SUMPRODUCT(--ISNUMBER(MATCH(_xlpm._platform_keywords,_xlpm._original_keywords,0)))&gt;0,
_xlfn.IFS(_xlpm._exists,1,NOT(_xlpm._exists),"")
)</f>
        <v>1</v>
      </c>
      <c r="T31" s="33" t="str" cm="1">
        <f t="array" aca="1" ref="T3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($E31=CLASSIFICATION[[Keyword Aggr]:[Keyword Aggr]])*($D31=CLASSIFICATION[[Functional Scope Aggr]:[Functional Scope Aggr]])),
_xlpm._platform_keywords, _xlfn.TEXTSPLIT(SUBSTITUTE(SUBSTITUTE(VLOOKUP($D31,_xlpm._platform_range,3,FALSE),"+"&amp;CHAR(34),"+"),CHAR(34),""),", "),
_xlpm._exists, SUMPRODUCT(--ISNUMBER(MATCH(_xlpm._platform_keywords,_xlpm._original_keywords,0)))&gt;0,
_xlfn.IFS(_xlpm._exists,1,NOT(_xlpm._exists),"")
)</f>
        <v/>
      </c>
      <c r="U31" s="33" t="str" cm="1">
        <f t="array" aca="1" ref="U3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($E31=CLASSIFICATION[[Keyword Aggr]:[Keyword Aggr]])*($D31=CLASSIFICATION[[Functional Scope Aggr]:[Functional Scope Aggr]])),
_xlpm._platform_keywords, _xlfn.TEXTSPLIT(SUBSTITUTE(SUBSTITUTE(VLOOKUP($D31,_xlpm._platform_range,3,FALSE),"+"&amp;CHAR(34),"+"),CHAR(34),""),", "),
_xlpm._exists, SUMPRODUCT(--ISNUMBER(MATCH(_xlpm._platform_keywords,_xlpm._original_keywords,0)))&gt;0,
_xlfn.IFS(_xlpm._exists,1,NOT(_xlpm._exists),"")
)</f>
        <v/>
      </c>
      <c r="V31" s="33" cm="1">
        <f t="array" aca="1" ref="V3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($E31=CLASSIFICATION[[Keyword Aggr]:[Keyword Aggr]])*($D31=CLASSIFICATION[[Functional Scope Aggr]:[Functional Scope Aggr]])),
_xlpm._platform_keywords, _xlfn.TEXTSPLIT(SUBSTITUTE(SUBSTITUTE(VLOOKUP($D31,_xlpm._platform_range,3,FALSE),"+"&amp;CHAR(34),"+"),CHAR(34),""),", "),
_xlpm._exists, SUMPRODUCT(--ISNUMBER(MATCH(_xlpm._platform_keywords,_xlpm._original_keywords,0)))&gt;0,
_xlfn.IFS(_xlpm._exists,1,NOT(_xlpm._exists),"")
)</f>
        <v>1</v>
      </c>
      <c r="X31" s="33" t="str">
        <f t="shared" si="4"/>
        <v/>
      </c>
      <c r="Y31" s="33" t="str">
        <f t="shared" si="5"/>
        <v/>
      </c>
      <c r="Z31" s="33" t="str">
        <f t="shared" si="6"/>
        <v/>
      </c>
      <c r="AA31" s="33" t="str">
        <f t="shared" si="7"/>
        <v/>
      </c>
      <c r="AB31" s="33" t="str">
        <f t="shared" si="8"/>
        <v/>
      </c>
      <c r="AC31" s="33" t="str">
        <f t="shared" si="9"/>
        <v/>
      </c>
    </row>
    <row r="32" spans="1:29" x14ac:dyDescent="0.25">
      <c r="A32" s="19" t="str">
        <v>Design,Validations,+Business Rules</v>
      </c>
      <c r="B32" t="s">
        <v>377</v>
      </c>
      <c r="C32" s="19" t="str" cm="1">
        <f t="array" ref="C32:E32">_xlfn.TEXTSPLIT(A32,",")</f>
        <v>Design</v>
      </c>
      <c r="D32" s="19" t="str">
        <v>Validations</v>
      </c>
      <c r="E32" s="19" t="str">
        <v>+Business Rules</v>
      </c>
      <c r="F32" s="36" t="str" cm="1">
        <f t="array" ref="F32">_xlfn.TEXTJOIN(",",TRUE,_xlfn._xlws.FILTER(CLASSIFICATION[Keyword], ($E32=CLASSIFICATION[Keyword Aggr])*($D32=CLASSIFICATION[Functional Scope Aggr])))</f>
        <v>+Business Rules (graphical)</v>
      </c>
      <c r="G32" s="32" t="str">
        <f t="shared" si="2"/>
        <v/>
      </c>
      <c r="H32" s="32" t="str">
        <f t="shared" si="3"/>
        <v>Validations</v>
      </c>
      <c r="I32" s="32" t="str">
        <f t="shared" si="10"/>
        <v>+Business Rules</v>
      </c>
      <c r="J32" s="33" t="str" cm="1">
        <f t="array" aca="1" ref="J3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($E32=CLASSIFICATION[[Keyword Aggr]:[Keyword Aggr]])*($D32=CLASSIFICATION[[Functional Scope Aggr]:[Functional Scope Aggr]])),
_xlpm._platform_keywords, _xlfn.TEXTSPLIT(SUBSTITUTE(SUBSTITUTE(VLOOKUP($D32,_xlpm._platform_range,3,FALSE),"+"&amp;CHAR(34),"+"),CHAR(34),""),", "),
_xlpm._exists, SUMPRODUCT(--ISNUMBER(MATCH(_xlpm._platform_keywords,_xlpm._original_keywords,0)))&gt;0,
_xlfn.IFS(AND(_xlpm._exists,LEFT($E32,1)="+"),"+",_xlpm._exists,"*",NOT(_xlpm._exists),"")
)</f>
        <v/>
      </c>
      <c r="K32" s="33" t="str" cm="1">
        <f t="array" aca="1" ref="K3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($E32=CLASSIFICATION[[Keyword Aggr]:[Keyword Aggr]])*($D32=CLASSIFICATION[[Functional Scope Aggr]:[Functional Scope Aggr]])),
_xlpm._platform_keywords, _xlfn.TEXTSPLIT(SUBSTITUTE(SUBSTITUTE(VLOOKUP($D32,_xlpm._platform_range,3,FALSE),"+"&amp;CHAR(34),"+"),CHAR(34),""),", "),
_xlpm._exists, SUMPRODUCT(--ISNUMBER(MATCH(_xlpm._platform_keywords,_xlpm._original_keywords,0)))&gt;0,
_xlfn.IFS(AND(_xlpm._exists,LEFT($E32,1)="+"),"+",_xlpm._exists,"*",NOT(_xlpm._exists),"")
)</f>
        <v/>
      </c>
      <c r="L32" s="33" t="str" cm="1">
        <f t="array" aca="1" ref="L3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($E32=CLASSIFICATION[[Keyword Aggr]:[Keyword Aggr]])*($D32=CLASSIFICATION[[Functional Scope Aggr]:[Functional Scope Aggr]])),
_xlpm._platform_keywords, _xlfn.TEXTSPLIT(SUBSTITUTE(SUBSTITUTE(VLOOKUP($D32,_xlpm._platform_range,3,FALSE),"+"&amp;CHAR(34),"+"),CHAR(34),""),", "),
_xlpm._exists, SUMPRODUCT(--ISNUMBER(MATCH(_xlpm._platform_keywords,_xlpm._original_keywords,0)))&gt;0,
_xlfn.IFS(AND(_xlpm._exists,LEFT($E32,1)="+"),"+",_xlpm._exists,"*",NOT(_xlpm._exists),"")
)</f>
        <v/>
      </c>
      <c r="M32" s="33" t="str" cm="1">
        <f t="array" aca="1" ref="M3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($E32=CLASSIFICATION[[Keyword Aggr]:[Keyword Aggr]])*($D32=CLASSIFICATION[[Functional Scope Aggr]:[Functional Scope Aggr]])),
_xlpm._platform_keywords, _xlfn.TEXTSPLIT(SUBSTITUTE(SUBSTITUTE(VLOOKUP($D32,_xlpm._platform_range,3,FALSE),"+"&amp;CHAR(34),"+"),CHAR(34),""),", "),
_xlpm._exists, SUMPRODUCT(--ISNUMBER(MATCH(_xlpm._platform_keywords,_xlpm._original_keywords,0)))&gt;0,
_xlfn.IFS(AND(_xlpm._exists,LEFT($E32,1)="+"),"+",_xlpm._exists,"*",NOT(_xlpm._exists),"")
)</f>
        <v>+</v>
      </c>
      <c r="N32" s="33" t="str" cm="1">
        <f t="array" aca="1" ref="N3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($E32=CLASSIFICATION[[Keyword Aggr]:[Keyword Aggr]])*($D32=CLASSIFICATION[[Functional Scope Aggr]:[Functional Scope Aggr]])),
_xlpm._platform_keywords, _xlfn.TEXTSPLIT(SUBSTITUTE(SUBSTITUTE(VLOOKUP($D32,_xlpm._platform_range,3,FALSE),"+"&amp;CHAR(34),"+"),CHAR(34),""),", "),
_xlpm._exists, SUMPRODUCT(--ISNUMBER(MATCH(_xlpm._platform_keywords,_xlpm._original_keywords,0)))&gt;0,
_xlfn.IFS(AND(_xlpm._exists,LEFT($E32,1)="+"),"+",_xlpm._exists,"*",NOT(_xlpm._exists),"")
)</f>
        <v/>
      </c>
      <c r="O32" s="33" t="str" cm="1">
        <f t="array" aca="1" ref="O3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($E32=CLASSIFICATION[[Keyword Aggr]:[Keyword Aggr]])*($D32=CLASSIFICATION[[Functional Scope Aggr]:[Functional Scope Aggr]])),
_xlpm._platform_keywords, _xlfn.TEXTSPLIT(SUBSTITUTE(SUBSTITUTE(VLOOKUP($D32,_xlpm._platform_range,3,FALSE),"+"&amp;CHAR(34),"+"),CHAR(34),""),", "),
_xlpm._exists, SUMPRODUCT(--ISNUMBER(MATCH(_xlpm._platform_keywords,_xlpm._original_keywords,0)))&gt;0,
_xlfn.IFS(AND(_xlpm._exists,LEFT($E32,1)="+"),"+",_xlpm._exists,"*",NOT(_xlpm._exists),"")
)</f>
        <v>+</v>
      </c>
      <c r="Q32" s="33" t="str" cm="1">
        <f t="array" aca="1" ref="Q3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($E32=CLASSIFICATION[[Keyword Aggr]:[Keyword Aggr]])*($D32=CLASSIFICATION[[Functional Scope Aggr]:[Functional Scope Aggr]])),
_xlpm._platform_keywords, _xlfn.TEXTSPLIT(SUBSTITUTE(SUBSTITUTE(VLOOKUP($D32,_xlpm._platform_range,3,FALSE),"+"&amp;CHAR(34),"+"),CHAR(34),""),", "),
_xlpm._exists, SUMPRODUCT(--ISNUMBER(MATCH(_xlpm._platform_keywords,_xlpm._original_keywords,0)))&gt;0,
_xlfn.IFS(_xlpm._exists,1,NOT(_xlpm._exists),"")
)</f>
        <v/>
      </c>
      <c r="R32" s="33" t="str" cm="1">
        <f t="array" aca="1" ref="R3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($E32=CLASSIFICATION[[Keyword Aggr]:[Keyword Aggr]])*($D32=CLASSIFICATION[[Functional Scope Aggr]:[Functional Scope Aggr]])),
_xlpm._platform_keywords, _xlfn.TEXTSPLIT(SUBSTITUTE(SUBSTITUTE(VLOOKUP($D32,_xlpm._platform_range,3,FALSE),"+"&amp;CHAR(34),"+"),CHAR(34),""),", "),
_xlpm._exists, SUMPRODUCT(--ISNUMBER(MATCH(_xlpm._platform_keywords,_xlpm._original_keywords,0)))&gt;0,
_xlfn.IFS(_xlpm._exists,1,NOT(_xlpm._exists),"")
)</f>
        <v/>
      </c>
      <c r="S32" s="33" t="str" cm="1">
        <f t="array" aca="1" ref="S3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($E32=CLASSIFICATION[[Keyword Aggr]:[Keyword Aggr]])*($D32=CLASSIFICATION[[Functional Scope Aggr]:[Functional Scope Aggr]])),
_xlpm._platform_keywords, _xlfn.TEXTSPLIT(SUBSTITUTE(SUBSTITUTE(VLOOKUP($D32,_xlpm._platform_range,3,FALSE),"+"&amp;CHAR(34),"+"),CHAR(34),""),", "),
_xlpm._exists, SUMPRODUCT(--ISNUMBER(MATCH(_xlpm._platform_keywords,_xlpm._original_keywords,0)))&gt;0,
_xlfn.IFS(_xlpm._exists,1,NOT(_xlpm._exists),"")
)</f>
        <v/>
      </c>
      <c r="T32" s="33" cm="1">
        <f t="array" aca="1" ref="T3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($E32=CLASSIFICATION[[Keyword Aggr]:[Keyword Aggr]])*($D32=CLASSIFICATION[[Functional Scope Aggr]:[Functional Scope Aggr]])),
_xlpm._platform_keywords, _xlfn.TEXTSPLIT(SUBSTITUTE(SUBSTITUTE(VLOOKUP($D32,_xlpm._platform_range,3,FALSE),"+"&amp;CHAR(34),"+"),CHAR(34),""),", "),
_xlpm._exists, SUMPRODUCT(--ISNUMBER(MATCH(_xlpm._platform_keywords,_xlpm._original_keywords,0)))&gt;0,
_xlfn.IFS(_xlpm._exists,1,NOT(_xlpm._exists),"")
)</f>
        <v>1</v>
      </c>
      <c r="U32" s="33" t="str" cm="1">
        <f t="array" aca="1" ref="U3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($E32=CLASSIFICATION[[Keyword Aggr]:[Keyword Aggr]])*($D32=CLASSIFICATION[[Functional Scope Aggr]:[Functional Scope Aggr]])),
_xlpm._platform_keywords, _xlfn.TEXTSPLIT(SUBSTITUTE(SUBSTITUTE(VLOOKUP($D32,_xlpm._platform_range,3,FALSE),"+"&amp;CHAR(34),"+"),CHAR(34),""),", "),
_xlpm._exists, SUMPRODUCT(--ISNUMBER(MATCH(_xlpm._platform_keywords,_xlpm._original_keywords,0)))&gt;0,
_xlfn.IFS(_xlpm._exists,1,NOT(_xlpm._exists),"")
)</f>
        <v/>
      </c>
      <c r="V32" s="33" cm="1">
        <f t="array" aca="1" ref="V3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($E32=CLASSIFICATION[[Keyword Aggr]:[Keyword Aggr]])*($D32=CLASSIFICATION[[Functional Scope Aggr]:[Functional Scope Aggr]])),
_xlpm._platform_keywords, _xlfn.TEXTSPLIT(SUBSTITUTE(SUBSTITUTE(VLOOKUP($D32,_xlpm._platform_range,3,FALSE),"+"&amp;CHAR(34),"+"),CHAR(34),""),", "),
_xlpm._exists, SUMPRODUCT(--ISNUMBER(MATCH(_xlpm._platform_keywords,_xlpm._original_keywords,0)))&gt;0,
_xlfn.IFS(_xlpm._exists,1,NOT(_xlpm._exists),"")
)</f>
        <v>1</v>
      </c>
      <c r="X32" s="33">
        <f t="shared" ca="1" si="4"/>
        <v>4</v>
      </c>
      <c r="Y32" s="33">
        <f t="shared" ca="1" si="5"/>
        <v>1</v>
      </c>
      <c r="Z32" s="33">
        <f t="shared" ca="1" si="6"/>
        <v>2</v>
      </c>
      <c r="AA32" s="33">
        <f t="shared" ca="1" si="7"/>
        <v>1</v>
      </c>
      <c r="AB32" s="33">
        <f t="shared" ca="1" si="8"/>
        <v>1</v>
      </c>
      <c r="AC32" s="33">
        <f t="shared" ca="1" si="9"/>
        <v>2</v>
      </c>
    </row>
    <row r="33" spans="1:29" x14ac:dyDescent="0.25">
      <c r="A33" s="19" t="str">
        <v>Design,Validations,+Lookup/Drop-down</v>
      </c>
      <c r="B33" t="s">
        <v>377</v>
      </c>
      <c r="C33" s="19" t="str" cm="1">
        <f t="array" ref="C33:E33">_xlfn.TEXTSPLIT(A33,",")</f>
        <v>Design</v>
      </c>
      <c r="D33" s="19" t="str">
        <v>Validations</v>
      </c>
      <c r="E33" s="19" t="str">
        <v>+Lookup/Drop-down</v>
      </c>
      <c r="F33" s="36" t="str" cm="1">
        <f t="array" ref="F33">_xlfn.TEXTJOIN(",",TRUE,_xlfn._xlws.FILTER(CLASSIFICATION[Keyword], ($E33=CLASSIFICATION[Keyword Aggr])*($D33=CLASSIFICATION[Functional Scope Aggr])))</f>
        <v>+Lookup/Drop-down Data Patterns,+Lookup/Drop-down Data Patterns (dictionaries and multi field groups)</v>
      </c>
      <c r="G33" s="32" t="str">
        <f t="shared" si="2"/>
        <v/>
      </c>
      <c r="H33" s="32" t="str">
        <f t="shared" si="3"/>
        <v/>
      </c>
      <c r="I33" s="32" t="str">
        <f t="shared" si="10"/>
        <v>+Lookup/Drop-down</v>
      </c>
      <c r="J33" s="33" t="str" cm="1">
        <f t="array" aca="1" ref="J3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($E33=CLASSIFICATION[[Keyword Aggr]:[Keyword Aggr]])*($D33=CLASSIFICATION[[Functional Scope Aggr]:[Functional Scope Aggr]])),
_xlpm._platform_keywords, _xlfn.TEXTSPLIT(SUBSTITUTE(SUBSTITUTE(VLOOKUP($D33,_xlpm._platform_range,3,FALSE),"+"&amp;CHAR(34),"+"),CHAR(34),""),", "),
_xlpm._exists, SUMPRODUCT(--ISNUMBER(MATCH(_xlpm._platform_keywords,_xlpm._original_keywords,0)))&gt;0,
_xlfn.IFS(AND(_xlpm._exists,LEFT($E33,1)="+"),"+",_xlpm._exists,"*",NOT(_xlpm._exists),"")
)</f>
        <v/>
      </c>
      <c r="K33" s="33" t="str" cm="1">
        <f t="array" aca="1" ref="K3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($E33=CLASSIFICATION[[Keyword Aggr]:[Keyword Aggr]])*($D33=CLASSIFICATION[[Functional Scope Aggr]:[Functional Scope Aggr]])),
_xlpm._platform_keywords, _xlfn.TEXTSPLIT(SUBSTITUTE(SUBSTITUTE(VLOOKUP($D33,_xlpm._platform_range,3,FALSE),"+"&amp;CHAR(34),"+"),CHAR(34),""),", "),
_xlpm._exists, SUMPRODUCT(--ISNUMBER(MATCH(_xlpm._platform_keywords,_xlpm._original_keywords,0)))&gt;0,
_xlfn.IFS(AND(_xlpm._exists,LEFT($E33,1)="+"),"+",_xlpm._exists,"*",NOT(_xlpm._exists),"")
)</f>
        <v/>
      </c>
      <c r="L33" s="33" t="str" cm="1">
        <f t="array" aca="1" ref="L3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($E33=CLASSIFICATION[[Keyword Aggr]:[Keyword Aggr]])*($D33=CLASSIFICATION[[Functional Scope Aggr]:[Functional Scope Aggr]])),
_xlpm._platform_keywords, _xlfn.TEXTSPLIT(SUBSTITUTE(SUBSTITUTE(VLOOKUP($D33,_xlpm._platform_range,3,FALSE),"+"&amp;CHAR(34),"+"),CHAR(34),""),", "),
_xlpm._exists, SUMPRODUCT(--ISNUMBER(MATCH(_xlpm._platform_keywords,_xlpm._original_keywords,0)))&gt;0,
_xlfn.IFS(AND(_xlpm._exists,LEFT($E33,1)="+"),"+",_xlpm._exists,"*",NOT(_xlpm._exists),"")
)</f>
        <v/>
      </c>
      <c r="M33" s="33" t="str" cm="1">
        <f t="array" aca="1" ref="M3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($E33=CLASSIFICATION[[Keyword Aggr]:[Keyword Aggr]])*($D33=CLASSIFICATION[[Functional Scope Aggr]:[Functional Scope Aggr]])),
_xlpm._platform_keywords, _xlfn.TEXTSPLIT(SUBSTITUTE(SUBSTITUTE(VLOOKUP($D33,_xlpm._platform_range,3,FALSE),"+"&amp;CHAR(34),"+"),CHAR(34),""),", "),
_xlpm._exists, SUMPRODUCT(--ISNUMBER(MATCH(_xlpm._platform_keywords,_xlpm._original_keywords,0)))&gt;0,
_xlfn.IFS(AND(_xlpm._exists,LEFT($E33,1)="+"),"+",_xlpm._exists,"*",NOT(_xlpm._exists),"")
)</f>
        <v/>
      </c>
      <c r="N33" s="33" t="str" cm="1">
        <f t="array" aca="1" ref="N3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($E33=CLASSIFICATION[[Keyword Aggr]:[Keyword Aggr]])*($D33=CLASSIFICATION[[Functional Scope Aggr]:[Functional Scope Aggr]])),
_xlpm._platform_keywords, _xlfn.TEXTSPLIT(SUBSTITUTE(SUBSTITUTE(VLOOKUP($D33,_xlpm._platform_range,3,FALSE),"+"&amp;CHAR(34),"+"),CHAR(34),""),", "),
_xlpm._exists, SUMPRODUCT(--ISNUMBER(MATCH(_xlpm._platform_keywords,_xlpm._original_keywords,0)))&gt;0,
_xlfn.IFS(AND(_xlpm._exists,LEFT($E33,1)="+"),"+",_xlpm._exists,"*",NOT(_xlpm._exists),"")
)</f>
        <v>+</v>
      </c>
      <c r="O33" s="33" t="str" cm="1">
        <f t="array" aca="1" ref="O3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($E33=CLASSIFICATION[[Keyword Aggr]:[Keyword Aggr]])*($D33=CLASSIFICATION[[Functional Scope Aggr]:[Functional Scope Aggr]])),
_xlpm._platform_keywords, _xlfn.TEXTSPLIT(SUBSTITUTE(SUBSTITUTE(VLOOKUP($D33,_xlpm._platform_range,3,FALSE),"+"&amp;CHAR(34),"+"),CHAR(34),""),", "),
_xlpm._exists, SUMPRODUCT(--ISNUMBER(MATCH(_xlpm._platform_keywords,_xlpm._original_keywords,0)))&gt;0,
_xlfn.IFS(AND(_xlpm._exists,LEFT($E33,1)="+"),"+",_xlpm._exists,"*",NOT(_xlpm._exists),"")
)</f>
        <v>+</v>
      </c>
      <c r="Q33" s="33" t="str" cm="1">
        <f t="array" aca="1" ref="Q3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($E33=CLASSIFICATION[[Keyword Aggr]:[Keyword Aggr]])*($D33=CLASSIFICATION[[Functional Scope Aggr]:[Functional Scope Aggr]])),
_xlpm._platform_keywords, _xlfn.TEXTSPLIT(SUBSTITUTE(SUBSTITUTE(VLOOKUP($D33,_xlpm._platform_range,3,FALSE),"+"&amp;CHAR(34),"+"),CHAR(34),""),", "),
_xlpm._exists, SUMPRODUCT(--ISNUMBER(MATCH(_xlpm._platform_keywords,_xlpm._original_keywords,0)))&gt;0,
_xlfn.IFS(_xlpm._exists,1,NOT(_xlpm._exists),"")
)</f>
        <v/>
      </c>
      <c r="R33" s="33" t="str" cm="1">
        <f t="array" aca="1" ref="R3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($E33=CLASSIFICATION[[Keyword Aggr]:[Keyword Aggr]])*($D33=CLASSIFICATION[[Functional Scope Aggr]:[Functional Scope Aggr]])),
_xlpm._platform_keywords, _xlfn.TEXTSPLIT(SUBSTITUTE(SUBSTITUTE(VLOOKUP($D33,_xlpm._platform_range,3,FALSE),"+"&amp;CHAR(34),"+"),CHAR(34),""),", "),
_xlpm._exists, SUMPRODUCT(--ISNUMBER(MATCH(_xlpm._platform_keywords,_xlpm._original_keywords,0)))&gt;0,
_xlfn.IFS(_xlpm._exists,1,NOT(_xlpm._exists),"")
)</f>
        <v/>
      </c>
      <c r="S33" s="33" t="str" cm="1">
        <f t="array" aca="1" ref="S3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($E33=CLASSIFICATION[[Keyword Aggr]:[Keyword Aggr]])*($D33=CLASSIFICATION[[Functional Scope Aggr]:[Functional Scope Aggr]])),
_xlpm._platform_keywords, _xlfn.TEXTSPLIT(SUBSTITUTE(SUBSTITUTE(VLOOKUP($D33,_xlpm._platform_range,3,FALSE),"+"&amp;CHAR(34),"+"),CHAR(34),""),", "),
_xlpm._exists, SUMPRODUCT(--ISNUMBER(MATCH(_xlpm._platform_keywords,_xlpm._original_keywords,0)))&gt;0,
_xlfn.IFS(_xlpm._exists,1,NOT(_xlpm._exists),"")
)</f>
        <v/>
      </c>
      <c r="T33" s="33" t="str" cm="1">
        <f t="array" aca="1" ref="T3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($E33=CLASSIFICATION[[Keyword Aggr]:[Keyword Aggr]])*($D33=CLASSIFICATION[[Functional Scope Aggr]:[Functional Scope Aggr]])),
_xlpm._platform_keywords, _xlfn.TEXTSPLIT(SUBSTITUTE(SUBSTITUTE(VLOOKUP($D33,_xlpm._platform_range,3,FALSE),"+"&amp;CHAR(34),"+"),CHAR(34),""),", "),
_xlpm._exists, SUMPRODUCT(--ISNUMBER(MATCH(_xlpm._platform_keywords,_xlpm._original_keywords,0)))&gt;0,
_xlfn.IFS(_xlpm._exists,1,NOT(_xlpm._exists),"")
)</f>
        <v/>
      </c>
      <c r="U33" s="33" cm="1">
        <f t="array" aca="1" ref="U3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($E33=CLASSIFICATION[[Keyword Aggr]:[Keyword Aggr]])*($D33=CLASSIFICATION[[Functional Scope Aggr]:[Functional Scope Aggr]])),
_xlpm._platform_keywords, _xlfn.TEXTSPLIT(SUBSTITUTE(SUBSTITUTE(VLOOKUP($D33,_xlpm._platform_range,3,FALSE),"+"&amp;CHAR(34),"+"),CHAR(34),""),", "),
_xlpm._exists, SUMPRODUCT(--ISNUMBER(MATCH(_xlpm._platform_keywords,_xlpm._original_keywords,0)))&gt;0,
_xlfn.IFS(_xlpm._exists,1,NOT(_xlpm._exists),"")
)</f>
        <v>1</v>
      </c>
      <c r="V33" s="33" cm="1">
        <f t="array" aca="1" ref="V3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($E33=CLASSIFICATION[[Keyword Aggr]:[Keyword Aggr]])*($D33=CLASSIFICATION[[Functional Scope Aggr]:[Functional Scope Aggr]])),
_xlpm._platform_keywords, _xlfn.TEXTSPLIT(SUBSTITUTE(SUBSTITUTE(VLOOKUP($D33,_xlpm._platform_range,3,FALSE),"+"&amp;CHAR(34),"+"),CHAR(34),""),", "),
_xlpm._exists, SUMPRODUCT(--ISNUMBER(MATCH(_xlpm._platform_keywords,_xlpm._original_keywords,0)))&gt;0,
_xlfn.IFS(_xlpm._exists,1,NOT(_xlpm._exists),"")
)</f>
        <v>1</v>
      </c>
      <c r="X33" s="33" t="str">
        <f t="shared" si="4"/>
        <v/>
      </c>
      <c r="Y33" s="33" t="str">
        <f t="shared" si="5"/>
        <v/>
      </c>
      <c r="Z33" s="33" t="str">
        <f t="shared" si="6"/>
        <v/>
      </c>
      <c r="AA33" s="33" t="str">
        <f t="shared" si="7"/>
        <v/>
      </c>
      <c r="AB33" s="33" t="str">
        <f t="shared" si="8"/>
        <v/>
      </c>
      <c r="AC33" s="33" t="str">
        <f t="shared" si="9"/>
        <v/>
      </c>
    </row>
    <row r="34" spans="1:29" x14ac:dyDescent="0.25">
      <c r="A34" s="19" t="str">
        <v>Design,Validations,Expressions</v>
      </c>
      <c r="B34" t="s">
        <v>377</v>
      </c>
      <c r="C34" s="19" t="str" cm="1">
        <f t="array" ref="C34:E34">_xlfn.TEXTSPLIT(A34,",")</f>
        <v>Design</v>
      </c>
      <c r="D34" s="19" t="str">
        <v>Validations</v>
      </c>
      <c r="E34" s="19" t="str">
        <v>Expressions</v>
      </c>
      <c r="F34" s="36" t="str" cm="1">
        <f t="array" ref="F34">_xlfn.TEXTJOIN(",",TRUE,_xlfn._xlws.FILTER(CLASSIFICATION[Keyword], ($E34=CLASSIFICATION[Keyword Aggr])*($D34=CLASSIFICATION[Functional Scope Aggr])))</f>
        <v>Arithmetic Expressions,Boolean Expressions,Conditional Expressions,String Functions</v>
      </c>
      <c r="G34" s="32" t="str">
        <f t="shared" si="2"/>
        <v/>
      </c>
      <c r="H34" s="32" t="str">
        <f t="shared" si="3"/>
        <v/>
      </c>
      <c r="I34" s="32" t="str">
        <f t="shared" si="10"/>
        <v>Expressions</v>
      </c>
      <c r="J34" s="33" t="str" cm="1">
        <f t="array" aca="1" ref="J3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($E34=CLASSIFICATION[[Keyword Aggr]:[Keyword Aggr]])*($D34=CLASSIFICATION[[Functional Scope Aggr]:[Functional Scope Aggr]])),
_xlpm._platform_keywords, _xlfn.TEXTSPLIT(SUBSTITUTE(SUBSTITUTE(VLOOKUP($D34,_xlpm._platform_range,3,FALSE),"+"&amp;CHAR(34),"+"),CHAR(34),""),", "),
_xlpm._exists, SUMPRODUCT(--ISNUMBER(MATCH(_xlpm._platform_keywords,_xlpm._original_keywords,0)))&gt;0,
_xlfn.IFS(AND(_xlpm._exists,LEFT($E34,1)="+"),"+",_xlpm._exists,"*",NOT(_xlpm._exists),"")
)</f>
        <v>*</v>
      </c>
      <c r="K34" s="33" t="str" cm="1">
        <f t="array" aca="1" ref="K3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($E34=CLASSIFICATION[[Keyword Aggr]:[Keyword Aggr]])*($D34=CLASSIFICATION[[Functional Scope Aggr]:[Functional Scope Aggr]])),
_xlpm._platform_keywords, _xlfn.TEXTSPLIT(SUBSTITUTE(SUBSTITUTE(VLOOKUP($D34,_xlpm._platform_range,3,FALSE),"+"&amp;CHAR(34),"+"),CHAR(34),""),", "),
_xlpm._exists, SUMPRODUCT(--ISNUMBER(MATCH(_xlpm._platform_keywords,_xlpm._original_keywords,0)))&gt;0,
_xlfn.IFS(AND(_xlpm._exists,LEFT($E34,1)="+"),"+",_xlpm._exists,"*",NOT(_xlpm._exists),"")
)</f>
        <v>*</v>
      </c>
      <c r="L34" s="33" t="str" cm="1">
        <f t="array" aca="1" ref="L3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($E34=CLASSIFICATION[[Keyword Aggr]:[Keyword Aggr]])*($D34=CLASSIFICATION[[Functional Scope Aggr]:[Functional Scope Aggr]])),
_xlpm._platform_keywords, _xlfn.TEXTSPLIT(SUBSTITUTE(SUBSTITUTE(VLOOKUP($D34,_xlpm._platform_range,3,FALSE),"+"&amp;CHAR(34),"+"),CHAR(34),""),", "),
_xlpm._exists, SUMPRODUCT(--ISNUMBER(MATCH(_xlpm._platform_keywords,_xlpm._original_keywords,0)))&gt;0,
_xlfn.IFS(AND(_xlpm._exists,LEFT($E34,1)="+"),"+",_xlpm._exists,"*",NOT(_xlpm._exists),"")
)</f>
        <v>*</v>
      </c>
      <c r="M34" s="33" t="str" cm="1">
        <f t="array" aca="1" ref="M3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($E34=CLASSIFICATION[[Keyword Aggr]:[Keyword Aggr]])*($D34=CLASSIFICATION[[Functional Scope Aggr]:[Functional Scope Aggr]])),
_xlpm._platform_keywords, _xlfn.TEXTSPLIT(SUBSTITUTE(SUBSTITUTE(VLOOKUP($D34,_xlpm._platform_range,3,FALSE),"+"&amp;CHAR(34),"+"),CHAR(34),""),", "),
_xlpm._exists, SUMPRODUCT(--ISNUMBER(MATCH(_xlpm._platform_keywords,_xlpm._original_keywords,0)))&gt;0,
_xlfn.IFS(AND(_xlpm._exists,LEFT($E34,1)="+"),"+",_xlpm._exists,"*",NOT(_xlpm._exists),"")
)</f>
        <v>*</v>
      </c>
      <c r="N34" s="33" t="str" cm="1">
        <f t="array" aca="1" ref="N3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($E34=CLASSIFICATION[[Keyword Aggr]:[Keyword Aggr]])*($D34=CLASSIFICATION[[Functional Scope Aggr]:[Functional Scope Aggr]])),
_xlpm._platform_keywords, _xlfn.TEXTSPLIT(SUBSTITUTE(SUBSTITUTE(VLOOKUP($D34,_xlpm._platform_range,3,FALSE),"+"&amp;CHAR(34),"+"),CHAR(34),""),", "),
_xlpm._exists, SUMPRODUCT(--ISNUMBER(MATCH(_xlpm._platform_keywords,_xlpm._original_keywords,0)))&gt;0,
_xlfn.IFS(AND(_xlpm._exists,LEFT($E34,1)="+"),"+",_xlpm._exists,"*",NOT(_xlpm._exists),"")
)</f>
        <v>*</v>
      </c>
      <c r="O34" s="33" t="str" cm="1">
        <f t="array" aca="1" ref="O3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($E34=CLASSIFICATION[[Keyword Aggr]:[Keyword Aggr]])*($D34=CLASSIFICATION[[Functional Scope Aggr]:[Functional Scope Aggr]])),
_xlpm._platform_keywords, _xlfn.TEXTSPLIT(SUBSTITUTE(SUBSTITUTE(VLOOKUP($D34,_xlpm._platform_range,3,FALSE),"+"&amp;CHAR(34),"+"),CHAR(34),""),", "),
_xlpm._exists, SUMPRODUCT(--ISNUMBER(MATCH(_xlpm._platform_keywords,_xlpm._original_keywords,0)))&gt;0,
_xlfn.IFS(AND(_xlpm._exists,LEFT($E34,1)="+"),"+",_xlpm._exists,"*",NOT(_xlpm._exists),"")
)</f>
        <v>*</v>
      </c>
      <c r="Q34" s="33" cm="1">
        <f t="array" aca="1" ref="Q3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($E34=CLASSIFICATION[[Keyword Aggr]:[Keyword Aggr]])*($D34=CLASSIFICATION[[Functional Scope Aggr]:[Functional Scope Aggr]])),
_xlpm._platform_keywords, _xlfn.TEXTSPLIT(SUBSTITUTE(SUBSTITUTE(VLOOKUP($D34,_xlpm._platform_range,3,FALSE),"+"&amp;CHAR(34),"+"),CHAR(34),""),", "),
_xlpm._exists, SUMPRODUCT(--ISNUMBER(MATCH(_xlpm._platform_keywords,_xlpm._original_keywords,0)))&gt;0,
_xlfn.IFS(_xlpm._exists,1,NOT(_xlpm._exists),"")
)</f>
        <v>1</v>
      </c>
      <c r="R34" s="33" cm="1">
        <f t="array" aca="1" ref="R3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($E34=CLASSIFICATION[[Keyword Aggr]:[Keyword Aggr]])*($D34=CLASSIFICATION[[Functional Scope Aggr]:[Functional Scope Aggr]])),
_xlpm._platform_keywords, _xlfn.TEXTSPLIT(SUBSTITUTE(SUBSTITUTE(VLOOKUP($D34,_xlpm._platform_range,3,FALSE),"+"&amp;CHAR(34),"+"),CHAR(34),""),", "),
_xlpm._exists, SUMPRODUCT(--ISNUMBER(MATCH(_xlpm._platform_keywords,_xlpm._original_keywords,0)))&gt;0,
_xlfn.IFS(_xlpm._exists,1,NOT(_xlpm._exists),"")
)</f>
        <v>1</v>
      </c>
      <c r="S34" s="33" cm="1">
        <f t="array" aca="1" ref="S3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($E34=CLASSIFICATION[[Keyword Aggr]:[Keyword Aggr]])*($D34=CLASSIFICATION[[Functional Scope Aggr]:[Functional Scope Aggr]])),
_xlpm._platform_keywords, _xlfn.TEXTSPLIT(SUBSTITUTE(SUBSTITUTE(VLOOKUP($D34,_xlpm._platform_range,3,FALSE),"+"&amp;CHAR(34),"+"),CHAR(34),""),", "),
_xlpm._exists, SUMPRODUCT(--ISNUMBER(MATCH(_xlpm._platform_keywords,_xlpm._original_keywords,0)))&gt;0,
_xlfn.IFS(_xlpm._exists,1,NOT(_xlpm._exists),"")
)</f>
        <v>1</v>
      </c>
      <c r="T34" s="33" cm="1">
        <f t="array" aca="1" ref="T3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($E34=CLASSIFICATION[[Keyword Aggr]:[Keyword Aggr]])*($D34=CLASSIFICATION[[Functional Scope Aggr]:[Functional Scope Aggr]])),
_xlpm._platform_keywords, _xlfn.TEXTSPLIT(SUBSTITUTE(SUBSTITUTE(VLOOKUP($D34,_xlpm._platform_range,3,FALSE),"+"&amp;CHAR(34),"+"),CHAR(34),""),", "),
_xlpm._exists, SUMPRODUCT(--ISNUMBER(MATCH(_xlpm._platform_keywords,_xlpm._original_keywords,0)))&gt;0,
_xlfn.IFS(_xlpm._exists,1,NOT(_xlpm._exists),"")
)</f>
        <v>1</v>
      </c>
      <c r="U34" s="33" cm="1">
        <f t="array" aca="1" ref="U3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($E34=CLASSIFICATION[[Keyword Aggr]:[Keyword Aggr]])*($D34=CLASSIFICATION[[Functional Scope Aggr]:[Functional Scope Aggr]])),
_xlpm._platform_keywords, _xlfn.TEXTSPLIT(SUBSTITUTE(SUBSTITUTE(VLOOKUP($D34,_xlpm._platform_range,3,FALSE),"+"&amp;CHAR(34),"+"),CHAR(34),""),", "),
_xlpm._exists, SUMPRODUCT(--ISNUMBER(MATCH(_xlpm._platform_keywords,_xlpm._original_keywords,0)))&gt;0,
_xlfn.IFS(_xlpm._exists,1,NOT(_xlpm._exists),"")
)</f>
        <v>1</v>
      </c>
      <c r="V34" s="33" cm="1">
        <f t="array" aca="1" ref="V3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($E34=CLASSIFICATION[[Keyword Aggr]:[Keyword Aggr]])*($D34=CLASSIFICATION[[Functional Scope Aggr]:[Functional Scope Aggr]])),
_xlpm._platform_keywords, _xlfn.TEXTSPLIT(SUBSTITUTE(SUBSTITUTE(VLOOKUP($D34,_xlpm._platform_range,3,FALSE),"+"&amp;CHAR(34),"+"),CHAR(34),""),", "),
_xlpm._exists, SUMPRODUCT(--ISNUMBER(MATCH(_xlpm._platform_keywords,_xlpm._original_keywords,0)))&gt;0,
_xlfn.IFS(_xlpm._exists,1,NOT(_xlpm._exists),"")
)</f>
        <v>1</v>
      </c>
      <c r="X34" s="33" t="str">
        <f t="shared" si="4"/>
        <v/>
      </c>
      <c r="Y34" s="33" t="str">
        <f t="shared" si="5"/>
        <v/>
      </c>
      <c r="Z34" s="33" t="str">
        <f t="shared" si="6"/>
        <v/>
      </c>
      <c r="AA34" s="33" t="str">
        <f t="shared" si="7"/>
        <v/>
      </c>
      <c r="AB34" s="33" t="str">
        <f t="shared" si="8"/>
        <v/>
      </c>
      <c r="AC34" s="33" t="str">
        <f t="shared" si="9"/>
        <v/>
      </c>
    </row>
    <row r="35" spans="1:29" x14ac:dyDescent="0.25">
      <c r="A35" s="19" t="str">
        <v>Design,Validations,Enumerations</v>
      </c>
      <c r="B35" t="s">
        <v>377</v>
      </c>
      <c r="C35" s="19" t="str" cm="1">
        <f t="array" ref="C35:E35">_xlfn.TEXTSPLIT(A35,",")</f>
        <v>Design</v>
      </c>
      <c r="D35" s="19" t="str">
        <v>Validations</v>
      </c>
      <c r="E35" s="19" t="str">
        <v>Enumerations</v>
      </c>
      <c r="F35" s="36" t="str" cm="1">
        <f t="array" ref="F35">_xlfn.TEXTJOIN(",",TRUE,_xlfn._xlws.FILTER(CLASSIFICATION[Keyword], ($E35=CLASSIFICATION[Keyword Aggr])*($D35=CLASSIFICATION[Functional Scope Aggr])))</f>
        <v>Enumerations</v>
      </c>
      <c r="G35" s="32" t="str">
        <f t="shared" si="2"/>
        <v/>
      </c>
      <c r="H35" s="32" t="str">
        <f t="shared" si="3"/>
        <v/>
      </c>
      <c r="I35" s="32" t="str">
        <f t="shared" si="10"/>
        <v>Enumerations</v>
      </c>
      <c r="J35" s="33" t="str" cm="1">
        <f t="array" aca="1" ref="J3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($E35=CLASSIFICATION[[Keyword Aggr]:[Keyword Aggr]])*($D35=CLASSIFICATION[[Functional Scope Aggr]:[Functional Scope Aggr]])),
_xlpm._platform_keywords, _xlfn.TEXTSPLIT(SUBSTITUTE(SUBSTITUTE(VLOOKUP($D35,_xlpm._platform_range,3,FALSE),"+"&amp;CHAR(34),"+"),CHAR(34),""),", "),
_xlpm._exists, SUMPRODUCT(--ISNUMBER(MATCH(_xlpm._platform_keywords,_xlpm._original_keywords,0)))&gt;0,
_xlfn.IFS(AND(_xlpm._exists,LEFT($E35,1)="+"),"+",_xlpm._exists,"*",NOT(_xlpm._exists),"")
)</f>
        <v>*</v>
      </c>
      <c r="K35" s="33" t="str" cm="1">
        <f t="array" aca="1" ref="K3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($E35=CLASSIFICATION[[Keyword Aggr]:[Keyword Aggr]])*($D35=CLASSIFICATION[[Functional Scope Aggr]:[Functional Scope Aggr]])),
_xlpm._platform_keywords, _xlfn.TEXTSPLIT(SUBSTITUTE(SUBSTITUTE(VLOOKUP($D35,_xlpm._platform_range,3,FALSE),"+"&amp;CHAR(34),"+"),CHAR(34),""),", "),
_xlpm._exists, SUMPRODUCT(--ISNUMBER(MATCH(_xlpm._platform_keywords,_xlpm._original_keywords,0)))&gt;0,
_xlfn.IFS(AND(_xlpm._exists,LEFT($E35,1)="+"),"+",_xlpm._exists,"*",NOT(_xlpm._exists),"")
)</f>
        <v/>
      </c>
      <c r="L35" s="33" t="str" cm="1">
        <f t="array" aca="1" ref="L3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($E35=CLASSIFICATION[[Keyword Aggr]:[Keyword Aggr]])*($D35=CLASSIFICATION[[Functional Scope Aggr]:[Functional Scope Aggr]])),
_xlpm._platform_keywords, _xlfn.TEXTSPLIT(SUBSTITUTE(SUBSTITUTE(VLOOKUP($D35,_xlpm._platform_range,3,FALSE),"+"&amp;CHAR(34),"+"),CHAR(34),""),", "),
_xlpm._exists, SUMPRODUCT(--ISNUMBER(MATCH(_xlpm._platform_keywords,_xlpm._original_keywords,0)))&gt;0,
_xlfn.IFS(AND(_xlpm._exists,LEFT($E35,1)="+"),"+",_xlpm._exists,"*",NOT(_xlpm._exists),"")
)</f>
        <v/>
      </c>
      <c r="M35" s="33" t="str" cm="1">
        <f t="array" aca="1" ref="M3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($E35=CLASSIFICATION[[Keyword Aggr]:[Keyword Aggr]])*($D35=CLASSIFICATION[[Functional Scope Aggr]:[Functional Scope Aggr]])),
_xlpm._platform_keywords, _xlfn.TEXTSPLIT(SUBSTITUTE(SUBSTITUTE(VLOOKUP($D35,_xlpm._platform_range,3,FALSE),"+"&amp;CHAR(34),"+"),CHAR(34),""),", "),
_xlpm._exists, SUMPRODUCT(--ISNUMBER(MATCH(_xlpm._platform_keywords,_xlpm._original_keywords,0)))&gt;0,
_xlfn.IFS(AND(_xlpm._exists,LEFT($E35,1)="+"),"+",_xlpm._exists,"*",NOT(_xlpm._exists),"")
)</f>
        <v/>
      </c>
      <c r="N35" s="33" t="str" cm="1">
        <f t="array" aca="1" ref="N3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($E35=CLASSIFICATION[[Keyword Aggr]:[Keyword Aggr]])*($D35=CLASSIFICATION[[Functional Scope Aggr]:[Functional Scope Aggr]])),
_xlpm._platform_keywords, _xlfn.TEXTSPLIT(SUBSTITUTE(SUBSTITUTE(VLOOKUP($D35,_xlpm._platform_range,3,FALSE),"+"&amp;CHAR(34),"+"),CHAR(34),""),", "),
_xlpm._exists, SUMPRODUCT(--ISNUMBER(MATCH(_xlpm._platform_keywords,_xlpm._original_keywords,0)))&gt;0,
_xlfn.IFS(AND(_xlpm._exists,LEFT($E35,1)="+"),"+",_xlpm._exists,"*",NOT(_xlpm._exists),"")
)</f>
        <v/>
      </c>
      <c r="O35" s="33" t="str" cm="1">
        <f t="array" aca="1" ref="O3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($E35=CLASSIFICATION[[Keyword Aggr]:[Keyword Aggr]])*($D35=CLASSIFICATION[[Functional Scope Aggr]:[Functional Scope Aggr]])),
_xlpm._platform_keywords, _xlfn.TEXTSPLIT(SUBSTITUTE(SUBSTITUTE(VLOOKUP($D35,_xlpm._platform_range,3,FALSE),"+"&amp;CHAR(34),"+"),CHAR(34),""),", "),
_xlpm._exists, SUMPRODUCT(--ISNUMBER(MATCH(_xlpm._platform_keywords,_xlpm._original_keywords,0)))&gt;0,
_xlfn.IFS(AND(_xlpm._exists,LEFT($E35,1)="+"),"+",_xlpm._exists,"*",NOT(_xlpm._exists),"")
)</f>
        <v/>
      </c>
      <c r="Q35" s="33" cm="1">
        <f t="array" aca="1" ref="Q3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($E35=CLASSIFICATION[[Keyword Aggr]:[Keyword Aggr]])*($D35=CLASSIFICATION[[Functional Scope Aggr]:[Functional Scope Aggr]])),
_xlpm._platform_keywords, _xlfn.TEXTSPLIT(SUBSTITUTE(SUBSTITUTE(VLOOKUP($D35,_xlpm._platform_range,3,FALSE),"+"&amp;CHAR(34),"+"),CHAR(34),""),", "),
_xlpm._exists, SUMPRODUCT(--ISNUMBER(MATCH(_xlpm._platform_keywords,_xlpm._original_keywords,0)))&gt;0,
_xlfn.IFS(_xlpm._exists,1,NOT(_xlpm._exists),"")
)</f>
        <v>1</v>
      </c>
      <c r="R35" s="33" t="str" cm="1">
        <f t="array" aca="1" ref="R3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($E35=CLASSIFICATION[[Keyword Aggr]:[Keyword Aggr]])*($D35=CLASSIFICATION[[Functional Scope Aggr]:[Functional Scope Aggr]])),
_xlpm._platform_keywords, _xlfn.TEXTSPLIT(SUBSTITUTE(SUBSTITUTE(VLOOKUP($D35,_xlpm._platform_range,3,FALSE),"+"&amp;CHAR(34),"+"),CHAR(34),""),", "),
_xlpm._exists, SUMPRODUCT(--ISNUMBER(MATCH(_xlpm._platform_keywords,_xlpm._original_keywords,0)))&gt;0,
_xlfn.IFS(_xlpm._exists,1,NOT(_xlpm._exists),"")
)</f>
        <v/>
      </c>
      <c r="S35" s="33" t="str" cm="1">
        <f t="array" aca="1" ref="S3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($E35=CLASSIFICATION[[Keyword Aggr]:[Keyword Aggr]])*($D35=CLASSIFICATION[[Functional Scope Aggr]:[Functional Scope Aggr]])),
_xlpm._platform_keywords, _xlfn.TEXTSPLIT(SUBSTITUTE(SUBSTITUTE(VLOOKUP($D35,_xlpm._platform_range,3,FALSE),"+"&amp;CHAR(34),"+"),CHAR(34),""),", "),
_xlpm._exists, SUMPRODUCT(--ISNUMBER(MATCH(_xlpm._platform_keywords,_xlpm._original_keywords,0)))&gt;0,
_xlfn.IFS(_xlpm._exists,1,NOT(_xlpm._exists),"")
)</f>
        <v/>
      </c>
      <c r="T35" s="33" t="str" cm="1">
        <f t="array" aca="1" ref="T3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($E35=CLASSIFICATION[[Keyword Aggr]:[Keyword Aggr]])*($D35=CLASSIFICATION[[Functional Scope Aggr]:[Functional Scope Aggr]])),
_xlpm._platform_keywords, _xlfn.TEXTSPLIT(SUBSTITUTE(SUBSTITUTE(VLOOKUP($D35,_xlpm._platform_range,3,FALSE),"+"&amp;CHAR(34),"+"),CHAR(34),""),", "),
_xlpm._exists, SUMPRODUCT(--ISNUMBER(MATCH(_xlpm._platform_keywords,_xlpm._original_keywords,0)))&gt;0,
_xlfn.IFS(_xlpm._exists,1,NOT(_xlpm._exists),"")
)</f>
        <v/>
      </c>
      <c r="U35" s="33" t="str" cm="1">
        <f t="array" aca="1" ref="U3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($E35=CLASSIFICATION[[Keyword Aggr]:[Keyword Aggr]])*($D35=CLASSIFICATION[[Functional Scope Aggr]:[Functional Scope Aggr]])),
_xlpm._platform_keywords, _xlfn.TEXTSPLIT(SUBSTITUTE(SUBSTITUTE(VLOOKUP($D35,_xlpm._platform_range,3,FALSE),"+"&amp;CHAR(34),"+"),CHAR(34),""),", "),
_xlpm._exists, SUMPRODUCT(--ISNUMBER(MATCH(_xlpm._platform_keywords,_xlpm._original_keywords,0)))&gt;0,
_xlfn.IFS(_xlpm._exists,1,NOT(_xlpm._exists),"")
)</f>
        <v/>
      </c>
      <c r="V35" s="33" t="str" cm="1">
        <f t="array" aca="1" ref="V3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($E35=CLASSIFICATION[[Keyword Aggr]:[Keyword Aggr]])*($D35=CLASSIFICATION[[Functional Scope Aggr]:[Functional Scope Aggr]])),
_xlpm._platform_keywords, _xlfn.TEXTSPLIT(SUBSTITUTE(SUBSTITUTE(VLOOKUP($D35,_xlpm._platform_range,3,FALSE),"+"&amp;CHAR(34),"+"),CHAR(34),""),", "),
_xlpm._exists, SUMPRODUCT(--ISNUMBER(MATCH(_xlpm._platform_keywords,_xlpm._original_keywords,0)))&gt;0,
_xlfn.IFS(_xlpm._exists,1,NOT(_xlpm._exists),"")
)</f>
        <v/>
      </c>
      <c r="X35" s="33" t="str">
        <f t="shared" si="4"/>
        <v/>
      </c>
      <c r="Y35" s="33" t="str">
        <f t="shared" si="5"/>
        <v/>
      </c>
      <c r="Z35" s="33" t="str">
        <f t="shared" si="6"/>
        <v/>
      </c>
      <c r="AA35" s="33" t="str">
        <f t="shared" si="7"/>
        <v/>
      </c>
      <c r="AB35" s="33" t="str">
        <f t="shared" si="8"/>
        <v/>
      </c>
      <c r="AC35" s="33" t="str">
        <f t="shared" si="9"/>
        <v/>
      </c>
    </row>
    <row r="36" spans="1:29" x14ac:dyDescent="0.25">
      <c r="A36" s="19" t="str">
        <v>Design,Validations,JavaScript</v>
      </c>
      <c r="B36" t="s">
        <v>377</v>
      </c>
      <c r="C36" s="19" t="str" cm="1">
        <f t="array" ref="C36:E36">_xlfn.TEXTSPLIT(A36,",")</f>
        <v>Design</v>
      </c>
      <c r="D36" s="19" t="str">
        <v>Validations</v>
      </c>
      <c r="E36" s="19" t="str">
        <v>JavaScript</v>
      </c>
      <c r="F36" s="36" t="str" cm="1">
        <f t="array" ref="F36">_xlfn.TEXTJOIN(",",TRUE,_xlfn._xlws.FILTER(CLASSIFICATION[Keyword], ($E36=CLASSIFICATION[Keyword Aggr])*($D36=CLASSIFICATION[Functional Scope Aggr])))</f>
        <v>JavaScript</v>
      </c>
      <c r="G36" s="32" t="str">
        <f t="shared" si="2"/>
        <v/>
      </c>
      <c r="H36" s="32" t="str">
        <f t="shared" si="3"/>
        <v/>
      </c>
      <c r="I36" s="32" t="str">
        <f t="shared" si="10"/>
        <v>JavaScript</v>
      </c>
      <c r="J36" s="33" t="str" cm="1">
        <f t="array" aca="1" ref="J3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($E36=CLASSIFICATION[[Keyword Aggr]:[Keyword Aggr]])*($D36=CLASSIFICATION[[Functional Scope Aggr]:[Functional Scope Aggr]])),
_xlpm._platform_keywords, _xlfn.TEXTSPLIT(SUBSTITUTE(SUBSTITUTE(VLOOKUP($D36,_xlpm._platform_range,3,FALSE),"+"&amp;CHAR(34),"+"),CHAR(34),""),", "),
_xlpm._exists, SUMPRODUCT(--ISNUMBER(MATCH(_xlpm._platform_keywords,_xlpm._original_keywords,0)))&gt;0,
_xlfn.IFS(AND(_xlpm._exists,LEFT($E36,1)="+"),"+",_xlpm._exists,"*",NOT(_xlpm._exists),"")
)</f>
        <v>*</v>
      </c>
      <c r="K36" s="33" t="str" cm="1">
        <f t="array" aca="1" ref="K3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($E36=CLASSIFICATION[[Keyword Aggr]:[Keyword Aggr]])*($D36=CLASSIFICATION[[Functional Scope Aggr]:[Functional Scope Aggr]])),
_xlpm._platform_keywords, _xlfn.TEXTSPLIT(SUBSTITUTE(SUBSTITUTE(VLOOKUP($D36,_xlpm._platform_range,3,FALSE),"+"&amp;CHAR(34),"+"),CHAR(34),""),", "),
_xlpm._exists, SUMPRODUCT(--ISNUMBER(MATCH(_xlpm._platform_keywords,_xlpm._original_keywords,0)))&gt;0,
_xlfn.IFS(AND(_xlpm._exists,LEFT($E36,1)="+"),"+",_xlpm._exists,"*",NOT(_xlpm._exists),"")
)</f>
        <v/>
      </c>
      <c r="L36" s="33" t="str" cm="1">
        <f t="array" aca="1" ref="L3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($E36=CLASSIFICATION[[Keyword Aggr]:[Keyword Aggr]])*($D36=CLASSIFICATION[[Functional Scope Aggr]:[Functional Scope Aggr]])),
_xlpm._platform_keywords, _xlfn.TEXTSPLIT(SUBSTITUTE(SUBSTITUTE(VLOOKUP($D36,_xlpm._platform_range,3,FALSE),"+"&amp;CHAR(34),"+"),CHAR(34),""),", "),
_xlpm._exists, SUMPRODUCT(--ISNUMBER(MATCH(_xlpm._platform_keywords,_xlpm._original_keywords,0)))&gt;0,
_xlfn.IFS(AND(_xlpm._exists,LEFT($E36,1)="+"),"+",_xlpm._exists,"*",NOT(_xlpm._exists),"")
)</f>
        <v/>
      </c>
      <c r="M36" s="33" t="str" cm="1">
        <f t="array" aca="1" ref="M3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($E36=CLASSIFICATION[[Keyword Aggr]:[Keyword Aggr]])*($D36=CLASSIFICATION[[Functional Scope Aggr]:[Functional Scope Aggr]])),
_xlpm._platform_keywords, _xlfn.TEXTSPLIT(SUBSTITUTE(SUBSTITUTE(VLOOKUP($D36,_xlpm._platform_range,3,FALSE),"+"&amp;CHAR(34),"+"),CHAR(34),""),", "),
_xlpm._exists, SUMPRODUCT(--ISNUMBER(MATCH(_xlpm._platform_keywords,_xlpm._original_keywords,0)))&gt;0,
_xlfn.IFS(AND(_xlpm._exists,LEFT($E36,1)="+"),"+",_xlpm._exists,"*",NOT(_xlpm._exists),"")
)</f>
        <v/>
      </c>
      <c r="N36" s="33" t="str" cm="1">
        <f t="array" aca="1" ref="N3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($E36=CLASSIFICATION[[Keyword Aggr]:[Keyword Aggr]])*($D36=CLASSIFICATION[[Functional Scope Aggr]:[Functional Scope Aggr]])),
_xlpm._platform_keywords, _xlfn.TEXTSPLIT(SUBSTITUTE(SUBSTITUTE(VLOOKUP($D36,_xlpm._platform_range,3,FALSE),"+"&amp;CHAR(34),"+"),CHAR(34),""),", "),
_xlpm._exists, SUMPRODUCT(--ISNUMBER(MATCH(_xlpm._platform_keywords,_xlpm._original_keywords,0)))&gt;0,
_xlfn.IFS(AND(_xlpm._exists,LEFT($E36,1)="+"),"+",_xlpm._exists,"*",NOT(_xlpm._exists),"")
)</f>
        <v/>
      </c>
      <c r="O36" s="33" t="str" cm="1">
        <f t="array" aca="1" ref="O3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($E36=CLASSIFICATION[[Keyword Aggr]:[Keyword Aggr]])*($D36=CLASSIFICATION[[Functional Scope Aggr]:[Functional Scope Aggr]])),
_xlpm._platform_keywords, _xlfn.TEXTSPLIT(SUBSTITUTE(SUBSTITUTE(VLOOKUP($D36,_xlpm._platform_range,3,FALSE),"+"&amp;CHAR(34),"+"),CHAR(34),""),", "),
_xlpm._exists, SUMPRODUCT(--ISNUMBER(MATCH(_xlpm._platform_keywords,_xlpm._original_keywords,0)))&gt;0,
_xlfn.IFS(AND(_xlpm._exists,LEFT($E36,1)="+"),"+",_xlpm._exists,"*",NOT(_xlpm._exists),"")
)</f>
        <v/>
      </c>
      <c r="Q36" s="33" cm="1">
        <f t="array" aca="1" ref="Q3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($E36=CLASSIFICATION[[Keyword Aggr]:[Keyword Aggr]])*($D36=CLASSIFICATION[[Functional Scope Aggr]:[Functional Scope Aggr]])),
_xlpm._platform_keywords, _xlfn.TEXTSPLIT(SUBSTITUTE(SUBSTITUTE(VLOOKUP($D36,_xlpm._platform_range,3,FALSE),"+"&amp;CHAR(34),"+"),CHAR(34),""),", "),
_xlpm._exists, SUMPRODUCT(--ISNUMBER(MATCH(_xlpm._platform_keywords,_xlpm._original_keywords,0)))&gt;0,
_xlfn.IFS(_xlpm._exists,1,NOT(_xlpm._exists),"")
)</f>
        <v>1</v>
      </c>
      <c r="R36" s="33" t="str" cm="1">
        <f t="array" aca="1" ref="R3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($E36=CLASSIFICATION[[Keyword Aggr]:[Keyword Aggr]])*($D36=CLASSIFICATION[[Functional Scope Aggr]:[Functional Scope Aggr]])),
_xlpm._platform_keywords, _xlfn.TEXTSPLIT(SUBSTITUTE(SUBSTITUTE(VLOOKUP($D36,_xlpm._platform_range,3,FALSE),"+"&amp;CHAR(34),"+"),CHAR(34),""),", "),
_xlpm._exists, SUMPRODUCT(--ISNUMBER(MATCH(_xlpm._platform_keywords,_xlpm._original_keywords,0)))&gt;0,
_xlfn.IFS(_xlpm._exists,1,NOT(_xlpm._exists),"")
)</f>
        <v/>
      </c>
      <c r="S36" s="33" t="str" cm="1">
        <f t="array" aca="1" ref="S3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($E36=CLASSIFICATION[[Keyword Aggr]:[Keyword Aggr]])*($D36=CLASSIFICATION[[Functional Scope Aggr]:[Functional Scope Aggr]])),
_xlpm._platform_keywords, _xlfn.TEXTSPLIT(SUBSTITUTE(SUBSTITUTE(VLOOKUP($D36,_xlpm._platform_range,3,FALSE),"+"&amp;CHAR(34),"+"),CHAR(34),""),", "),
_xlpm._exists, SUMPRODUCT(--ISNUMBER(MATCH(_xlpm._platform_keywords,_xlpm._original_keywords,0)))&gt;0,
_xlfn.IFS(_xlpm._exists,1,NOT(_xlpm._exists),"")
)</f>
        <v/>
      </c>
      <c r="T36" s="33" t="str" cm="1">
        <f t="array" aca="1" ref="T3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($E36=CLASSIFICATION[[Keyword Aggr]:[Keyword Aggr]])*($D36=CLASSIFICATION[[Functional Scope Aggr]:[Functional Scope Aggr]])),
_xlpm._platform_keywords, _xlfn.TEXTSPLIT(SUBSTITUTE(SUBSTITUTE(VLOOKUP($D36,_xlpm._platform_range,3,FALSE),"+"&amp;CHAR(34),"+"),CHAR(34),""),", "),
_xlpm._exists, SUMPRODUCT(--ISNUMBER(MATCH(_xlpm._platform_keywords,_xlpm._original_keywords,0)))&gt;0,
_xlfn.IFS(_xlpm._exists,1,NOT(_xlpm._exists),"")
)</f>
        <v/>
      </c>
      <c r="U36" s="33" t="str" cm="1">
        <f t="array" aca="1" ref="U3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($E36=CLASSIFICATION[[Keyword Aggr]:[Keyword Aggr]])*($D36=CLASSIFICATION[[Functional Scope Aggr]:[Functional Scope Aggr]])),
_xlpm._platform_keywords, _xlfn.TEXTSPLIT(SUBSTITUTE(SUBSTITUTE(VLOOKUP($D36,_xlpm._platform_range,3,FALSE),"+"&amp;CHAR(34),"+"),CHAR(34),""),", "),
_xlpm._exists, SUMPRODUCT(--ISNUMBER(MATCH(_xlpm._platform_keywords,_xlpm._original_keywords,0)))&gt;0,
_xlfn.IFS(_xlpm._exists,1,NOT(_xlpm._exists),"")
)</f>
        <v/>
      </c>
      <c r="V36" s="33" t="str" cm="1">
        <f t="array" aca="1" ref="V3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($E36=CLASSIFICATION[[Keyword Aggr]:[Keyword Aggr]])*($D36=CLASSIFICATION[[Functional Scope Aggr]:[Functional Scope Aggr]])),
_xlpm._platform_keywords, _xlfn.TEXTSPLIT(SUBSTITUTE(SUBSTITUTE(VLOOKUP($D36,_xlpm._platform_range,3,FALSE),"+"&amp;CHAR(34),"+"),CHAR(34),""),", "),
_xlpm._exists, SUMPRODUCT(--ISNUMBER(MATCH(_xlpm._platform_keywords,_xlpm._original_keywords,0)))&gt;0,
_xlfn.IFS(_xlpm._exists,1,NOT(_xlpm._exists),"")
)</f>
        <v/>
      </c>
      <c r="X36" s="33" t="str">
        <f t="shared" si="4"/>
        <v/>
      </c>
      <c r="Y36" s="33" t="str">
        <f t="shared" si="5"/>
        <v/>
      </c>
      <c r="Z36" s="33" t="str">
        <f t="shared" si="6"/>
        <v/>
      </c>
      <c r="AA36" s="33" t="str">
        <f t="shared" si="7"/>
        <v/>
      </c>
      <c r="AB36" s="33" t="str">
        <f t="shared" si="8"/>
        <v/>
      </c>
      <c r="AC36" s="33" t="str">
        <f t="shared" si="9"/>
        <v/>
      </c>
    </row>
    <row r="37" spans="1:29" x14ac:dyDescent="0.25">
      <c r="A37" s="19" t="str">
        <v>Design,Validations,Scripts</v>
      </c>
      <c r="B37" t="s">
        <v>377</v>
      </c>
      <c r="C37" s="19" t="str" cm="1">
        <f t="array" ref="C37:E37">_xlfn.TEXTSPLIT(A37,",")</f>
        <v>Design</v>
      </c>
      <c r="D37" s="19" t="str">
        <v>Validations</v>
      </c>
      <c r="E37" s="19" t="str">
        <v>Scripts</v>
      </c>
      <c r="F37" s="36" t="str" cm="1">
        <f t="array" ref="F37">_xlfn.TEXTJOIN(",",TRUE,_xlfn._xlws.FILTER(CLASSIFICATION[Keyword], ($E37=CLASSIFICATION[Keyword Aggr])*($D37=CLASSIFICATION[Functional Scope Aggr])))</f>
        <v>Scripts (Deluge),Scripts (Groovy)</v>
      </c>
      <c r="G37" s="32" t="str">
        <f t="shared" si="2"/>
        <v/>
      </c>
      <c r="H37" s="32" t="str">
        <f t="shared" si="3"/>
        <v/>
      </c>
      <c r="I37" s="32" t="str">
        <f t="shared" si="10"/>
        <v>Scripts</v>
      </c>
      <c r="J37" s="33" t="str" cm="1">
        <f t="array" aca="1" ref="J3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($E37=CLASSIFICATION[[Keyword Aggr]:[Keyword Aggr]])*($D37=CLASSIFICATION[[Functional Scope Aggr]:[Functional Scope Aggr]])),
_xlpm._platform_keywords, _xlfn.TEXTSPLIT(SUBSTITUTE(SUBSTITUTE(VLOOKUP($D37,_xlpm._platform_range,3,FALSE),"+"&amp;CHAR(34),"+"),CHAR(34),""),", "),
_xlpm._exists, SUMPRODUCT(--ISNUMBER(MATCH(_xlpm._platform_keywords,_xlpm._original_keywords,0)))&gt;0,
_xlfn.IFS(AND(_xlpm._exists,LEFT($E37,1)="+"),"+",_xlpm._exists,"*",NOT(_xlpm._exists),"")
)</f>
        <v/>
      </c>
      <c r="K37" s="33" t="str" cm="1">
        <f t="array" aca="1" ref="K3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($E37=CLASSIFICATION[[Keyword Aggr]:[Keyword Aggr]])*($D37=CLASSIFICATION[[Functional Scope Aggr]:[Functional Scope Aggr]])),
_xlpm._platform_keywords, _xlfn.TEXTSPLIT(SUBSTITUTE(SUBSTITUTE(VLOOKUP($D37,_xlpm._platform_range,3,FALSE),"+"&amp;CHAR(34),"+"),CHAR(34),""),", "),
_xlpm._exists, SUMPRODUCT(--ISNUMBER(MATCH(_xlpm._platform_keywords,_xlpm._original_keywords,0)))&gt;0,
_xlfn.IFS(AND(_xlpm._exists,LEFT($E37,1)="+"),"+",_xlpm._exists,"*",NOT(_xlpm._exists),"")
)</f>
        <v/>
      </c>
      <c r="L37" s="33" t="str" cm="1">
        <f t="array" aca="1" ref="L3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($E37=CLASSIFICATION[[Keyword Aggr]:[Keyword Aggr]])*($D37=CLASSIFICATION[[Functional Scope Aggr]:[Functional Scope Aggr]])),
_xlpm._platform_keywords, _xlfn.TEXTSPLIT(SUBSTITUTE(SUBSTITUTE(VLOOKUP($D37,_xlpm._platform_range,3,FALSE),"+"&amp;CHAR(34),"+"),CHAR(34),""),", "),
_xlpm._exists, SUMPRODUCT(--ISNUMBER(MATCH(_xlpm._platform_keywords,_xlpm._original_keywords,0)))&gt;0,
_xlfn.IFS(AND(_xlpm._exists,LEFT($E37,1)="+"),"+",_xlpm._exists,"*",NOT(_xlpm._exists),"")
)</f>
        <v>*</v>
      </c>
      <c r="M37" s="33" t="str" cm="1">
        <f t="array" aca="1" ref="M3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($E37=CLASSIFICATION[[Keyword Aggr]:[Keyword Aggr]])*($D37=CLASSIFICATION[[Functional Scope Aggr]:[Functional Scope Aggr]])),
_xlpm._platform_keywords, _xlfn.TEXTSPLIT(SUBSTITUTE(SUBSTITUTE(VLOOKUP($D37,_xlpm._platform_range,3,FALSE),"+"&amp;CHAR(34),"+"),CHAR(34),""),", "),
_xlpm._exists, SUMPRODUCT(--ISNUMBER(MATCH(_xlpm._platform_keywords,_xlpm._original_keywords,0)))&gt;0,
_xlfn.IFS(AND(_xlpm._exists,LEFT($E37,1)="+"),"+",_xlpm._exists,"*",NOT(_xlpm._exists),"")
)</f>
        <v/>
      </c>
      <c r="N37" s="33" t="str" cm="1">
        <f t="array" aca="1" ref="N3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($E37=CLASSIFICATION[[Keyword Aggr]:[Keyword Aggr]])*($D37=CLASSIFICATION[[Functional Scope Aggr]:[Functional Scope Aggr]])),
_xlpm._platform_keywords, _xlfn.TEXTSPLIT(SUBSTITUTE(SUBSTITUTE(VLOOKUP($D37,_xlpm._platform_range,3,FALSE),"+"&amp;CHAR(34),"+"),CHAR(34),""),", "),
_xlpm._exists, SUMPRODUCT(--ISNUMBER(MATCH(_xlpm._platform_keywords,_xlpm._original_keywords,0)))&gt;0,
_xlfn.IFS(AND(_xlpm._exists,LEFT($E37,1)="+"),"+",_xlpm._exists,"*",NOT(_xlpm._exists),"")
)</f>
        <v/>
      </c>
      <c r="O37" s="33" t="str" cm="1">
        <f t="array" aca="1" ref="O3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($E37=CLASSIFICATION[[Keyword Aggr]:[Keyword Aggr]])*($D37=CLASSIFICATION[[Functional Scope Aggr]:[Functional Scope Aggr]])),
_xlpm._platform_keywords, _xlfn.TEXTSPLIT(SUBSTITUTE(SUBSTITUTE(VLOOKUP($D37,_xlpm._platform_range,3,FALSE),"+"&amp;CHAR(34),"+"),CHAR(34),""),", "),
_xlpm._exists, SUMPRODUCT(--ISNUMBER(MATCH(_xlpm._platform_keywords,_xlpm._original_keywords,0)))&gt;0,
_xlfn.IFS(AND(_xlpm._exists,LEFT($E37,1)="+"),"+",_xlpm._exists,"*",NOT(_xlpm._exists),"")
)</f>
        <v>*</v>
      </c>
      <c r="Q37" s="33" t="str" cm="1">
        <f t="array" aca="1" ref="Q3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($E37=CLASSIFICATION[[Keyword Aggr]:[Keyword Aggr]])*($D37=CLASSIFICATION[[Functional Scope Aggr]:[Functional Scope Aggr]])),
_xlpm._platform_keywords, _xlfn.TEXTSPLIT(SUBSTITUTE(SUBSTITUTE(VLOOKUP($D37,_xlpm._platform_range,3,FALSE),"+"&amp;CHAR(34),"+"),CHAR(34),""),", "),
_xlpm._exists, SUMPRODUCT(--ISNUMBER(MATCH(_xlpm._platform_keywords,_xlpm._original_keywords,0)))&gt;0,
_xlfn.IFS(_xlpm._exists,1,NOT(_xlpm._exists),"")
)</f>
        <v/>
      </c>
      <c r="R37" s="33" t="str" cm="1">
        <f t="array" aca="1" ref="R3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($E37=CLASSIFICATION[[Keyword Aggr]:[Keyword Aggr]])*($D37=CLASSIFICATION[[Functional Scope Aggr]:[Functional Scope Aggr]])),
_xlpm._platform_keywords, _xlfn.TEXTSPLIT(SUBSTITUTE(SUBSTITUTE(VLOOKUP($D37,_xlpm._platform_range,3,FALSE),"+"&amp;CHAR(34),"+"),CHAR(34),""),", "),
_xlpm._exists, SUMPRODUCT(--ISNUMBER(MATCH(_xlpm._platform_keywords,_xlpm._original_keywords,0)))&gt;0,
_xlfn.IFS(_xlpm._exists,1,NOT(_xlpm._exists),"")
)</f>
        <v/>
      </c>
      <c r="S37" s="33" cm="1">
        <f t="array" aca="1" ref="S3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($E37=CLASSIFICATION[[Keyword Aggr]:[Keyword Aggr]])*($D37=CLASSIFICATION[[Functional Scope Aggr]:[Functional Scope Aggr]])),
_xlpm._platform_keywords, _xlfn.TEXTSPLIT(SUBSTITUTE(SUBSTITUTE(VLOOKUP($D37,_xlpm._platform_range,3,FALSE),"+"&amp;CHAR(34),"+"),CHAR(34),""),", "),
_xlpm._exists, SUMPRODUCT(--ISNUMBER(MATCH(_xlpm._platform_keywords,_xlpm._original_keywords,0)))&gt;0,
_xlfn.IFS(_xlpm._exists,1,NOT(_xlpm._exists),"")
)</f>
        <v>1</v>
      </c>
      <c r="T37" s="33" t="str" cm="1">
        <f t="array" aca="1" ref="T3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($E37=CLASSIFICATION[[Keyword Aggr]:[Keyword Aggr]])*($D37=CLASSIFICATION[[Functional Scope Aggr]:[Functional Scope Aggr]])),
_xlpm._platform_keywords, _xlfn.TEXTSPLIT(SUBSTITUTE(SUBSTITUTE(VLOOKUP($D37,_xlpm._platform_range,3,FALSE),"+"&amp;CHAR(34),"+"),CHAR(34),""),", "),
_xlpm._exists, SUMPRODUCT(--ISNUMBER(MATCH(_xlpm._platform_keywords,_xlpm._original_keywords,0)))&gt;0,
_xlfn.IFS(_xlpm._exists,1,NOT(_xlpm._exists),"")
)</f>
        <v/>
      </c>
      <c r="U37" s="33" t="str" cm="1">
        <f t="array" aca="1" ref="U3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($E37=CLASSIFICATION[[Keyword Aggr]:[Keyword Aggr]])*($D37=CLASSIFICATION[[Functional Scope Aggr]:[Functional Scope Aggr]])),
_xlpm._platform_keywords, _xlfn.TEXTSPLIT(SUBSTITUTE(SUBSTITUTE(VLOOKUP($D37,_xlpm._platform_range,3,FALSE),"+"&amp;CHAR(34),"+"),CHAR(34),""),", "),
_xlpm._exists, SUMPRODUCT(--ISNUMBER(MATCH(_xlpm._platform_keywords,_xlpm._original_keywords,0)))&gt;0,
_xlfn.IFS(_xlpm._exists,1,NOT(_xlpm._exists),"")
)</f>
        <v/>
      </c>
      <c r="V37" s="33" cm="1">
        <f t="array" aca="1" ref="V3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($E37=CLASSIFICATION[[Keyword Aggr]:[Keyword Aggr]])*($D37=CLASSIFICATION[[Functional Scope Aggr]:[Functional Scope Aggr]])),
_xlpm._platform_keywords, _xlfn.TEXTSPLIT(SUBSTITUTE(SUBSTITUTE(VLOOKUP($D37,_xlpm._platform_range,3,FALSE),"+"&amp;CHAR(34),"+"),CHAR(34),""),", "),
_xlpm._exists, SUMPRODUCT(--ISNUMBER(MATCH(_xlpm._platform_keywords,_xlpm._original_keywords,0)))&gt;0,
_xlfn.IFS(_xlpm._exists,1,NOT(_xlpm._exists),"")
)</f>
        <v>1</v>
      </c>
      <c r="X37" s="33" t="str">
        <f t="shared" si="4"/>
        <v/>
      </c>
      <c r="Y37" s="33" t="str">
        <f t="shared" si="5"/>
        <v/>
      </c>
      <c r="Z37" s="33" t="str">
        <f t="shared" si="6"/>
        <v/>
      </c>
      <c r="AA37" s="33" t="str">
        <f t="shared" si="7"/>
        <v/>
      </c>
      <c r="AB37" s="33" t="str">
        <f t="shared" si="8"/>
        <v/>
      </c>
      <c r="AC37" s="33" t="str">
        <f t="shared" si="9"/>
        <v/>
      </c>
    </row>
    <row r="38" spans="1:29" x14ac:dyDescent="0.25">
      <c r="A38" s="19" t="str">
        <v>Design,Validations,Transactions</v>
      </c>
      <c r="B38" t="s">
        <v>377</v>
      </c>
      <c r="C38" s="19" t="str" cm="1">
        <f t="array" ref="C38:E38">_xlfn.TEXTSPLIT(A38,",")</f>
        <v>Design</v>
      </c>
      <c r="D38" s="19" t="str">
        <v>Validations</v>
      </c>
      <c r="E38" s="19" t="str">
        <v>Transactions</v>
      </c>
      <c r="F38" s="36" t="str" cm="1">
        <f t="array" ref="F38">_xlfn.TEXTJOIN(",",TRUE,_xlfn._xlws.FILTER(CLASSIFICATION[Keyword], ($E38=CLASSIFICATION[Keyword Aggr])*($D38=CLASSIFICATION[Functional Scope Aggr])))</f>
        <v>Transactions</v>
      </c>
      <c r="G38" s="32" t="str">
        <f t="shared" si="2"/>
        <v/>
      </c>
      <c r="H38" s="32" t="str">
        <f t="shared" si="3"/>
        <v/>
      </c>
      <c r="I38" s="32" t="str">
        <f t="shared" si="10"/>
        <v>Transactions</v>
      </c>
      <c r="J38" s="33" t="str" cm="1">
        <f t="array" aca="1" ref="J3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($E38=CLASSIFICATION[[Keyword Aggr]:[Keyword Aggr]])*($D38=CLASSIFICATION[[Functional Scope Aggr]:[Functional Scope Aggr]])),
_xlpm._platform_keywords, _xlfn.TEXTSPLIT(SUBSTITUTE(SUBSTITUTE(VLOOKUP($D38,_xlpm._platform_range,3,FALSE),"+"&amp;CHAR(34),"+"),CHAR(34),""),", "),
_xlpm._exists, SUMPRODUCT(--ISNUMBER(MATCH(_xlpm._platform_keywords,_xlpm._original_keywords,0)))&gt;0,
_xlfn.IFS(AND(_xlpm._exists,LEFT($E38,1)="+"),"+",_xlpm._exists,"*",NOT(_xlpm._exists),"")
)</f>
        <v>*</v>
      </c>
      <c r="K38" s="33" t="str" cm="1">
        <f t="array" aca="1" ref="K3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($E38=CLASSIFICATION[[Keyword Aggr]:[Keyword Aggr]])*($D38=CLASSIFICATION[[Functional Scope Aggr]:[Functional Scope Aggr]])),
_xlpm._platform_keywords, _xlfn.TEXTSPLIT(SUBSTITUTE(SUBSTITUTE(VLOOKUP($D38,_xlpm._platform_range,3,FALSE),"+"&amp;CHAR(34),"+"),CHAR(34),""),", "),
_xlpm._exists, SUMPRODUCT(--ISNUMBER(MATCH(_xlpm._platform_keywords,_xlpm._original_keywords,0)))&gt;0,
_xlfn.IFS(AND(_xlpm._exists,LEFT($E38,1)="+"),"+",_xlpm._exists,"*",NOT(_xlpm._exists),"")
)</f>
        <v/>
      </c>
      <c r="L38" s="33" t="str" cm="1">
        <f t="array" aca="1" ref="L3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($E38=CLASSIFICATION[[Keyword Aggr]:[Keyword Aggr]])*($D38=CLASSIFICATION[[Functional Scope Aggr]:[Functional Scope Aggr]])),
_xlpm._platform_keywords, _xlfn.TEXTSPLIT(SUBSTITUTE(SUBSTITUTE(VLOOKUP($D38,_xlpm._platform_range,3,FALSE),"+"&amp;CHAR(34),"+"),CHAR(34),""),", "),
_xlpm._exists, SUMPRODUCT(--ISNUMBER(MATCH(_xlpm._platform_keywords,_xlpm._original_keywords,0)))&gt;0,
_xlfn.IFS(AND(_xlpm._exists,LEFT($E38,1)="+"),"+",_xlpm._exists,"*",NOT(_xlpm._exists),"")
)</f>
        <v/>
      </c>
      <c r="M38" s="33" t="str" cm="1">
        <f t="array" aca="1" ref="M3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($E38=CLASSIFICATION[[Keyword Aggr]:[Keyword Aggr]])*($D38=CLASSIFICATION[[Functional Scope Aggr]:[Functional Scope Aggr]])),
_xlpm._platform_keywords, _xlfn.TEXTSPLIT(SUBSTITUTE(SUBSTITUTE(VLOOKUP($D38,_xlpm._platform_range,3,FALSE),"+"&amp;CHAR(34),"+"),CHAR(34),""),", "),
_xlpm._exists, SUMPRODUCT(--ISNUMBER(MATCH(_xlpm._platform_keywords,_xlpm._original_keywords,0)))&gt;0,
_xlfn.IFS(AND(_xlpm._exists,LEFT($E38,1)="+"),"+",_xlpm._exists,"*",NOT(_xlpm._exists),"")
)</f>
        <v/>
      </c>
      <c r="N38" s="33" t="str" cm="1">
        <f t="array" aca="1" ref="N3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($E38=CLASSIFICATION[[Keyword Aggr]:[Keyword Aggr]])*($D38=CLASSIFICATION[[Functional Scope Aggr]:[Functional Scope Aggr]])),
_xlpm._platform_keywords, _xlfn.TEXTSPLIT(SUBSTITUTE(SUBSTITUTE(VLOOKUP($D38,_xlpm._platform_range,3,FALSE),"+"&amp;CHAR(34),"+"),CHAR(34),""),", "),
_xlpm._exists, SUMPRODUCT(--ISNUMBER(MATCH(_xlpm._platform_keywords,_xlpm._original_keywords,0)))&gt;0,
_xlfn.IFS(AND(_xlpm._exists,LEFT($E38,1)="+"),"+",_xlpm._exists,"*",NOT(_xlpm._exists),"")
)</f>
        <v/>
      </c>
      <c r="O38" s="33" t="str" cm="1">
        <f t="array" aca="1" ref="O3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($E38=CLASSIFICATION[[Keyword Aggr]:[Keyword Aggr]])*($D38=CLASSIFICATION[[Functional Scope Aggr]:[Functional Scope Aggr]])),
_xlpm._platform_keywords, _xlfn.TEXTSPLIT(SUBSTITUTE(SUBSTITUTE(VLOOKUP($D38,_xlpm._platform_range,3,FALSE),"+"&amp;CHAR(34),"+"),CHAR(34),""),", "),
_xlpm._exists, SUMPRODUCT(--ISNUMBER(MATCH(_xlpm._platform_keywords,_xlpm._original_keywords,0)))&gt;0,
_xlfn.IFS(AND(_xlpm._exists,LEFT($E38,1)="+"),"+",_xlpm._exists,"*",NOT(_xlpm._exists),"")
)</f>
        <v/>
      </c>
      <c r="Q38" s="33" cm="1">
        <f t="array" aca="1" ref="Q3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($E38=CLASSIFICATION[[Keyword Aggr]:[Keyword Aggr]])*($D38=CLASSIFICATION[[Functional Scope Aggr]:[Functional Scope Aggr]])),
_xlpm._platform_keywords, _xlfn.TEXTSPLIT(SUBSTITUTE(SUBSTITUTE(VLOOKUP($D38,_xlpm._platform_range,3,FALSE),"+"&amp;CHAR(34),"+"),CHAR(34),""),", "),
_xlpm._exists, SUMPRODUCT(--ISNUMBER(MATCH(_xlpm._platform_keywords,_xlpm._original_keywords,0)))&gt;0,
_xlfn.IFS(_xlpm._exists,1,NOT(_xlpm._exists),"")
)</f>
        <v>1</v>
      </c>
      <c r="R38" s="33" t="str" cm="1">
        <f t="array" aca="1" ref="R3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($E38=CLASSIFICATION[[Keyword Aggr]:[Keyword Aggr]])*($D38=CLASSIFICATION[[Functional Scope Aggr]:[Functional Scope Aggr]])),
_xlpm._platform_keywords, _xlfn.TEXTSPLIT(SUBSTITUTE(SUBSTITUTE(VLOOKUP($D38,_xlpm._platform_range,3,FALSE),"+"&amp;CHAR(34),"+"),CHAR(34),""),", "),
_xlpm._exists, SUMPRODUCT(--ISNUMBER(MATCH(_xlpm._platform_keywords,_xlpm._original_keywords,0)))&gt;0,
_xlfn.IFS(_xlpm._exists,1,NOT(_xlpm._exists),"")
)</f>
        <v/>
      </c>
      <c r="S38" s="33" t="str" cm="1">
        <f t="array" aca="1" ref="S3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($E38=CLASSIFICATION[[Keyword Aggr]:[Keyword Aggr]])*($D38=CLASSIFICATION[[Functional Scope Aggr]:[Functional Scope Aggr]])),
_xlpm._platform_keywords, _xlfn.TEXTSPLIT(SUBSTITUTE(SUBSTITUTE(VLOOKUP($D38,_xlpm._platform_range,3,FALSE),"+"&amp;CHAR(34),"+"),CHAR(34),""),", "),
_xlpm._exists, SUMPRODUCT(--ISNUMBER(MATCH(_xlpm._platform_keywords,_xlpm._original_keywords,0)))&gt;0,
_xlfn.IFS(_xlpm._exists,1,NOT(_xlpm._exists),"")
)</f>
        <v/>
      </c>
      <c r="T38" s="33" t="str" cm="1">
        <f t="array" aca="1" ref="T3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($E38=CLASSIFICATION[[Keyword Aggr]:[Keyword Aggr]])*($D38=CLASSIFICATION[[Functional Scope Aggr]:[Functional Scope Aggr]])),
_xlpm._platform_keywords, _xlfn.TEXTSPLIT(SUBSTITUTE(SUBSTITUTE(VLOOKUP($D38,_xlpm._platform_range,3,FALSE),"+"&amp;CHAR(34),"+"),CHAR(34),""),", "),
_xlpm._exists, SUMPRODUCT(--ISNUMBER(MATCH(_xlpm._platform_keywords,_xlpm._original_keywords,0)))&gt;0,
_xlfn.IFS(_xlpm._exists,1,NOT(_xlpm._exists),"")
)</f>
        <v/>
      </c>
      <c r="U38" s="33" t="str" cm="1">
        <f t="array" aca="1" ref="U3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($E38=CLASSIFICATION[[Keyword Aggr]:[Keyword Aggr]])*($D38=CLASSIFICATION[[Functional Scope Aggr]:[Functional Scope Aggr]])),
_xlpm._platform_keywords, _xlfn.TEXTSPLIT(SUBSTITUTE(SUBSTITUTE(VLOOKUP($D38,_xlpm._platform_range,3,FALSE),"+"&amp;CHAR(34),"+"),CHAR(34),""),", "),
_xlpm._exists, SUMPRODUCT(--ISNUMBER(MATCH(_xlpm._platform_keywords,_xlpm._original_keywords,0)))&gt;0,
_xlfn.IFS(_xlpm._exists,1,NOT(_xlpm._exists),"")
)</f>
        <v/>
      </c>
      <c r="V38" s="33" t="str" cm="1">
        <f t="array" aca="1" ref="V3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($E38=CLASSIFICATION[[Keyword Aggr]:[Keyword Aggr]])*($D38=CLASSIFICATION[[Functional Scope Aggr]:[Functional Scope Aggr]])),
_xlpm._platform_keywords, _xlfn.TEXTSPLIT(SUBSTITUTE(SUBSTITUTE(VLOOKUP($D38,_xlpm._platform_range,3,FALSE),"+"&amp;CHAR(34),"+"),CHAR(34),""),", "),
_xlpm._exists, SUMPRODUCT(--ISNUMBER(MATCH(_xlpm._platform_keywords,_xlpm._original_keywords,0)))&gt;0,
_xlfn.IFS(_xlpm._exists,1,NOT(_xlpm._exists),"")
)</f>
        <v/>
      </c>
      <c r="X38" s="33" t="str">
        <f t="shared" si="4"/>
        <v/>
      </c>
      <c r="Y38" s="33" t="str">
        <f t="shared" si="5"/>
        <v/>
      </c>
      <c r="Z38" s="33" t="str">
        <f t="shared" si="6"/>
        <v/>
      </c>
      <c r="AA38" s="33" t="str">
        <f t="shared" si="7"/>
        <v/>
      </c>
      <c r="AB38" s="33" t="str">
        <f t="shared" si="8"/>
        <v/>
      </c>
      <c r="AC38" s="33" t="str">
        <f t="shared" si="9"/>
        <v/>
      </c>
    </row>
    <row r="39" spans="1:29" x14ac:dyDescent="0.25">
      <c r="A39" s="19" t="str">
        <v>Design,Application logic,+Actions</v>
      </c>
      <c r="B39" t="s">
        <v>377</v>
      </c>
      <c r="C39" s="19" t="str" cm="1">
        <f t="array" ref="C39:E39">_xlfn.TEXTSPLIT(A39,",")</f>
        <v>Design</v>
      </c>
      <c r="D39" s="19" t="str">
        <v>Application logic</v>
      </c>
      <c r="E39" s="19" t="str">
        <v>+Actions</v>
      </c>
      <c r="F39" s="36" t="str" cm="1">
        <f t="array" ref="F39">_xlfn.TEXTJOIN(",",TRUE,_xlfn._xlws.FILTER(CLASSIFICATION[Keyword], ($E39=CLASSIFICATION[Keyword Aggr])*($D39=CLASSIFICATION[Functional Scope Aggr])))</f>
        <v>+Actions</v>
      </c>
      <c r="G39" s="32" t="str">
        <f t="shared" si="2"/>
        <v/>
      </c>
      <c r="H39" s="32" t="str">
        <f t="shared" si="3"/>
        <v>Application logic</v>
      </c>
      <c r="I39" s="32" t="str">
        <f t="shared" si="10"/>
        <v>+Actions</v>
      </c>
      <c r="J39" s="33" t="str" cm="1">
        <f t="array" aca="1" ref="J3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($E39=CLASSIFICATION[[Keyword Aggr]:[Keyword Aggr]])*($D39=CLASSIFICATION[[Functional Scope Aggr]:[Functional Scope Aggr]])),
_xlpm._platform_keywords, _xlfn.TEXTSPLIT(SUBSTITUTE(SUBSTITUTE(VLOOKUP($D39,_xlpm._platform_range,3,FALSE),"+"&amp;CHAR(34),"+"),CHAR(34),""),", "),
_xlpm._exists, SUMPRODUCT(--ISNUMBER(MATCH(_xlpm._platform_keywords,_xlpm._original_keywords,0)))&gt;0,
_xlfn.IFS(AND(_xlpm._exists,LEFT($E39,1)="+"),"+",_xlpm._exists,"*",NOT(_xlpm._exists),"")
)</f>
        <v/>
      </c>
      <c r="K39" s="33" t="str" cm="1">
        <f t="array" aca="1" ref="K3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($E39=CLASSIFICATION[[Keyword Aggr]:[Keyword Aggr]])*($D39=CLASSIFICATION[[Functional Scope Aggr]:[Functional Scope Aggr]])),
_xlpm._platform_keywords, _xlfn.TEXTSPLIT(SUBSTITUTE(SUBSTITUTE(VLOOKUP($D39,_xlpm._platform_range,3,FALSE),"+"&amp;CHAR(34),"+"),CHAR(34),""),", "),
_xlpm._exists, SUMPRODUCT(--ISNUMBER(MATCH(_xlpm._platform_keywords,_xlpm._original_keywords,0)))&gt;0,
_xlfn.IFS(AND(_xlpm._exists,LEFT($E39,1)="+"),"+",_xlpm._exists,"*",NOT(_xlpm._exists),"")
)</f>
        <v/>
      </c>
      <c r="L39" s="33" t="str" cm="1">
        <f t="array" aca="1" ref="L3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($E39=CLASSIFICATION[[Keyword Aggr]:[Keyword Aggr]])*($D39=CLASSIFICATION[[Functional Scope Aggr]:[Functional Scope Aggr]])),
_xlpm._platform_keywords, _xlfn.TEXTSPLIT(SUBSTITUTE(SUBSTITUTE(VLOOKUP($D39,_xlpm._platform_range,3,FALSE),"+"&amp;CHAR(34),"+"),CHAR(34),""),", "),
_xlpm._exists, SUMPRODUCT(--ISNUMBER(MATCH(_xlpm._platform_keywords,_xlpm._original_keywords,0)))&gt;0,
_xlfn.IFS(AND(_xlpm._exists,LEFT($E39,1)="+"),"+",_xlpm._exists,"*",NOT(_xlpm._exists),"")
)</f>
        <v/>
      </c>
      <c r="M39" s="33" t="str" cm="1">
        <f t="array" aca="1" ref="M3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($E39=CLASSIFICATION[[Keyword Aggr]:[Keyword Aggr]])*($D39=CLASSIFICATION[[Functional Scope Aggr]:[Functional Scope Aggr]])),
_xlpm._platform_keywords, _xlfn.TEXTSPLIT(SUBSTITUTE(SUBSTITUTE(VLOOKUP($D39,_xlpm._platform_range,3,FALSE),"+"&amp;CHAR(34),"+"),CHAR(34),""),", "),
_xlpm._exists, SUMPRODUCT(--ISNUMBER(MATCH(_xlpm._platform_keywords,_xlpm._original_keywords,0)))&gt;0,
_xlfn.IFS(AND(_xlpm._exists,LEFT($E39,1)="+"),"+",_xlpm._exists,"*",NOT(_xlpm._exists),"")
)</f>
        <v/>
      </c>
      <c r="N39" s="33" t="str" cm="1">
        <f t="array" aca="1" ref="N3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($E39=CLASSIFICATION[[Keyword Aggr]:[Keyword Aggr]])*($D39=CLASSIFICATION[[Functional Scope Aggr]:[Functional Scope Aggr]])),
_xlpm._platform_keywords, _xlfn.TEXTSPLIT(SUBSTITUTE(SUBSTITUTE(VLOOKUP($D39,_xlpm._platform_range,3,FALSE),"+"&amp;CHAR(34),"+"),CHAR(34),""),", "),
_xlpm._exists, SUMPRODUCT(--ISNUMBER(MATCH(_xlpm._platform_keywords,_xlpm._original_keywords,0)))&gt;0,
_xlfn.IFS(AND(_xlpm._exists,LEFT($E39,1)="+"),"+",_xlpm._exists,"*",NOT(_xlpm._exists),"")
)</f>
        <v>+</v>
      </c>
      <c r="O39" s="33" t="str" cm="1">
        <f t="array" aca="1" ref="O3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($E39=CLASSIFICATION[[Keyword Aggr]:[Keyword Aggr]])*($D39=CLASSIFICATION[[Functional Scope Aggr]:[Functional Scope Aggr]])),
_xlpm._platform_keywords, _xlfn.TEXTSPLIT(SUBSTITUTE(SUBSTITUTE(VLOOKUP($D39,_xlpm._platform_range,3,FALSE),"+"&amp;CHAR(34),"+"),CHAR(34),""),", "),
_xlpm._exists, SUMPRODUCT(--ISNUMBER(MATCH(_xlpm._platform_keywords,_xlpm._original_keywords,0)))&gt;0,
_xlfn.IFS(AND(_xlpm._exists,LEFT($E39,1)="+"),"+",_xlpm._exists,"*",NOT(_xlpm._exists),"")
)</f>
        <v>+</v>
      </c>
      <c r="Q39" s="33" t="str" cm="1">
        <f t="array" aca="1" ref="Q3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($E39=CLASSIFICATION[[Keyword Aggr]:[Keyword Aggr]])*($D39=CLASSIFICATION[[Functional Scope Aggr]:[Functional Scope Aggr]])),
_xlpm._platform_keywords, _xlfn.TEXTSPLIT(SUBSTITUTE(SUBSTITUTE(VLOOKUP($D39,_xlpm._platform_range,3,FALSE),"+"&amp;CHAR(34),"+"),CHAR(34),""),", "),
_xlpm._exists, SUMPRODUCT(--ISNUMBER(MATCH(_xlpm._platform_keywords,_xlpm._original_keywords,0)))&gt;0,
_xlfn.IFS(_xlpm._exists,1,NOT(_xlpm._exists),"")
)</f>
        <v/>
      </c>
      <c r="R39" s="33" t="str" cm="1">
        <f t="array" aca="1" ref="R3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($E39=CLASSIFICATION[[Keyword Aggr]:[Keyword Aggr]])*($D39=CLASSIFICATION[[Functional Scope Aggr]:[Functional Scope Aggr]])),
_xlpm._platform_keywords, _xlfn.TEXTSPLIT(SUBSTITUTE(SUBSTITUTE(VLOOKUP($D39,_xlpm._platform_range,3,FALSE),"+"&amp;CHAR(34),"+"),CHAR(34),""),", "),
_xlpm._exists, SUMPRODUCT(--ISNUMBER(MATCH(_xlpm._platform_keywords,_xlpm._original_keywords,0)))&gt;0,
_xlfn.IFS(_xlpm._exists,1,NOT(_xlpm._exists),"")
)</f>
        <v/>
      </c>
      <c r="S39" s="33" t="str" cm="1">
        <f t="array" aca="1" ref="S3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($E39=CLASSIFICATION[[Keyword Aggr]:[Keyword Aggr]])*($D39=CLASSIFICATION[[Functional Scope Aggr]:[Functional Scope Aggr]])),
_xlpm._platform_keywords, _xlfn.TEXTSPLIT(SUBSTITUTE(SUBSTITUTE(VLOOKUP($D39,_xlpm._platform_range,3,FALSE),"+"&amp;CHAR(34),"+"),CHAR(34),""),", "),
_xlpm._exists, SUMPRODUCT(--ISNUMBER(MATCH(_xlpm._platform_keywords,_xlpm._original_keywords,0)))&gt;0,
_xlfn.IFS(_xlpm._exists,1,NOT(_xlpm._exists),"")
)</f>
        <v/>
      </c>
      <c r="T39" s="33" t="str" cm="1">
        <f t="array" aca="1" ref="T3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($E39=CLASSIFICATION[[Keyword Aggr]:[Keyword Aggr]])*($D39=CLASSIFICATION[[Functional Scope Aggr]:[Functional Scope Aggr]])),
_xlpm._platform_keywords, _xlfn.TEXTSPLIT(SUBSTITUTE(SUBSTITUTE(VLOOKUP($D39,_xlpm._platform_range,3,FALSE),"+"&amp;CHAR(34),"+"),CHAR(34),""),", "),
_xlpm._exists, SUMPRODUCT(--ISNUMBER(MATCH(_xlpm._platform_keywords,_xlpm._original_keywords,0)))&gt;0,
_xlfn.IFS(_xlpm._exists,1,NOT(_xlpm._exists),"")
)</f>
        <v/>
      </c>
      <c r="U39" s="33" cm="1">
        <f t="array" aca="1" ref="U3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($E39=CLASSIFICATION[[Keyword Aggr]:[Keyword Aggr]])*($D39=CLASSIFICATION[[Functional Scope Aggr]:[Functional Scope Aggr]])),
_xlpm._platform_keywords, _xlfn.TEXTSPLIT(SUBSTITUTE(SUBSTITUTE(VLOOKUP($D39,_xlpm._platform_range,3,FALSE),"+"&amp;CHAR(34),"+"),CHAR(34),""),", "),
_xlpm._exists, SUMPRODUCT(--ISNUMBER(MATCH(_xlpm._platform_keywords,_xlpm._original_keywords,0)))&gt;0,
_xlfn.IFS(_xlpm._exists,1,NOT(_xlpm._exists),"")
)</f>
        <v>1</v>
      </c>
      <c r="V39" s="33" cm="1">
        <f t="array" aca="1" ref="V3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($E39=CLASSIFICATION[[Keyword Aggr]:[Keyword Aggr]])*($D39=CLASSIFICATION[[Functional Scope Aggr]:[Functional Scope Aggr]])),
_xlpm._platform_keywords, _xlfn.TEXTSPLIT(SUBSTITUTE(SUBSTITUTE(VLOOKUP($D39,_xlpm._platform_range,3,FALSE),"+"&amp;CHAR(34),"+"),CHAR(34),""),", "),
_xlpm._exists, SUMPRODUCT(--ISNUMBER(MATCH(_xlpm._platform_keywords,_xlpm._original_keywords,0)))&gt;0,
_xlfn.IFS(_xlpm._exists,1,NOT(_xlpm._exists),"")
)</f>
        <v>1</v>
      </c>
      <c r="X39" s="33">
        <f t="shared" ca="1" si="4"/>
        <v>9</v>
      </c>
      <c r="Y39" s="33">
        <f t="shared" ca="1" si="5"/>
        <v>1</v>
      </c>
      <c r="Z39" s="33">
        <f t="shared" ca="1" si="6"/>
        <v>2</v>
      </c>
      <c r="AA39" s="33">
        <f t="shared" ca="1" si="7"/>
        <v>3</v>
      </c>
      <c r="AB39" s="33">
        <f t="shared" ca="1" si="8"/>
        <v>5</v>
      </c>
      <c r="AC39" s="33">
        <f t="shared" ca="1" si="9"/>
        <v>4</v>
      </c>
    </row>
    <row r="40" spans="1:29" x14ac:dyDescent="0.25">
      <c r="A40" s="19" t="str">
        <v>Design,Application logic,+Graphical actions</v>
      </c>
      <c r="B40" t="s">
        <v>377</v>
      </c>
      <c r="C40" s="19" t="str" cm="1">
        <f t="array" ref="C40:E40">_xlfn.TEXTSPLIT(A40,",")</f>
        <v>Design</v>
      </c>
      <c r="D40" s="19" t="str">
        <v>Application logic</v>
      </c>
      <c r="E40" s="19" t="str">
        <v>+Graphical actions</v>
      </c>
      <c r="F40" s="36" t="str" cm="1">
        <f t="array" ref="F40">_xlfn.TEXTJOIN(",",TRUE,_xlfn._xlws.FILTER(CLASSIFICATION[Keyword], ($E40=CLASSIFICATION[Keyword Aggr])*($D40=CLASSIFICATION[Functional Scope Aggr])))</f>
        <v>+Graphical actions</v>
      </c>
      <c r="G40" s="32" t="str">
        <f t="shared" si="2"/>
        <v/>
      </c>
      <c r="H40" s="32" t="str">
        <f t="shared" si="3"/>
        <v/>
      </c>
      <c r="I40" s="32" t="str">
        <f t="shared" si="10"/>
        <v>+Graphical actions</v>
      </c>
      <c r="J40" s="33" t="str" cm="1">
        <f t="array" aca="1" ref="J4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($E40=CLASSIFICATION[[Keyword Aggr]:[Keyword Aggr]])*($D40=CLASSIFICATION[[Functional Scope Aggr]:[Functional Scope Aggr]])),
_xlpm._platform_keywords, _xlfn.TEXTSPLIT(SUBSTITUTE(SUBSTITUTE(VLOOKUP($D40,_xlpm._platform_range,3,FALSE),"+"&amp;CHAR(34),"+"),CHAR(34),""),", "),
_xlpm._exists, SUMPRODUCT(--ISNUMBER(MATCH(_xlpm._platform_keywords,_xlpm._original_keywords,0)))&gt;0,
_xlfn.IFS(AND(_xlpm._exists,LEFT($E40,1)="+"),"+",_xlpm._exists,"*",NOT(_xlpm._exists),"")
)</f>
        <v/>
      </c>
      <c r="K40" s="33" t="str" cm="1">
        <f t="array" aca="1" ref="K4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($E40=CLASSIFICATION[[Keyword Aggr]:[Keyword Aggr]])*($D40=CLASSIFICATION[[Functional Scope Aggr]:[Functional Scope Aggr]])),
_xlpm._platform_keywords, _xlfn.TEXTSPLIT(SUBSTITUTE(SUBSTITUTE(VLOOKUP($D40,_xlpm._platform_range,3,FALSE),"+"&amp;CHAR(34),"+"),CHAR(34),""),", "),
_xlpm._exists, SUMPRODUCT(--ISNUMBER(MATCH(_xlpm._platform_keywords,_xlpm._original_keywords,0)))&gt;0,
_xlfn.IFS(AND(_xlpm._exists,LEFT($E40,1)="+"),"+",_xlpm._exists,"*",NOT(_xlpm._exists),"")
)</f>
        <v>+</v>
      </c>
      <c r="L40" s="33" t="str" cm="1">
        <f t="array" aca="1" ref="L4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($E40=CLASSIFICATION[[Keyword Aggr]:[Keyword Aggr]])*($D40=CLASSIFICATION[[Functional Scope Aggr]:[Functional Scope Aggr]])),
_xlpm._platform_keywords, _xlfn.TEXTSPLIT(SUBSTITUTE(SUBSTITUTE(VLOOKUP($D40,_xlpm._platform_range,3,FALSE),"+"&amp;CHAR(34),"+"),CHAR(34),""),", "),
_xlpm._exists, SUMPRODUCT(--ISNUMBER(MATCH(_xlpm._platform_keywords,_xlpm._original_keywords,0)))&gt;0,
_xlfn.IFS(AND(_xlpm._exists,LEFT($E40,1)="+"),"+",_xlpm._exists,"*",NOT(_xlpm._exists),"")
)</f>
        <v/>
      </c>
      <c r="M40" s="33" t="str" cm="1">
        <f t="array" aca="1" ref="M4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($E40=CLASSIFICATION[[Keyword Aggr]:[Keyword Aggr]])*($D40=CLASSIFICATION[[Functional Scope Aggr]:[Functional Scope Aggr]])),
_xlpm._platform_keywords, _xlfn.TEXTSPLIT(SUBSTITUTE(SUBSTITUTE(VLOOKUP($D40,_xlpm._platform_range,3,FALSE),"+"&amp;CHAR(34),"+"),CHAR(34),""),", "),
_xlpm._exists, SUMPRODUCT(--ISNUMBER(MATCH(_xlpm._platform_keywords,_xlpm._original_keywords,0)))&gt;0,
_xlfn.IFS(AND(_xlpm._exists,LEFT($E40,1)="+"),"+",_xlpm._exists,"*",NOT(_xlpm._exists),"")
)</f>
        <v/>
      </c>
      <c r="N40" s="33" t="str" cm="1">
        <f t="array" aca="1" ref="N4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($E40=CLASSIFICATION[[Keyword Aggr]:[Keyword Aggr]])*($D40=CLASSIFICATION[[Functional Scope Aggr]:[Functional Scope Aggr]])),
_xlpm._platform_keywords, _xlfn.TEXTSPLIT(SUBSTITUTE(SUBSTITUTE(VLOOKUP($D40,_xlpm._platform_range,3,FALSE),"+"&amp;CHAR(34),"+"),CHAR(34),""),", "),
_xlpm._exists, SUMPRODUCT(--ISNUMBER(MATCH(_xlpm._platform_keywords,_xlpm._original_keywords,0)))&gt;0,
_xlfn.IFS(AND(_xlpm._exists,LEFT($E40,1)="+"),"+",_xlpm._exists,"*",NOT(_xlpm._exists),"")
)</f>
        <v/>
      </c>
      <c r="O40" s="33" t="str" cm="1">
        <f t="array" aca="1" ref="O4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($E40=CLASSIFICATION[[Keyword Aggr]:[Keyword Aggr]])*($D40=CLASSIFICATION[[Functional Scope Aggr]:[Functional Scope Aggr]])),
_xlpm._platform_keywords, _xlfn.TEXTSPLIT(SUBSTITUTE(SUBSTITUTE(VLOOKUP($D40,_xlpm._platform_range,3,FALSE),"+"&amp;CHAR(34),"+"),CHAR(34),""),", "),
_xlpm._exists, SUMPRODUCT(--ISNUMBER(MATCH(_xlpm._platform_keywords,_xlpm._original_keywords,0)))&gt;0,
_xlfn.IFS(AND(_xlpm._exists,LEFT($E40,1)="+"),"+",_xlpm._exists,"*",NOT(_xlpm._exists),"")
)</f>
        <v/>
      </c>
      <c r="Q40" s="33" t="str" cm="1">
        <f t="array" aca="1" ref="Q4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($E40=CLASSIFICATION[[Keyword Aggr]:[Keyword Aggr]])*($D40=CLASSIFICATION[[Functional Scope Aggr]:[Functional Scope Aggr]])),
_xlpm._platform_keywords, _xlfn.TEXTSPLIT(SUBSTITUTE(SUBSTITUTE(VLOOKUP($D40,_xlpm._platform_range,3,FALSE),"+"&amp;CHAR(34),"+"),CHAR(34),""),", "),
_xlpm._exists, SUMPRODUCT(--ISNUMBER(MATCH(_xlpm._platform_keywords,_xlpm._original_keywords,0)))&gt;0,
_xlfn.IFS(_xlpm._exists,1,NOT(_xlpm._exists),"")
)</f>
        <v/>
      </c>
      <c r="R40" s="33" cm="1">
        <f t="array" aca="1" ref="R4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($E40=CLASSIFICATION[[Keyword Aggr]:[Keyword Aggr]])*($D40=CLASSIFICATION[[Functional Scope Aggr]:[Functional Scope Aggr]])),
_xlpm._platform_keywords, _xlfn.TEXTSPLIT(SUBSTITUTE(SUBSTITUTE(VLOOKUP($D40,_xlpm._platform_range,3,FALSE),"+"&amp;CHAR(34),"+"),CHAR(34),""),", "),
_xlpm._exists, SUMPRODUCT(--ISNUMBER(MATCH(_xlpm._platform_keywords,_xlpm._original_keywords,0)))&gt;0,
_xlfn.IFS(_xlpm._exists,1,NOT(_xlpm._exists),"")
)</f>
        <v>1</v>
      </c>
      <c r="S40" s="33" t="str" cm="1">
        <f t="array" aca="1" ref="S4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($E40=CLASSIFICATION[[Keyword Aggr]:[Keyword Aggr]])*($D40=CLASSIFICATION[[Functional Scope Aggr]:[Functional Scope Aggr]])),
_xlpm._platform_keywords, _xlfn.TEXTSPLIT(SUBSTITUTE(SUBSTITUTE(VLOOKUP($D40,_xlpm._platform_range,3,FALSE),"+"&amp;CHAR(34),"+"),CHAR(34),""),", "),
_xlpm._exists, SUMPRODUCT(--ISNUMBER(MATCH(_xlpm._platform_keywords,_xlpm._original_keywords,0)))&gt;0,
_xlfn.IFS(_xlpm._exists,1,NOT(_xlpm._exists),"")
)</f>
        <v/>
      </c>
      <c r="T40" s="33" t="str" cm="1">
        <f t="array" aca="1" ref="T4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($E40=CLASSIFICATION[[Keyword Aggr]:[Keyword Aggr]])*($D40=CLASSIFICATION[[Functional Scope Aggr]:[Functional Scope Aggr]])),
_xlpm._platform_keywords, _xlfn.TEXTSPLIT(SUBSTITUTE(SUBSTITUTE(VLOOKUP($D40,_xlpm._platform_range,3,FALSE),"+"&amp;CHAR(34),"+"),CHAR(34),""),", "),
_xlpm._exists, SUMPRODUCT(--ISNUMBER(MATCH(_xlpm._platform_keywords,_xlpm._original_keywords,0)))&gt;0,
_xlfn.IFS(_xlpm._exists,1,NOT(_xlpm._exists),"")
)</f>
        <v/>
      </c>
      <c r="U40" s="33" t="str" cm="1">
        <f t="array" aca="1" ref="U4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($E40=CLASSIFICATION[[Keyword Aggr]:[Keyword Aggr]])*($D40=CLASSIFICATION[[Functional Scope Aggr]:[Functional Scope Aggr]])),
_xlpm._platform_keywords, _xlfn.TEXTSPLIT(SUBSTITUTE(SUBSTITUTE(VLOOKUP($D40,_xlpm._platform_range,3,FALSE),"+"&amp;CHAR(34),"+"),CHAR(34),""),", "),
_xlpm._exists, SUMPRODUCT(--ISNUMBER(MATCH(_xlpm._platform_keywords,_xlpm._original_keywords,0)))&gt;0,
_xlfn.IFS(_xlpm._exists,1,NOT(_xlpm._exists),"")
)</f>
        <v/>
      </c>
      <c r="V40" s="33" t="str" cm="1">
        <f t="array" aca="1" ref="V4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($E40=CLASSIFICATION[[Keyword Aggr]:[Keyword Aggr]])*($D40=CLASSIFICATION[[Functional Scope Aggr]:[Functional Scope Aggr]])),
_xlpm._platform_keywords, _xlfn.TEXTSPLIT(SUBSTITUTE(SUBSTITUTE(VLOOKUP($D40,_xlpm._platform_range,3,FALSE),"+"&amp;CHAR(34),"+"),CHAR(34),""),", "),
_xlpm._exists, SUMPRODUCT(--ISNUMBER(MATCH(_xlpm._platform_keywords,_xlpm._original_keywords,0)))&gt;0,
_xlfn.IFS(_xlpm._exists,1,NOT(_xlpm._exists),"")
)</f>
        <v/>
      </c>
      <c r="X40" s="33" t="str">
        <f t="shared" si="4"/>
        <v/>
      </c>
      <c r="Y40" s="33" t="str">
        <f t="shared" si="5"/>
        <v/>
      </c>
      <c r="Z40" s="33" t="str">
        <f t="shared" si="6"/>
        <v/>
      </c>
      <c r="AA40" s="33" t="str">
        <f t="shared" si="7"/>
        <v/>
      </c>
      <c r="AB40" s="33" t="str">
        <f t="shared" si="8"/>
        <v/>
      </c>
      <c r="AC40" s="33" t="str">
        <f t="shared" si="9"/>
        <v/>
      </c>
    </row>
    <row r="41" spans="1:29" x14ac:dyDescent="0.25">
      <c r="A41" s="19" t="str">
        <v>Design,Application logic,+NLP</v>
      </c>
      <c r="B41" t="s">
        <v>377</v>
      </c>
      <c r="C41" s="19" t="str" cm="1">
        <f t="array" ref="C41:E41">_xlfn.TEXTSPLIT(A41,",")</f>
        <v>Design</v>
      </c>
      <c r="D41" s="19" t="str">
        <v>Application logic</v>
      </c>
      <c r="E41" s="19" t="str">
        <v>+NLP</v>
      </c>
      <c r="F41" s="36" t="str" cm="1">
        <f t="array" ref="F41">_xlfn.TEXTJOIN(",",TRUE,_xlfn._xlws.FILTER(CLASSIFICATION[Keyword], ($E41=CLASSIFICATION[Keyword Aggr])*($D41=CLASSIFICATION[Functional Scope Aggr])))</f>
        <v>+NLP</v>
      </c>
      <c r="G41" s="32" t="str">
        <f t="shared" si="2"/>
        <v/>
      </c>
      <c r="H41" s="32" t="str">
        <f t="shared" si="3"/>
        <v/>
      </c>
      <c r="I41" s="32" t="str">
        <f t="shared" si="10"/>
        <v>+NLP</v>
      </c>
      <c r="J41" s="33" t="str" cm="1">
        <f t="array" aca="1" ref="J4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($E41=CLASSIFICATION[[Keyword Aggr]:[Keyword Aggr]])*($D41=CLASSIFICATION[[Functional Scope Aggr]:[Functional Scope Aggr]])),
_xlpm._platform_keywords, _xlfn.TEXTSPLIT(SUBSTITUTE(SUBSTITUTE(VLOOKUP($D41,_xlpm._platform_range,3,FALSE),"+"&amp;CHAR(34),"+"),CHAR(34),""),", "),
_xlpm._exists, SUMPRODUCT(--ISNUMBER(MATCH(_xlpm._platform_keywords,_xlpm._original_keywords,0)))&gt;0,
_xlfn.IFS(AND(_xlpm._exists,LEFT($E41,1)="+"),"+",_xlpm._exists,"*",NOT(_xlpm._exists),"")
)</f>
        <v/>
      </c>
      <c r="K41" s="33" t="str" cm="1">
        <f t="array" aca="1" ref="K4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($E41=CLASSIFICATION[[Keyword Aggr]:[Keyword Aggr]])*($D41=CLASSIFICATION[[Functional Scope Aggr]:[Functional Scope Aggr]])),
_xlpm._platform_keywords, _xlfn.TEXTSPLIT(SUBSTITUTE(SUBSTITUTE(VLOOKUP($D41,_xlpm._platform_range,3,FALSE),"+"&amp;CHAR(34),"+"),CHAR(34),""),", "),
_xlpm._exists, SUMPRODUCT(--ISNUMBER(MATCH(_xlpm._platform_keywords,_xlpm._original_keywords,0)))&gt;0,
_xlfn.IFS(AND(_xlpm._exists,LEFT($E41,1)="+"),"+",_xlpm._exists,"*",NOT(_xlpm._exists),"")
)</f>
        <v/>
      </c>
      <c r="L41" s="33" t="str" cm="1">
        <f t="array" aca="1" ref="L4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($E41=CLASSIFICATION[[Keyword Aggr]:[Keyword Aggr]])*($D41=CLASSIFICATION[[Functional Scope Aggr]:[Functional Scope Aggr]])),
_xlpm._platform_keywords, _xlfn.TEXTSPLIT(SUBSTITUTE(SUBSTITUTE(VLOOKUP($D41,_xlpm._platform_range,3,FALSE),"+"&amp;CHAR(34),"+"),CHAR(34),""),", "),
_xlpm._exists, SUMPRODUCT(--ISNUMBER(MATCH(_xlpm._platform_keywords,_xlpm._original_keywords,0)))&gt;0,
_xlfn.IFS(AND(_xlpm._exists,LEFT($E41,1)="+"),"+",_xlpm._exists,"*",NOT(_xlpm._exists),"")
)</f>
        <v/>
      </c>
      <c r="M41" s="33" t="str" cm="1">
        <f t="array" aca="1" ref="M4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($E41=CLASSIFICATION[[Keyword Aggr]:[Keyword Aggr]])*($D41=CLASSIFICATION[[Functional Scope Aggr]:[Functional Scope Aggr]])),
_xlpm._platform_keywords, _xlfn.TEXTSPLIT(SUBSTITUTE(SUBSTITUTE(VLOOKUP($D41,_xlpm._platform_range,3,FALSE),"+"&amp;CHAR(34),"+"),CHAR(34),""),", "),
_xlpm._exists, SUMPRODUCT(--ISNUMBER(MATCH(_xlpm._platform_keywords,_xlpm._original_keywords,0)))&gt;0,
_xlfn.IFS(AND(_xlpm._exists,LEFT($E41,1)="+"),"+",_xlpm._exists,"*",NOT(_xlpm._exists),"")
)</f>
        <v>+</v>
      </c>
      <c r="N41" s="33" t="str" cm="1">
        <f t="array" aca="1" ref="N4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($E41=CLASSIFICATION[[Keyword Aggr]:[Keyword Aggr]])*($D41=CLASSIFICATION[[Functional Scope Aggr]:[Functional Scope Aggr]])),
_xlpm._platform_keywords, _xlfn.TEXTSPLIT(SUBSTITUTE(SUBSTITUTE(VLOOKUP($D41,_xlpm._platform_range,3,FALSE),"+"&amp;CHAR(34),"+"),CHAR(34),""),", "),
_xlpm._exists, SUMPRODUCT(--ISNUMBER(MATCH(_xlpm._platform_keywords,_xlpm._original_keywords,0)))&gt;0,
_xlfn.IFS(AND(_xlpm._exists,LEFT($E41,1)="+"),"+",_xlpm._exists,"*",NOT(_xlpm._exists),"")
)</f>
        <v/>
      </c>
      <c r="O41" s="33" t="str" cm="1">
        <f t="array" aca="1" ref="O4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($E41=CLASSIFICATION[[Keyword Aggr]:[Keyword Aggr]])*($D41=CLASSIFICATION[[Functional Scope Aggr]:[Functional Scope Aggr]])),
_xlpm._platform_keywords, _xlfn.TEXTSPLIT(SUBSTITUTE(SUBSTITUTE(VLOOKUP($D41,_xlpm._platform_range,3,FALSE),"+"&amp;CHAR(34),"+"),CHAR(34),""),", "),
_xlpm._exists, SUMPRODUCT(--ISNUMBER(MATCH(_xlpm._platform_keywords,_xlpm._original_keywords,0)))&gt;0,
_xlfn.IFS(AND(_xlpm._exists,LEFT($E41,1)="+"),"+",_xlpm._exists,"*",NOT(_xlpm._exists),"")
)</f>
        <v/>
      </c>
      <c r="Q41" s="33" t="str" cm="1">
        <f t="array" aca="1" ref="Q4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($E41=CLASSIFICATION[[Keyword Aggr]:[Keyword Aggr]])*($D41=CLASSIFICATION[[Functional Scope Aggr]:[Functional Scope Aggr]])),
_xlpm._platform_keywords, _xlfn.TEXTSPLIT(SUBSTITUTE(SUBSTITUTE(VLOOKUP($D41,_xlpm._platform_range,3,FALSE),"+"&amp;CHAR(34),"+"),CHAR(34),""),", "),
_xlpm._exists, SUMPRODUCT(--ISNUMBER(MATCH(_xlpm._platform_keywords,_xlpm._original_keywords,0)))&gt;0,
_xlfn.IFS(_xlpm._exists,1,NOT(_xlpm._exists),"")
)</f>
        <v/>
      </c>
      <c r="R41" s="33" t="str" cm="1">
        <f t="array" aca="1" ref="R4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($E41=CLASSIFICATION[[Keyword Aggr]:[Keyword Aggr]])*($D41=CLASSIFICATION[[Functional Scope Aggr]:[Functional Scope Aggr]])),
_xlpm._platform_keywords, _xlfn.TEXTSPLIT(SUBSTITUTE(SUBSTITUTE(VLOOKUP($D41,_xlpm._platform_range,3,FALSE),"+"&amp;CHAR(34),"+"),CHAR(34),""),", "),
_xlpm._exists, SUMPRODUCT(--ISNUMBER(MATCH(_xlpm._platform_keywords,_xlpm._original_keywords,0)))&gt;0,
_xlfn.IFS(_xlpm._exists,1,NOT(_xlpm._exists),"")
)</f>
        <v/>
      </c>
      <c r="S41" s="33" t="str" cm="1">
        <f t="array" aca="1" ref="S4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($E41=CLASSIFICATION[[Keyword Aggr]:[Keyword Aggr]])*($D41=CLASSIFICATION[[Functional Scope Aggr]:[Functional Scope Aggr]])),
_xlpm._platform_keywords, _xlfn.TEXTSPLIT(SUBSTITUTE(SUBSTITUTE(VLOOKUP($D41,_xlpm._platform_range,3,FALSE),"+"&amp;CHAR(34),"+"),CHAR(34),""),", "),
_xlpm._exists, SUMPRODUCT(--ISNUMBER(MATCH(_xlpm._platform_keywords,_xlpm._original_keywords,0)))&gt;0,
_xlfn.IFS(_xlpm._exists,1,NOT(_xlpm._exists),"")
)</f>
        <v/>
      </c>
      <c r="T41" s="33" cm="1">
        <f t="array" aca="1" ref="T4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($E41=CLASSIFICATION[[Keyword Aggr]:[Keyword Aggr]])*($D41=CLASSIFICATION[[Functional Scope Aggr]:[Functional Scope Aggr]])),
_xlpm._platform_keywords, _xlfn.TEXTSPLIT(SUBSTITUTE(SUBSTITUTE(VLOOKUP($D41,_xlpm._platform_range,3,FALSE),"+"&amp;CHAR(34),"+"),CHAR(34),""),", "),
_xlpm._exists, SUMPRODUCT(--ISNUMBER(MATCH(_xlpm._platform_keywords,_xlpm._original_keywords,0)))&gt;0,
_xlfn.IFS(_xlpm._exists,1,NOT(_xlpm._exists),"")
)</f>
        <v>1</v>
      </c>
      <c r="U41" s="33" t="str" cm="1">
        <f t="array" aca="1" ref="U4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($E41=CLASSIFICATION[[Keyword Aggr]:[Keyword Aggr]])*($D41=CLASSIFICATION[[Functional Scope Aggr]:[Functional Scope Aggr]])),
_xlpm._platform_keywords, _xlfn.TEXTSPLIT(SUBSTITUTE(SUBSTITUTE(VLOOKUP($D41,_xlpm._platform_range,3,FALSE),"+"&amp;CHAR(34),"+"),CHAR(34),""),", "),
_xlpm._exists, SUMPRODUCT(--ISNUMBER(MATCH(_xlpm._platform_keywords,_xlpm._original_keywords,0)))&gt;0,
_xlfn.IFS(_xlpm._exists,1,NOT(_xlpm._exists),"")
)</f>
        <v/>
      </c>
      <c r="V41" s="33" t="str" cm="1">
        <f t="array" aca="1" ref="V4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($E41=CLASSIFICATION[[Keyword Aggr]:[Keyword Aggr]])*($D41=CLASSIFICATION[[Functional Scope Aggr]:[Functional Scope Aggr]])),
_xlpm._platform_keywords, _xlfn.TEXTSPLIT(SUBSTITUTE(SUBSTITUTE(VLOOKUP($D41,_xlpm._platform_range,3,FALSE),"+"&amp;CHAR(34),"+"),CHAR(34),""),", "),
_xlpm._exists, SUMPRODUCT(--ISNUMBER(MATCH(_xlpm._platform_keywords,_xlpm._original_keywords,0)))&gt;0,
_xlfn.IFS(_xlpm._exists,1,NOT(_xlpm._exists),"")
)</f>
        <v/>
      </c>
      <c r="X41" s="33" t="str">
        <f t="shared" si="4"/>
        <v/>
      </c>
      <c r="Y41" s="33" t="str">
        <f t="shared" si="5"/>
        <v/>
      </c>
      <c r="Z41" s="33" t="str">
        <f t="shared" si="6"/>
        <v/>
      </c>
      <c r="AA41" s="33" t="str">
        <f t="shared" si="7"/>
        <v/>
      </c>
      <c r="AB41" s="33" t="str">
        <f t="shared" si="8"/>
        <v/>
      </c>
      <c r="AC41" s="33" t="str">
        <f t="shared" si="9"/>
        <v/>
      </c>
    </row>
    <row r="42" spans="1:29" x14ac:dyDescent="0.25">
      <c r="A42" s="19" t="str">
        <v>Design,Application logic,+Custom Language</v>
      </c>
      <c r="B42" t="s">
        <v>377</v>
      </c>
      <c r="C42" s="19" t="str" cm="1">
        <f t="array" ref="C42:E42">_xlfn.TEXTSPLIT(A42,",")</f>
        <v>Design</v>
      </c>
      <c r="D42" s="19" t="str">
        <v>Application logic</v>
      </c>
      <c r="E42" s="19" t="str">
        <v>+Custom Language</v>
      </c>
      <c r="F42" s="36" t="str" cm="1">
        <f t="array" ref="F42">_xlfn.TEXTJOIN(",",TRUE,_xlfn._xlws.FILTER(CLASSIFICATION[Keyword], ($E42=CLASSIFICATION[Keyword Aggr])*($D42=CLASSIFICATION[Functional Scope Aggr])))</f>
        <v>+Power Fx - an Open-source programming language for low-code</v>
      </c>
      <c r="G42" s="32" t="str">
        <f t="shared" si="2"/>
        <v/>
      </c>
      <c r="H42" s="32" t="str">
        <f t="shared" si="3"/>
        <v/>
      </c>
      <c r="I42" s="32" t="str">
        <f t="shared" si="10"/>
        <v>+Custom Language</v>
      </c>
      <c r="J42" s="33" t="str" cm="1">
        <f t="array" aca="1" ref="J4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($E42=CLASSIFICATION[[Keyword Aggr]:[Keyword Aggr]])*($D42=CLASSIFICATION[[Functional Scope Aggr]:[Functional Scope Aggr]])),
_xlpm._platform_keywords, _xlfn.TEXTSPLIT(SUBSTITUTE(SUBSTITUTE(VLOOKUP($D42,_xlpm._platform_range,3,FALSE),"+"&amp;CHAR(34),"+"),CHAR(34),""),", "),
_xlpm._exists, SUMPRODUCT(--ISNUMBER(MATCH(_xlpm._platform_keywords,_xlpm._original_keywords,0)))&gt;0,
_xlfn.IFS(AND(_xlpm._exists,LEFT($E42,1)="+"),"+",_xlpm._exists,"*",NOT(_xlpm._exists),"")
)</f>
        <v/>
      </c>
      <c r="K42" s="33" t="str" cm="1">
        <f t="array" aca="1" ref="K4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($E42=CLASSIFICATION[[Keyword Aggr]:[Keyword Aggr]])*($D42=CLASSIFICATION[[Functional Scope Aggr]:[Functional Scope Aggr]])),
_xlpm._platform_keywords, _xlfn.TEXTSPLIT(SUBSTITUTE(SUBSTITUTE(VLOOKUP($D42,_xlpm._platform_range,3,FALSE),"+"&amp;CHAR(34),"+"),CHAR(34),""),", "),
_xlpm._exists, SUMPRODUCT(--ISNUMBER(MATCH(_xlpm._platform_keywords,_xlpm._original_keywords,0)))&gt;0,
_xlfn.IFS(AND(_xlpm._exists,LEFT($E42,1)="+"),"+",_xlpm._exists,"*",NOT(_xlpm._exists),"")
)</f>
        <v/>
      </c>
      <c r="L42" s="33" t="str" cm="1">
        <f t="array" aca="1" ref="L4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($E42=CLASSIFICATION[[Keyword Aggr]:[Keyword Aggr]])*($D42=CLASSIFICATION[[Functional Scope Aggr]:[Functional Scope Aggr]])),
_xlpm._platform_keywords, _xlfn.TEXTSPLIT(SUBSTITUTE(SUBSTITUTE(VLOOKUP($D42,_xlpm._platform_range,3,FALSE),"+"&amp;CHAR(34),"+"),CHAR(34),""),", "),
_xlpm._exists, SUMPRODUCT(--ISNUMBER(MATCH(_xlpm._platform_keywords,_xlpm._original_keywords,0)))&gt;0,
_xlfn.IFS(AND(_xlpm._exists,LEFT($E42,1)="+"),"+",_xlpm._exists,"*",NOT(_xlpm._exists),"")
)</f>
        <v/>
      </c>
      <c r="M42" s="33" t="str" cm="1">
        <f t="array" aca="1" ref="M4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($E42=CLASSIFICATION[[Keyword Aggr]:[Keyword Aggr]])*($D42=CLASSIFICATION[[Functional Scope Aggr]:[Functional Scope Aggr]])),
_xlpm._platform_keywords, _xlfn.TEXTSPLIT(SUBSTITUTE(SUBSTITUTE(VLOOKUP($D42,_xlpm._platform_range,3,FALSE),"+"&amp;CHAR(34),"+"),CHAR(34),""),", "),
_xlpm._exists, SUMPRODUCT(--ISNUMBER(MATCH(_xlpm._platform_keywords,_xlpm._original_keywords,0)))&gt;0,
_xlfn.IFS(AND(_xlpm._exists,LEFT($E42,1)="+"),"+",_xlpm._exists,"*",NOT(_xlpm._exists),"")
)</f>
        <v>+</v>
      </c>
      <c r="N42" s="33" t="str" cm="1">
        <f t="array" aca="1" ref="N4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($E42=CLASSIFICATION[[Keyword Aggr]:[Keyword Aggr]])*($D42=CLASSIFICATION[[Functional Scope Aggr]:[Functional Scope Aggr]])),
_xlpm._platform_keywords, _xlfn.TEXTSPLIT(SUBSTITUTE(SUBSTITUTE(VLOOKUP($D42,_xlpm._platform_range,3,FALSE),"+"&amp;CHAR(34),"+"),CHAR(34),""),", "),
_xlpm._exists, SUMPRODUCT(--ISNUMBER(MATCH(_xlpm._platform_keywords,_xlpm._original_keywords,0)))&gt;0,
_xlfn.IFS(AND(_xlpm._exists,LEFT($E42,1)="+"),"+",_xlpm._exists,"*",NOT(_xlpm._exists),"")
)</f>
        <v/>
      </c>
      <c r="O42" s="33" t="str" cm="1">
        <f t="array" aca="1" ref="O4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($E42=CLASSIFICATION[[Keyword Aggr]:[Keyword Aggr]])*($D42=CLASSIFICATION[[Functional Scope Aggr]:[Functional Scope Aggr]])),
_xlpm._platform_keywords, _xlfn.TEXTSPLIT(SUBSTITUTE(SUBSTITUTE(VLOOKUP($D42,_xlpm._platform_range,3,FALSE),"+"&amp;CHAR(34),"+"),CHAR(34),""),", "),
_xlpm._exists, SUMPRODUCT(--ISNUMBER(MATCH(_xlpm._platform_keywords,_xlpm._original_keywords,0)))&gt;0,
_xlfn.IFS(AND(_xlpm._exists,LEFT($E42,1)="+"),"+",_xlpm._exists,"*",NOT(_xlpm._exists),"")
)</f>
        <v/>
      </c>
      <c r="Q42" s="33" t="str" cm="1">
        <f t="array" aca="1" ref="Q4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($E42=CLASSIFICATION[[Keyword Aggr]:[Keyword Aggr]])*($D42=CLASSIFICATION[[Functional Scope Aggr]:[Functional Scope Aggr]])),
_xlpm._platform_keywords, _xlfn.TEXTSPLIT(SUBSTITUTE(SUBSTITUTE(VLOOKUP($D42,_xlpm._platform_range,3,FALSE),"+"&amp;CHAR(34),"+"),CHAR(34),""),", "),
_xlpm._exists, SUMPRODUCT(--ISNUMBER(MATCH(_xlpm._platform_keywords,_xlpm._original_keywords,0)))&gt;0,
_xlfn.IFS(_xlpm._exists,1,NOT(_xlpm._exists),"")
)</f>
        <v/>
      </c>
      <c r="R42" s="33" t="str" cm="1">
        <f t="array" aca="1" ref="R4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($E42=CLASSIFICATION[[Keyword Aggr]:[Keyword Aggr]])*($D42=CLASSIFICATION[[Functional Scope Aggr]:[Functional Scope Aggr]])),
_xlpm._platform_keywords, _xlfn.TEXTSPLIT(SUBSTITUTE(SUBSTITUTE(VLOOKUP($D42,_xlpm._platform_range,3,FALSE),"+"&amp;CHAR(34),"+"),CHAR(34),""),", "),
_xlpm._exists, SUMPRODUCT(--ISNUMBER(MATCH(_xlpm._platform_keywords,_xlpm._original_keywords,0)))&gt;0,
_xlfn.IFS(_xlpm._exists,1,NOT(_xlpm._exists),"")
)</f>
        <v/>
      </c>
      <c r="S42" s="33" t="str" cm="1">
        <f t="array" aca="1" ref="S4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($E42=CLASSIFICATION[[Keyword Aggr]:[Keyword Aggr]])*($D42=CLASSIFICATION[[Functional Scope Aggr]:[Functional Scope Aggr]])),
_xlpm._platform_keywords, _xlfn.TEXTSPLIT(SUBSTITUTE(SUBSTITUTE(VLOOKUP($D42,_xlpm._platform_range,3,FALSE),"+"&amp;CHAR(34),"+"),CHAR(34),""),", "),
_xlpm._exists, SUMPRODUCT(--ISNUMBER(MATCH(_xlpm._platform_keywords,_xlpm._original_keywords,0)))&gt;0,
_xlfn.IFS(_xlpm._exists,1,NOT(_xlpm._exists),"")
)</f>
        <v/>
      </c>
      <c r="T42" s="33" cm="1">
        <f t="array" aca="1" ref="T4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($E42=CLASSIFICATION[[Keyword Aggr]:[Keyword Aggr]])*($D42=CLASSIFICATION[[Functional Scope Aggr]:[Functional Scope Aggr]])),
_xlpm._platform_keywords, _xlfn.TEXTSPLIT(SUBSTITUTE(SUBSTITUTE(VLOOKUP($D42,_xlpm._platform_range,3,FALSE),"+"&amp;CHAR(34),"+"),CHAR(34),""),", "),
_xlpm._exists, SUMPRODUCT(--ISNUMBER(MATCH(_xlpm._platform_keywords,_xlpm._original_keywords,0)))&gt;0,
_xlfn.IFS(_xlpm._exists,1,NOT(_xlpm._exists),"")
)</f>
        <v>1</v>
      </c>
      <c r="U42" s="33" t="str" cm="1">
        <f t="array" aca="1" ref="U4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($E42=CLASSIFICATION[[Keyword Aggr]:[Keyword Aggr]])*($D42=CLASSIFICATION[[Functional Scope Aggr]:[Functional Scope Aggr]])),
_xlpm._platform_keywords, _xlfn.TEXTSPLIT(SUBSTITUTE(SUBSTITUTE(VLOOKUP($D42,_xlpm._platform_range,3,FALSE),"+"&amp;CHAR(34),"+"),CHAR(34),""),", "),
_xlpm._exists, SUMPRODUCT(--ISNUMBER(MATCH(_xlpm._platform_keywords,_xlpm._original_keywords,0)))&gt;0,
_xlfn.IFS(_xlpm._exists,1,NOT(_xlpm._exists),"")
)</f>
        <v/>
      </c>
      <c r="V42" s="33" t="str" cm="1">
        <f t="array" aca="1" ref="V4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($E42=CLASSIFICATION[[Keyword Aggr]:[Keyword Aggr]])*($D42=CLASSIFICATION[[Functional Scope Aggr]:[Functional Scope Aggr]])),
_xlpm._platform_keywords, _xlfn.TEXTSPLIT(SUBSTITUTE(SUBSTITUTE(VLOOKUP($D42,_xlpm._platform_range,3,FALSE),"+"&amp;CHAR(34),"+"),CHAR(34),""),", "),
_xlpm._exists, SUMPRODUCT(--ISNUMBER(MATCH(_xlpm._platform_keywords,_xlpm._original_keywords,0)))&gt;0,
_xlfn.IFS(_xlpm._exists,1,NOT(_xlpm._exists),"")
)</f>
        <v/>
      </c>
      <c r="X42" s="33" t="str">
        <f t="shared" si="4"/>
        <v/>
      </c>
      <c r="Y42" s="33" t="str">
        <f t="shared" si="5"/>
        <v/>
      </c>
      <c r="Z42" s="33" t="str">
        <f t="shared" si="6"/>
        <v/>
      </c>
      <c r="AA42" s="33" t="str">
        <f t="shared" si="7"/>
        <v/>
      </c>
      <c r="AB42" s="33" t="str">
        <f t="shared" si="8"/>
        <v/>
      </c>
      <c r="AC42" s="33" t="str">
        <f t="shared" si="9"/>
        <v/>
      </c>
    </row>
    <row r="43" spans="1:29" x14ac:dyDescent="0.25">
      <c r="A43" s="19" t="str">
        <v>Design,Application logic,+Predefined Tasks</v>
      </c>
      <c r="B43" t="s">
        <v>377</v>
      </c>
      <c r="C43" s="19" t="str" cm="1">
        <f t="array" ref="C43:E43">_xlfn.TEXTSPLIT(A43,",")</f>
        <v>Design</v>
      </c>
      <c r="D43" s="19" t="str">
        <v>Application logic</v>
      </c>
      <c r="E43" s="19" t="str">
        <v>+Predefined Tasks</v>
      </c>
      <c r="F43" s="36" t="str" cm="1">
        <f t="array" ref="F43">_xlfn.TEXTJOIN(",",TRUE,_xlfn._xlws.FILTER(CLASSIFICATION[Keyword], ($E43=CLASSIFICATION[Keyword Aggr])*($D43=CLASSIFICATION[Functional Scope Aggr])))</f>
        <v>+Predefined Process Steps,+Predefined Tasks</v>
      </c>
      <c r="G43" s="32" t="str">
        <f t="shared" si="2"/>
        <v/>
      </c>
      <c r="H43" s="32" t="str">
        <f t="shared" si="3"/>
        <v/>
      </c>
      <c r="I43" s="32" t="str">
        <f t="shared" si="10"/>
        <v>+Predefined Tasks</v>
      </c>
      <c r="J43" s="33" t="str" cm="1">
        <f t="array" aca="1" ref="J4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($E43=CLASSIFICATION[[Keyword Aggr]:[Keyword Aggr]])*($D43=CLASSIFICATION[[Functional Scope Aggr]:[Functional Scope Aggr]])),
_xlpm._platform_keywords, _xlfn.TEXTSPLIT(SUBSTITUTE(SUBSTITUTE(VLOOKUP($D43,_xlpm._platform_range,3,FALSE),"+"&amp;CHAR(34),"+"),CHAR(34),""),", "),
_xlpm._exists, SUMPRODUCT(--ISNUMBER(MATCH(_xlpm._platform_keywords,_xlpm._original_keywords,0)))&gt;0,
_xlfn.IFS(AND(_xlpm._exists,LEFT($E43,1)="+"),"+",_xlpm._exists,"*",NOT(_xlpm._exists),"")
)</f>
        <v/>
      </c>
      <c r="K43" s="33" t="str" cm="1">
        <f t="array" aca="1" ref="K4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($E43=CLASSIFICATION[[Keyword Aggr]:[Keyword Aggr]])*($D43=CLASSIFICATION[[Functional Scope Aggr]:[Functional Scope Aggr]])),
_xlpm._platform_keywords, _xlfn.TEXTSPLIT(SUBSTITUTE(SUBSTITUTE(VLOOKUP($D43,_xlpm._platform_range,3,FALSE),"+"&amp;CHAR(34),"+"),CHAR(34),""),", "),
_xlpm._exists, SUMPRODUCT(--ISNUMBER(MATCH(_xlpm._platform_keywords,_xlpm._original_keywords,0)))&gt;0,
_xlfn.IFS(AND(_xlpm._exists,LEFT($E43,1)="+"),"+",_xlpm._exists,"*",NOT(_xlpm._exists),"")
)</f>
        <v/>
      </c>
      <c r="L43" s="33" t="str" cm="1">
        <f t="array" aca="1" ref="L4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($E43=CLASSIFICATION[[Keyword Aggr]:[Keyword Aggr]])*($D43=CLASSIFICATION[[Functional Scope Aggr]:[Functional Scope Aggr]])),
_xlpm._platform_keywords, _xlfn.TEXTSPLIT(SUBSTITUTE(SUBSTITUTE(VLOOKUP($D43,_xlpm._platform_range,3,FALSE),"+"&amp;CHAR(34),"+"),CHAR(34),""),", "),
_xlpm._exists, SUMPRODUCT(--ISNUMBER(MATCH(_xlpm._platform_keywords,_xlpm._original_keywords,0)))&gt;0,
_xlfn.IFS(AND(_xlpm._exists,LEFT($E43,1)="+"),"+",_xlpm._exists,"*",NOT(_xlpm._exists),"")
)</f>
        <v/>
      </c>
      <c r="M43" s="33" t="str" cm="1">
        <f t="array" aca="1" ref="M4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($E43=CLASSIFICATION[[Keyword Aggr]:[Keyword Aggr]])*($D43=CLASSIFICATION[[Functional Scope Aggr]:[Functional Scope Aggr]])),
_xlpm._platform_keywords, _xlfn.TEXTSPLIT(SUBSTITUTE(SUBSTITUTE(VLOOKUP($D43,_xlpm._platform_range,3,FALSE),"+"&amp;CHAR(34),"+"),CHAR(34),""),", "),
_xlpm._exists, SUMPRODUCT(--ISNUMBER(MATCH(_xlpm._platform_keywords,_xlpm._original_keywords,0)))&gt;0,
_xlfn.IFS(AND(_xlpm._exists,LEFT($E43,1)="+"),"+",_xlpm._exists,"*",NOT(_xlpm._exists),"")
)</f>
        <v/>
      </c>
      <c r="N43" s="33" t="str" cm="1">
        <f t="array" aca="1" ref="N4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($E43=CLASSIFICATION[[Keyword Aggr]:[Keyword Aggr]])*($D43=CLASSIFICATION[[Functional Scope Aggr]:[Functional Scope Aggr]])),
_xlpm._platform_keywords, _xlfn.TEXTSPLIT(SUBSTITUTE(SUBSTITUTE(VLOOKUP($D43,_xlpm._platform_range,3,FALSE),"+"&amp;CHAR(34),"+"),CHAR(34),""),", "),
_xlpm._exists, SUMPRODUCT(--ISNUMBER(MATCH(_xlpm._platform_keywords,_xlpm._original_keywords,0)))&gt;0,
_xlfn.IFS(AND(_xlpm._exists,LEFT($E43,1)="+"),"+",_xlpm._exists,"*",NOT(_xlpm._exists),"")
)</f>
        <v>+</v>
      </c>
      <c r="O43" s="33" t="str" cm="1">
        <f t="array" aca="1" ref="O4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($E43=CLASSIFICATION[[Keyword Aggr]:[Keyword Aggr]])*($D43=CLASSIFICATION[[Functional Scope Aggr]:[Functional Scope Aggr]])),
_xlpm._platform_keywords, _xlfn.TEXTSPLIT(SUBSTITUTE(SUBSTITUTE(VLOOKUP($D43,_xlpm._platform_range,3,FALSE),"+"&amp;CHAR(34),"+"),CHAR(34),""),", "),
_xlpm._exists, SUMPRODUCT(--ISNUMBER(MATCH(_xlpm._platform_keywords,_xlpm._original_keywords,0)))&gt;0,
_xlfn.IFS(AND(_xlpm._exists,LEFT($E43,1)="+"),"+",_xlpm._exists,"*",NOT(_xlpm._exists),"")
)</f>
        <v/>
      </c>
      <c r="Q43" s="33" t="str" cm="1">
        <f t="array" aca="1" ref="Q4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($E43=CLASSIFICATION[[Keyword Aggr]:[Keyword Aggr]])*($D43=CLASSIFICATION[[Functional Scope Aggr]:[Functional Scope Aggr]])),
_xlpm._platform_keywords, _xlfn.TEXTSPLIT(SUBSTITUTE(SUBSTITUTE(VLOOKUP($D43,_xlpm._platform_range,3,FALSE),"+"&amp;CHAR(34),"+"),CHAR(34),""),", "),
_xlpm._exists, SUMPRODUCT(--ISNUMBER(MATCH(_xlpm._platform_keywords,_xlpm._original_keywords,0)))&gt;0,
_xlfn.IFS(_xlpm._exists,1,NOT(_xlpm._exists),"")
)</f>
        <v/>
      </c>
      <c r="R43" s="33" t="str" cm="1">
        <f t="array" aca="1" ref="R4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($E43=CLASSIFICATION[[Keyword Aggr]:[Keyword Aggr]])*($D43=CLASSIFICATION[[Functional Scope Aggr]:[Functional Scope Aggr]])),
_xlpm._platform_keywords, _xlfn.TEXTSPLIT(SUBSTITUTE(SUBSTITUTE(VLOOKUP($D43,_xlpm._platform_range,3,FALSE),"+"&amp;CHAR(34),"+"),CHAR(34),""),", "),
_xlpm._exists, SUMPRODUCT(--ISNUMBER(MATCH(_xlpm._platform_keywords,_xlpm._original_keywords,0)))&gt;0,
_xlfn.IFS(_xlpm._exists,1,NOT(_xlpm._exists),"")
)</f>
        <v/>
      </c>
      <c r="S43" s="33" t="str" cm="1">
        <f t="array" aca="1" ref="S4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($E43=CLASSIFICATION[[Keyword Aggr]:[Keyword Aggr]])*($D43=CLASSIFICATION[[Functional Scope Aggr]:[Functional Scope Aggr]])),
_xlpm._platform_keywords, _xlfn.TEXTSPLIT(SUBSTITUTE(SUBSTITUTE(VLOOKUP($D43,_xlpm._platform_range,3,FALSE),"+"&amp;CHAR(34),"+"),CHAR(34),""),", "),
_xlpm._exists, SUMPRODUCT(--ISNUMBER(MATCH(_xlpm._platform_keywords,_xlpm._original_keywords,0)))&gt;0,
_xlfn.IFS(_xlpm._exists,1,NOT(_xlpm._exists),"")
)</f>
        <v/>
      </c>
      <c r="T43" s="33" t="str" cm="1">
        <f t="array" aca="1" ref="T4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($E43=CLASSIFICATION[[Keyword Aggr]:[Keyword Aggr]])*($D43=CLASSIFICATION[[Functional Scope Aggr]:[Functional Scope Aggr]])),
_xlpm._platform_keywords, _xlfn.TEXTSPLIT(SUBSTITUTE(SUBSTITUTE(VLOOKUP($D43,_xlpm._platform_range,3,FALSE),"+"&amp;CHAR(34),"+"),CHAR(34),""),", "),
_xlpm._exists, SUMPRODUCT(--ISNUMBER(MATCH(_xlpm._platform_keywords,_xlpm._original_keywords,0)))&gt;0,
_xlfn.IFS(_xlpm._exists,1,NOT(_xlpm._exists),"")
)</f>
        <v/>
      </c>
      <c r="U43" s="33" cm="1">
        <f t="array" aca="1" ref="U4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($E43=CLASSIFICATION[[Keyword Aggr]:[Keyword Aggr]])*($D43=CLASSIFICATION[[Functional Scope Aggr]:[Functional Scope Aggr]])),
_xlpm._platform_keywords, _xlfn.TEXTSPLIT(SUBSTITUTE(SUBSTITUTE(VLOOKUP($D43,_xlpm._platform_range,3,FALSE),"+"&amp;CHAR(34),"+"),CHAR(34),""),", "),
_xlpm._exists, SUMPRODUCT(--ISNUMBER(MATCH(_xlpm._platform_keywords,_xlpm._original_keywords,0)))&gt;0,
_xlfn.IFS(_xlpm._exists,1,NOT(_xlpm._exists),"")
)</f>
        <v>1</v>
      </c>
      <c r="V43" s="33" t="str" cm="1">
        <f t="array" aca="1" ref="V4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($E43=CLASSIFICATION[[Keyword Aggr]:[Keyword Aggr]])*($D43=CLASSIFICATION[[Functional Scope Aggr]:[Functional Scope Aggr]])),
_xlpm._platform_keywords, _xlfn.TEXTSPLIT(SUBSTITUTE(SUBSTITUTE(VLOOKUP($D43,_xlpm._platform_range,3,FALSE),"+"&amp;CHAR(34),"+"),CHAR(34),""),", "),
_xlpm._exists, SUMPRODUCT(--ISNUMBER(MATCH(_xlpm._platform_keywords,_xlpm._original_keywords,0)))&gt;0,
_xlfn.IFS(_xlpm._exists,1,NOT(_xlpm._exists),"")
)</f>
        <v/>
      </c>
      <c r="X43" s="33" t="str">
        <f t="shared" si="4"/>
        <v/>
      </c>
      <c r="Y43" s="33" t="str">
        <f t="shared" si="5"/>
        <v/>
      </c>
      <c r="Z43" s="33" t="str">
        <f t="shared" si="6"/>
        <v/>
      </c>
      <c r="AA43" s="33" t="str">
        <f t="shared" si="7"/>
        <v/>
      </c>
      <c r="AB43" s="33" t="str">
        <f t="shared" si="8"/>
        <v/>
      </c>
      <c r="AC43" s="33" t="str">
        <f t="shared" si="9"/>
        <v/>
      </c>
    </row>
    <row r="44" spans="1:29" x14ac:dyDescent="0.25">
      <c r="A44" s="19" t="str">
        <v>Design,Application logic,UML</v>
      </c>
      <c r="B44" t="s">
        <v>377</v>
      </c>
      <c r="C44" s="19" t="str" cm="1">
        <f t="array" ref="C44:E44">_xlfn.TEXTSPLIT(A44,",")</f>
        <v>Design</v>
      </c>
      <c r="D44" s="19" t="str">
        <v>Application logic</v>
      </c>
      <c r="E44" s="19" t="str">
        <v>UML</v>
      </c>
      <c r="F44" s="36" t="str" cm="1">
        <f t="array" ref="F44">_xlfn.TEXTJOIN(",",TRUE,_xlfn._xlws.FILTER(CLASSIFICATION[Keyword], ($E44=CLASSIFICATION[Keyword Aggr])*($D44=CLASSIFICATION[Functional Scope Aggr])))</f>
        <v>Activity Diagram,Sequence Flow</v>
      </c>
      <c r="G44" s="32" t="str">
        <f t="shared" si="2"/>
        <v/>
      </c>
      <c r="H44" s="32" t="str">
        <f t="shared" si="3"/>
        <v/>
      </c>
      <c r="I44" s="32" t="str">
        <f t="shared" si="10"/>
        <v>UML</v>
      </c>
      <c r="J44" s="33" t="str" cm="1">
        <f t="array" aca="1" ref="J4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($E44=CLASSIFICATION[[Keyword Aggr]:[Keyword Aggr]])*($D44=CLASSIFICATION[[Functional Scope Aggr]:[Functional Scope Aggr]])),
_xlpm._platform_keywords, _xlfn.TEXTSPLIT(SUBSTITUTE(SUBSTITUTE(VLOOKUP($D44,_xlpm._platform_range,3,FALSE),"+"&amp;CHAR(34),"+"),CHAR(34),""),", "),
_xlpm._exists, SUMPRODUCT(--ISNUMBER(MATCH(_xlpm._platform_keywords,_xlpm._original_keywords,0)))&gt;0,
_xlfn.IFS(AND(_xlpm._exists,LEFT($E44,1)="+"),"+",_xlpm._exists,"*",NOT(_xlpm._exists),"")
)</f>
        <v>*</v>
      </c>
      <c r="K44" s="33" t="str" cm="1">
        <f t="array" aca="1" ref="K4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($E44=CLASSIFICATION[[Keyword Aggr]:[Keyword Aggr]])*($D44=CLASSIFICATION[[Functional Scope Aggr]:[Functional Scope Aggr]])),
_xlpm._platform_keywords, _xlfn.TEXTSPLIT(SUBSTITUTE(SUBSTITUTE(VLOOKUP($D44,_xlpm._platform_range,3,FALSE),"+"&amp;CHAR(34),"+"),CHAR(34),""),", "),
_xlpm._exists, SUMPRODUCT(--ISNUMBER(MATCH(_xlpm._platform_keywords,_xlpm._original_keywords,0)))&gt;0,
_xlfn.IFS(AND(_xlpm._exists,LEFT($E44,1)="+"),"+",_xlpm._exists,"*",NOT(_xlpm._exists),"")
)</f>
        <v/>
      </c>
      <c r="L44" s="33" t="str" cm="1">
        <f t="array" aca="1" ref="L4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($E44=CLASSIFICATION[[Keyword Aggr]:[Keyword Aggr]])*($D44=CLASSIFICATION[[Functional Scope Aggr]:[Functional Scope Aggr]])),
_xlpm._platform_keywords, _xlfn.TEXTSPLIT(SUBSTITUTE(SUBSTITUTE(VLOOKUP($D44,_xlpm._platform_range,3,FALSE),"+"&amp;CHAR(34),"+"),CHAR(34),""),", "),
_xlpm._exists, SUMPRODUCT(--ISNUMBER(MATCH(_xlpm._platform_keywords,_xlpm._original_keywords,0)))&gt;0,
_xlfn.IFS(AND(_xlpm._exists,LEFT($E44,1)="+"),"+",_xlpm._exists,"*",NOT(_xlpm._exists),"")
)</f>
        <v/>
      </c>
      <c r="M44" s="33" t="str" cm="1">
        <f t="array" aca="1" ref="M4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($E44=CLASSIFICATION[[Keyword Aggr]:[Keyword Aggr]])*($D44=CLASSIFICATION[[Functional Scope Aggr]:[Functional Scope Aggr]])),
_xlpm._platform_keywords, _xlfn.TEXTSPLIT(SUBSTITUTE(SUBSTITUTE(VLOOKUP($D44,_xlpm._platform_range,3,FALSE),"+"&amp;CHAR(34),"+"),CHAR(34),""),", "),
_xlpm._exists, SUMPRODUCT(--ISNUMBER(MATCH(_xlpm._platform_keywords,_xlpm._original_keywords,0)))&gt;0,
_xlfn.IFS(AND(_xlpm._exists,LEFT($E44,1)="+"),"+",_xlpm._exists,"*",NOT(_xlpm._exists),"")
)</f>
        <v/>
      </c>
      <c r="N44" s="33" t="str" cm="1">
        <f t="array" aca="1" ref="N4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($E44=CLASSIFICATION[[Keyword Aggr]:[Keyword Aggr]])*($D44=CLASSIFICATION[[Functional Scope Aggr]:[Functional Scope Aggr]])),
_xlpm._platform_keywords, _xlfn.TEXTSPLIT(SUBSTITUTE(SUBSTITUTE(VLOOKUP($D44,_xlpm._platform_range,3,FALSE),"+"&amp;CHAR(34),"+"),CHAR(34),""),", "),
_xlpm._exists, SUMPRODUCT(--ISNUMBER(MATCH(_xlpm._platform_keywords,_xlpm._original_keywords,0)))&gt;0,
_xlfn.IFS(AND(_xlpm._exists,LEFT($E44,1)="+"),"+",_xlpm._exists,"*",NOT(_xlpm._exists),"")
)</f>
        <v/>
      </c>
      <c r="O44" s="33" t="str" cm="1">
        <f t="array" aca="1" ref="O4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($E44=CLASSIFICATION[[Keyword Aggr]:[Keyword Aggr]])*($D44=CLASSIFICATION[[Functional Scope Aggr]:[Functional Scope Aggr]])),
_xlpm._platform_keywords, _xlfn.TEXTSPLIT(SUBSTITUTE(SUBSTITUTE(VLOOKUP($D44,_xlpm._platform_range,3,FALSE),"+"&amp;CHAR(34),"+"),CHAR(34),""),", "),
_xlpm._exists, SUMPRODUCT(--ISNUMBER(MATCH(_xlpm._platform_keywords,_xlpm._original_keywords,0)))&gt;0,
_xlfn.IFS(AND(_xlpm._exists,LEFT($E44,1)="+"),"+",_xlpm._exists,"*",NOT(_xlpm._exists),"")
)</f>
        <v/>
      </c>
      <c r="Q44" s="33" cm="1">
        <f t="array" aca="1" ref="Q4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($E44=CLASSIFICATION[[Keyword Aggr]:[Keyword Aggr]])*($D44=CLASSIFICATION[[Functional Scope Aggr]:[Functional Scope Aggr]])),
_xlpm._platform_keywords, _xlfn.TEXTSPLIT(SUBSTITUTE(SUBSTITUTE(VLOOKUP($D44,_xlpm._platform_range,3,FALSE),"+"&amp;CHAR(34),"+"),CHAR(34),""),", "),
_xlpm._exists, SUMPRODUCT(--ISNUMBER(MATCH(_xlpm._platform_keywords,_xlpm._original_keywords,0)))&gt;0,
_xlfn.IFS(_xlpm._exists,1,NOT(_xlpm._exists),"")
)</f>
        <v>1</v>
      </c>
      <c r="R44" s="33" t="str" cm="1">
        <f t="array" aca="1" ref="R4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($E44=CLASSIFICATION[[Keyword Aggr]:[Keyword Aggr]])*($D44=CLASSIFICATION[[Functional Scope Aggr]:[Functional Scope Aggr]])),
_xlpm._platform_keywords, _xlfn.TEXTSPLIT(SUBSTITUTE(SUBSTITUTE(VLOOKUP($D44,_xlpm._platform_range,3,FALSE),"+"&amp;CHAR(34),"+"),CHAR(34),""),", "),
_xlpm._exists, SUMPRODUCT(--ISNUMBER(MATCH(_xlpm._platform_keywords,_xlpm._original_keywords,0)))&gt;0,
_xlfn.IFS(_xlpm._exists,1,NOT(_xlpm._exists),"")
)</f>
        <v/>
      </c>
      <c r="S44" s="33" t="str" cm="1">
        <f t="array" aca="1" ref="S4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($E44=CLASSIFICATION[[Keyword Aggr]:[Keyword Aggr]])*($D44=CLASSIFICATION[[Functional Scope Aggr]:[Functional Scope Aggr]])),
_xlpm._platform_keywords, _xlfn.TEXTSPLIT(SUBSTITUTE(SUBSTITUTE(VLOOKUP($D44,_xlpm._platform_range,3,FALSE),"+"&amp;CHAR(34),"+"),CHAR(34),""),", "),
_xlpm._exists, SUMPRODUCT(--ISNUMBER(MATCH(_xlpm._platform_keywords,_xlpm._original_keywords,0)))&gt;0,
_xlfn.IFS(_xlpm._exists,1,NOT(_xlpm._exists),"")
)</f>
        <v/>
      </c>
      <c r="T44" s="33" t="str" cm="1">
        <f t="array" aca="1" ref="T4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($E44=CLASSIFICATION[[Keyword Aggr]:[Keyword Aggr]])*($D44=CLASSIFICATION[[Functional Scope Aggr]:[Functional Scope Aggr]])),
_xlpm._platform_keywords, _xlfn.TEXTSPLIT(SUBSTITUTE(SUBSTITUTE(VLOOKUP($D44,_xlpm._platform_range,3,FALSE),"+"&amp;CHAR(34),"+"),CHAR(34),""),", "),
_xlpm._exists, SUMPRODUCT(--ISNUMBER(MATCH(_xlpm._platform_keywords,_xlpm._original_keywords,0)))&gt;0,
_xlfn.IFS(_xlpm._exists,1,NOT(_xlpm._exists),"")
)</f>
        <v/>
      </c>
      <c r="U44" s="33" t="str" cm="1">
        <f t="array" aca="1" ref="U4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($E44=CLASSIFICATION[[Keyword Aggr]:[Keyword Aggr]])*($D44=CLASSIFICATION[[Functional Scope Aggr]:[Functional Scope Aggr]])),
_xlpm._platform_keywords, _xlfn.TEXTSPLIT(SUBSTITUTE(SUBSTITUTE(VLOOKUP($D44,_xlpm._platform_range,3,FALSE),"+"&amp;CHAR(34),"+"),CHAR(34),""),", "),
_xlpm._exists, SUMPRODUCT(--ISNUMBER(MATCH(_xlpm._platform_keywords,_xlpm._original_keywords,0)))&gt;0,
_xlfn.IFS(_xlpm._exists,1,NOT(_xlpm._exists),"")
)</f>
        <v/>
      </c>
      <c r="V44" s="33" t="str" cm="1">
        <f t="array" aca="1" ref="V4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($E44=CLASSIFICATION[[Keyword Aggr]:[Keyword Aggr]])*($D44=CLASSIFICATION[[Functional Scope Aggr]:[Functional Scope Aggr]])),
_xlpm._platform_keywords, _xlfn.TEXTSPLIT(SUBSTITUTE(SUBSTITUTE(VLOOKUP($D44,_xlpm._platform_range,3,FALSE),"+"&amp;CHAR(34),"+"),CHAR(34),""),", "),
_xlpm._exists, SUMPRODUCT(--ISNUMBER(MATCH(_xlpm._platform_keywords,_xlpm._original_keywords,0)))&gt;0,
_xlfn.IFS(_xlpm._exists,1,NOT(_xlpm._exists),"")
)</f>
        <v/>
      </c>
      <c r="X44" s="33" t="str">
        <f t="shared" si="4"/>
        <v/>
      </c>
      <c r="Y44" s="33" t="str">
        <f t="shared" si="5"/>
        <v/>
      </c>
      <c r="Z44" s="33" t="str">
        <f t="shared" si="6"/>
        <v/>
      </c>
      <c r="AA44" s="33" t="str">
        <f t="shared" si="7"/>
        <v/>
      </c>
      <c r="AB44" s="33" t="str">
        <f t="shared" si="8"/>
        <v/>
      </c>
      <c r="AC44" s="33" t="str">
        <f t="shared" si="9"/>
        <v/>
      </c>
    </row>
    <row r="45" spans="1:29" x14ac:dyDescent="0.25">
      <c r="A45" s="19" t="str">
        <v>Design,Application logic,Algorithms</v>
      </c>
      <c r="B45" t="s">
        <v>377</v>
      </c>
      <c r="C45" s="19" t="str" cm="1">
        <f t="array" ref="C45:E45">_xlfn.TEXTSPLIT(A45,",")</f>
        <v>Design</v>
      </c>
      <c r="D45" s="19" t="str">
        <v>Application logic</v>
      </c>
      <c r="E45" s="19" t="str">
        <v>Algorithms</v>
      </c>
      <c r="F45" s="36" t="str" cm="1">
        <f t="array" ref="F45">_xlfn.TEXTJOIN(",",TRUE,_xlfn._xlws.FILTER(CLASSIFICATION[Keyword], ($E45=CLASSIFICATION[Keyword Aggr])*($D45=CLASSIFICATION[Functional Scope Aggr])))</f>
        <v>Algorithms</v>
      </c>
      <c r="G45" s="32" t="str">
        <f t="shared" si="2"/>
        <v/>
      </c>
      <c r="H45" s="32" t="str">
        <f t="shared" si="3"/>
        <v/>
      </c>
      <c r="I45" s="32" t="str">
        <f t="shared" si="10"/>
        <v>Algorithms</v>
      </c>
      <c r="J45" s="33" t="str" cm="1">
        <f t="array" aca="1" ref="J4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($E45=CLASSIFICATION[[Keyword Aggr]:[Keyword Aggr]])*($D45=CLASSIFICATION[[Functional Scope Aggr]:[Functional Scope Aggr]])),
_xlpm._platform_keywords, _xlfn.TEXTSPLIT(SUBSTITUTE(SUBSTITUTE(VLOOKUP($D45,_xlpm._platform_range,3,FALSE),"+"&amp;CHAR(34),"+"),CHAR(34),""),", "),
_xlpm._exists, SUMPRODUCT(--ISNUMBER(MATCH(_xlpm._platform_keywords,_xlpm._original_keywords,0)))&gt;0,
_xlfn.IFS(AND(_xlpm._exists,LEFT($E45,1)="+"),"+",_xlpm._exists,"*",NOT(_xlpm._exists),"")
)</f>
        <v>*</v>
      </c>
      <c r="K45" s="33" t="str" cm="1">
        <f t="array" aca="1" ref="K4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($E45=CLASSIFICATION[[Keyword Aggr]:[Keyword Aggr]])*($D45=CLASSIFICATION[[Functional Scope Aggr]:[Functional Scope Aggr]])),
_xlpm._platform_keywords, _xlfn.TEXTSPLIT(SUBSTITUTE(SUBSTITUTE(VLOOKUP($D45,_xlpm._platform_range,3,FALSE),"+"&amp;CHAR(34),"+"),CHAR(34),""),", "),
_xlpm._exists, SUMPRODUCT(--ISNUMBER(MATCH(_xlpm._platform_keywords,_xlpm._original_keywords,0)))&gt;0,
_xlfn.IFS(AND(_xlpm._exists,LEFT($E45,1)="+"),"+",_xlpm._exists,"*",NOT(_xlpm._exists),"")
)</f>
        <v/>
      </c>
      <c r="L45" s="33" t="str" cm="1">
        <f t="array" aca="1" ref="L4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($E45=CLASSIFICATION[[Keyword Aggr]:[Keyword Aggr]])*($D45=CLASSIFICATION[[Functional Scope Aggr]:[Functional Scope Aggr]])),
_xlpm._platform_keywords, _xlfn.TEXTSPLIT(SUBSTITUTE(SUBSTITUTE(VLOOKUP($D45,_xlpm._platform_range,3,FALSE),"+"&amp;CHAR(34),"+"),CHAR(34),""),", "),
_xlpm._exists, SUMPRODUCT(--ISNUMBER(MATCH(_xlpm._platform_keywords,_xlpm._original_keywords,0)))&gt;0,
_xlfn.IFS(AND(_xlpm._exists,LEFT($E45,1)="+"),"+",_xlpm._exists,"*",NOT(_xlpm._exists),"")
)</f>
        <v/>
      </c>
      <c r="M45" s="33" t="str" cm="1">
        <f t="array" aca="1" ref="M4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($E45=CLASSIFICATION[[Keyword Aggr]:[Keyword Aggr]])*($D45=CLASSIFICATION[[Functional Scope Aggr]:[Functional Scope Aggr]])),
_xlpm._platform_keywords, _xlfn.TEXTSPLIT(SUBSTITUTE(SUBSTITUTE(VLOOKUP($D45,_xlpm._platform_range,3,FALSE),"+"&amp;CHAR(34),"+"),CHAR(34),""),", "),
_xlpm._exists, SUMPRODUCT(--ISNUMBER(MATCH(_xlpm._platform_keywords,_xlpm._original_keywords,0)))&gt;0,
_xlfn.IFS(AND(_xlpm._exists,LEFT($E45,1)="+"),"+",_xlpm._exists,"*",NOT(_xlpm._exists),"")
)</f>
        <v/>
      </c>
      <c r="N45" s="33" t="str" cm="1">
        <f t="array" aca="1" ref="N4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($E45=CLASSIFICATION[[Keyword Aggr]:[Keyword Aggr]])*($D45=CLASSIFICATION[[Functional Scope Aggr]:[Functional Scope Aggr]])),
_xlpm._platform_keywords, _xlfn.TEXTSPLIT(SUBSTITUTE(SUBSTITUTE(VLOOKUP($D45,_xlpm._platform_range,3,FALSE),"+"&amp;CHAR(34),"+"),CHAR(34),""),", "),
_xlpm._exists, SUMPRODUCT(--ISNUMBER(MATCH(_xlpm._platform_keywords,_xlpm._original_keywords,0)))&gt;0,
_xlfn.IFS(AND(_xlpm._exists,LEFT($E45,1)="+"),"+",_xlpm._exists,"*",NOT(_xlpm._exists),"")
)</f>
        <v/>
      </c>
      <c r="O45" s="33" t="str" cm="1">
        <f t="array" aca="1" ref="O4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($E45=CLASSIFICATION[[Keyword Aggr]:[Keyword Aggr]])*($D45=CLASSIFICATION[[Functional Scope Aggr]:[Functional Scope Aggr]])),
_xlpm._platform_keywords, _xlfn.TEXTSPLIT(SUBSTITUTE(SUBSTITUTE(VLOOKUP($D45,_xlpm._platform_range,3,FALSE),"+"&amp;CHAR(34),"+"),CHAR(34),""),", "),
_xlpm._exists, SUMPRODUCT(--ISNUMBER(MATCH(_xlpm._platform_keywords,_xlpm._original_keywords,0)))&gt;0,
_xlfn.IFS(AND(_xlpm._exists,LEFT($E45,1)="+"),"+",_xlpm._exists,"*",NOT(_xlpm._exists),"")
)</f>
        <v/>
      </c>
      <c r="Q45" s="33" cm="1">
        <f t="array" aca="1" ref="Q4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($E45=CLASSIFICATION[[Keyword Aggr]:[Keyword Aggr]])*($D45=CLASSIFICATION[[Functional Scope Aggr]:[Functional Scope Aggr]])),
_xlpm._platform_keywords, _xlfn.TEXTSPLIT(SUBSTITUTE(SUBSTITUTE(VLOOKUP($D45,_xlpm._platform_range,3,FALSE),"+"&amp;CHAR(34),"+"),CHAR(34),""),", "),
_xlpm._exists, SUMPRODUCT(--ISNUMBER(MATCH(_xlpm._platform_keywords,_xlpm._original_keywords,0)))&gt;0,
_xlfn.IFS(_xlpm._exists,1,NOT(_xlpm._exists),"")
)</f>
        <v>1</v>
      </c>
      <c r="R45" s="33" t="str" cm="1">
        <f t="array" aca="1" ref="R4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($E45=CLASSIFICATION[[Keyword Aggr]:[Keyword Aggr]])*($D45=CLASSIFICATION[[Functional Scope Aggr]:[Functional Scope Aggr]])),
_xlpm._platform_keywords, _xlfn.TEXTSPLIT(SUBSTITUTE(SUBSTITUTE(VLOOKUP($D45,_xlpm._platform_range,3,FALSE),"+"&amp;CHAR(34),"+"),CHAR(34),""),", "),
_xlpm._exists, SUMPRODUCT(--ISNUMBER(MATCH(_xlpm._platform_keywords,_xlpm._original_keywords,0)))&gt;0,
_xlfn.IFS(_xlpm._exists,1,NOT(_xlpm._exists),"")
)</f>
        <v/>
      </c>
      <c r="S45" s="33" t="str" cm="1">
        <f t="array" aca="1" ref="S4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($E45=CLASSIFICATION[[Keyword Aggr]:[Keyword Aggr]])*($D45=CLASSIFICATION[[Functional Scope Aggr]:[Functional Scope Aggr]])),
_xlpm._platform_keywords, _xlfn.TEXTSPLIT(SUBSTITUTE(SUBSTITUTE(VLOOKUP($D45,_xlpm._platform_range,3,FALSE),"+"&amp;CHAR(34),"+"),CHAR(34),""),", "),
_xlpm._exists, SUMPRODUCT(--ISNUMBER(MATCH(_xlpm._platform_keywords,_xlpm._original_keywords,0)))&gt;0,
_xlfn.IFS(_xlpm._exists,1,NOT(_xlpm._exists),"")
)</f>
        <v/>
      </c>
      <c r="T45" s="33" t="str" cm="1">
        <f t="array" aca="1" ref="T4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($E45=CLASSIFICATION[[Keyword Aggr]:[Keyword Aggr]])*($D45=CLASSIFICATION[[Functional Scope Aggr]:[Functional Scope Aggr]])),
_xlpm._platform_keywords, _xlfn.TEXTSPLIT(SUBSTITUTE(SUBSTITUTE(VLOOKUP($D45,_xlpm._platform_range,3,FALSE),"+"&amp;CHAR(34),"+"),CHAR(34),""),", "),
_xlpm._exists, SUMPRODUCT(--ISNUMBER(MATCH(_xlpm._platform_keywords,_xlpm._original_keywords,0)))&gt;0,
_xlfn.IFS(_xlpm._exists,1,NOT(_xlpm._exists),"")
)</f>
        <v/>
      </c>
      <c r="U45" s="33" t="str" cm="1">
        <f t="array" aca="1" ref="U4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($E45=CLASSIFICATION[[Keyword Aggr]:[Keyword Aggr]])*($D45=CLASSIFICATION[[Functional Scope Aggr]:[Functional Scope Aggr]])),
_xlpm._platform_keywords, _xlfn.TEXTSPLIT(SUBSTITUTE(SUBSTITUTE(VLOOKUP($D45,_xlpm._platform_range,3,FALSE),"+"&amp;CHAR(34),"+"),CHAR(34),""),", "),
_xlpm._exists, SUMPRODUCT(--ISNUMBER(MATCH(_xlpm._platform_keywords,_xlpm._original_keywords,0)))&gt;0,
_xlfn.IFS(_xlpm._exists,1,NOT(_xlpm._exists),"")
)</f>
        <v/>
      </c>
      <c r="V45" s="33" t="str" cm="1">
        <f t="array" aca="1" ref="V4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($E45=CLASSIFICATION[[Keyword Aggr]:[Keyword Aggr]])*($D45=CLASSIFICATION[[Functional Scope Aggr]:[Functional Scope Aggr]])),
_xlpm._platform_keywords, _xlfn.TEXTSPLIT(SUBSTITUTE(SUBSTITUTE(VLOOKUP($D45,_xlpm._platform_range,3,FALSE),"+"&amp;CHAR(34),"+"),CHAR(34),""),", "),
_xlpm._exists, SUMPRODUCT(--ISNUMBER(MATCH(_xlpm._platform_keywords,_xlpm._original_keywords,0)))&gt;0,
_xlfn.IFS(_xlpm._exists,1,NOT(_xlpm._exists),"")
)</f>
        <v/>
      </c>
      <c r="X45" s="33" t="str">
        <f t="shared" si="4"/>
        <v/>
      </c>
      <c r="Y45" s="33" t="str">
        <f t="shared" si="5"/>
        <v/>
      </c>
      <c r="Z45" s="33" t="str">
        <f t="shared" si="6"/>
        <v/>
      </c>
      <c r="AA45" s="33" t="str">
        <f t="shared" si="7"/>
        <v/>
      </c>
      <c r="AB45" s="33" t="str">
        <f t="shared" si="8"/>
        <v/>
      </c>
      <c r="AC45" s="33" t="str">
        <f t="shared" si="9"/>
        <v/>
      </c>
    </row>
    <row r="46" spans="1:29" x14ac:dyDescent="0.25">
      <c r="A46" s="19" t="str">
        <v>Design,Application logic,Expressions</v>
      </c>
      <c r="B46" t="s">
        <v>377</v>
      </c>
      <c r="C46" s="19" t="str" cm="1">
        <f t="array" ref="C46:E46">_xlfn.TEXTSPLIT(A46,",")</f>
        <v>Design</v>
      </c>
      <c r="D46" s="19" t="str">
        <v>Application logic</v>
      </c>
      <c r="E46" s="19" t="str">
        <v>Expressions</v>
      </c>
      <c r="F46" s="36" t="str" cm="1">
        <f t="array" ref="F46">_xlfn.TEXTJOIN(",",TRUE,_xlfn._xlws.FILTER(CLASSIFICATION[Keyword], ($E46=CLASSIFICATION[Keyword Aggr])*($D46=CLASSIFICATION[Functional Scope Aggr])))</f>
        <v>Boolean Expressions,Conditional Expressions,Expressions,Regular Expressions</v>
      </c>
      <c r="G46" s="32" t="str">
        <f t="shared" si="2"/>
        <v/>
      </c>
      <c r="H46" s="32" t="str">
        <f t="shared" si="3"/>
        <v/>
      </c>
      <c r="I46" s="32" t="str">
        <f t="shared" si="10"/>
        <v>Expressions</v>
      </c>
      <c r="J46" s="33" t="str" cm="1">
        <f t="array" aca="1" ref="J4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($E46=CLASSIFICATION[[Keyword Aggr]:[Keyword Aggr]])*($D46=CLASSIFICATION[[Functional Scope Aggr]:[Functional Scope Aggr]])),
_xlpm._platform_keywords, _xlfn.TEXTSPLIT(SUBSTITUTE(SUBSTITUTE(VLOOKUP($D46,_xlpm._platform_range,3,FALSE),"+"&amp;CHAR(34),"+"),CHAR(34),""),", "),
_xlpm._exists, SUMPRODUCT(--ISNUMBER(MATCH(_xlpm._platform_keywords,_xlpm._original_keywords,0)))&gt;0,
_xlfn.IFS(AND(_xlpm._exists,LEFT($E46,1)="+"),"+",_xlpm._exists,"*",NOT(_xlpm._exists),"")
)</f>
        <v>*</v>
      </c>
      <c r="K46" s="33" t="str" cm="1">
        <f t="array" aca="1" ref="K4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($E46=CLASSIFICATION[[Keyword Aggr]:[Keyword Aggr]])*($D46=CLASSIFICATION[[Functional Scope Aggr]:[Functional Scope Aggr]])),
_xlpm._platform_keywords, _xlfn.TEXTSPLIT(SUBSTITUTE(SUBSTITUTE(VLOOKUP($D46,_xlpm._platform_range,3,FALSE),"+"&amp;CHAR(34),"+"),CHAR(34),""),", "),
_xlpm._exists, SUMPRODUCT(--ISNUMBER(MATCH(_xlpm._platform_keywords,_xlpm._original_keywords,0)))&gt;0,
_xlfn.IFS(AND(_xlpm._exists,LEFT($E46,1)="+"),"+",_xlpm._exists,"*",NOT(_xlpm._exists),"")
)</f>
        <v/>
      </c>
      <c r="L46" s="33" t="str" cm="1">
        <f t="array" aca="1" ref="L4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($E46=CLASSIFICATION[[Keyword Aggr]:[Keyword Aggr]])*($D46=CLASSIFICATION[[Functional Scope Aggr]:[Functional Scope Aggr]])),
_xlpm._platform_keywords, _xlfn.TEXTSPLIT(SUBSTITUTE(SUBSTITUTE(VLOOKUP($D46,_xlpm._platform_range,3,FALSE),"+"&amp;CHAR(34),"+"),CHAR(34),""),", "),
_xlpm._exists, SUMPRODUCT(--ISNUMBER(MATCH(_xlpm._platform_keywords,_xlpm._original_keywords,0)))&gt;0,
_xlfn.IFS(AND(_xlpm._exists,LEFT($E46,1)="+"),"+",_xlpm._exists,"*",NOT(_xlpm._exists),"")
)</f>
        <v/>
      </c>
      <c r="M46" s="33" t="str" cm="1">
        <f t="array" aca="1" ref="M4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($E46=CLASSIFICATION[[Keyword Aggr]:[Keyword Aggr]])*($D46=CLASSIFICATION[[Functional Scope Aggr]:[Functional Scope Aggr]])),
_xlpm._platform_keywords, _xlfn.TEXTSPLIT(SUBSTITUTE(SUBSTITUTE(VLOOKUP($D46,_xlpm._platform_range,3,FALSE),"+"&amp;CHAR(34),"+"),CHAR(34),""),", "),
_xlpm._exists, SUMPRODUCT(--ISNUMBER(MATCH(_xlpm._platform_keywords,_xlpm._original_keywords,0)))&gt;0,
_xlfn.IFS(AND(_xlpm._exists,LEFT($E46,1)="+"),"+",_xlpm._exists,"*",NOT(_xlpm._exists),"")
)</f>
        <v>*</v>
      </c>
      <c r="N46" s="33" t="str" cm="1">
        <f t="array" aca="1" ref="N4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($E46=CLASSIFICATION[[Keyword Aggr]:[Keyword Aggr]])*($D46=CLASSIFICATION[[Functional Scope Aggr]:[Functional Scope Aggr]])),
_xlpm._platform_keywords, _xlfn.TEXTSPLIT(SUBSTITUTE(SUBSTITUTE(VLOOKUP($D46,_xlpm._platform_range,3,FALSE),"+"&amp;CHAR(34),"+"),CHAR(34),""),", "),
_xlpm._exists, SUMPRODUCT(--ISNUMBER(MATCH(_xlpm._platform_keywords,_xlpm._original_keywords,0)))&gt;0,
_xlfn.IFS(AND(_xlpm._exists,LEFT($E46,1)="+"),"+",_xlpm._exists,"*",NOT(_xlpm._exists),"")
)</f>
        <v>*</v>
      </c>
      <c r="O46" s="33" t="str" cm="1">
        <f t="array" aca="1" ref="O4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($E46=CLASSIFICATION[[Keyword Aggr]:[Keyword Aggr]])*($D46=CLASSIFICATION[[Functional Scope Aggr]:[Functional Scope Aggr]])),
_xlpm._platform_keywords, _xlfn.TEXTSPLIT(SUBSTITUTE(SUBSTITUTE(VLOOKUP($D46,_xlpm._platform_range,3,FALSE),"+"&amp;CHAR(34),"+"),CHAR(34),""),", "),
_xlpm._exists, SUMPRODUCT(--ISNUMBER(MATCH(_xlpm._platform_keywords,_xlpm._original_keywords,0)))&gt;0,
_xlfn.IFS(AND(_xlpm._exists,LEFT($E46,1)="+"),"+",_xlpm._exists,"*",NOT(_xlpm._exists),"")
)</f>
        <v>*</v>
      </c>
      <c r="Q46" s="33" cm="1">
        <f t="array" aca="1" ref="Q4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($E46=CLASSIFICATION[[Keyword Aggr]:[Keyword Aggr]])*($D46=CLASSIFICATION[[Functional Scope Aggr]:[Functional Scope Aggr]])),
_xlpm._platform_keywords, _xlfn.TEXTSPLIT(SUBSTITUTE(SUBSTITUTE(VLOOKUP($D46,_xlpm._platform_range,3,FALSE),"+"&amp;CHAR(34),"+"),CHAR(34),""),", "),
_xlpm._exists, SUMPRODUCT(--ISNUMBER(MATCH(_xlpm._platform_keywords,_xlpm._original_keywords,0)))&gt;0,
_xlfn.IFS(_xlpm._exists,1,NOT(_xlpm._exists),"")
)</f>
        <v>1</v>
      </c>
      <c r="R46" s="33" t="str" cm="1">
        <f t="array" aca="1" ref="R4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($E46=CLASSIFICATION[[Keyword Aggr]:[Keyword Aggr]])*($D46=CLASSIFICATION[[Functional Scope Aggr]:[Functional Scope Aggr]])),
_xlpm._platform_keywords, _xlfn.TEXTSPLIT(SUBSTITUTE(SUBSTITUTE(VLOOKUP($D46,_xlpm._platform_range,3,FALSE),"+"&amp;CHAR(34),"+"),CHAR(34),""),", "),
_xlpm._exists, SUMPRODUCT(--ISNUMBER(MATCH(_xlpm._platform_keywords,_xlpm._original_keywords,0)))&gt;0,
_xlfn.IFS(_xlpm._exists,1,NOT(_xlpm._exists),"")
)</f>
        <v/>
      </c>
      <c r="S46" s="33" t="str" cm="1">
        <f t="array" aca="1" ref="S4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($E46=CLASSIFICATION[[Keyword Aggr]:[Keyword Aggr]])*($D46=CLASSIFICATION[[Functional Scope Aggr]:[Functional Scope Aggr]])),
_xlpm._platform_keywords, _xlfn.TEXTSPLIT(SUBSTITUTE(SUBSTITUTE(VLOOKUP($D46,_xlpm._platform_range,3,FALSE),"+"&amp;CHAR(34),"+"),CHAR(34),""),", "),
_xlpm._exists, SUMPRODUCT(--ISNUMBER(MATCH(_xlpm._platform_keywords,_xlpm._original_keywords,0)))&gt;0,
_xlfn.IFS(_xlpm._exists,1,NOT(_xlpm._exists),"")
)</f>
        <v/>
      </c>
      <c r="T46" s="33" cm="1">
        <f t="array" aca="1" ref="T4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($E46=CLASSIFICATION[[Keyword Aggr]:[Keyword Aggr]])*($D46=CLASSIFICATION[[Functional Scope Aggr]:[Functional Scope Aggr]])),
_xlpm._platform_keywords, _xlfn.TEXTSPLIT(SUBSTITUTE(SUBSTITUTE(VLOOKUP($D46,_xlpm._platform_range,3,FALSE),"+"&amp;CHAR(34),"+"),CHAR(34),""),", "),
_xlpm._exists, SUMPRODUCT(--ISNUMBER(MATCH(_xlpm._platform_keywords,_xlpm._original_keywords,0)))&gt;0,
_xlfn.IFS(_xlpm._exists,1,NOT(_xlpm._exists),"")
)</f>
        <v>1</v>
      </c>
      <c r="U46" s="33" cm="1">
        <f t="array" aca="1" ref="U4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($E46=CLASSIFICATION[[Keyword Aggr]:[Keyword Aggr]])*($D46=CLASSIFICATION[[Functional Scope Aggr]:[Functional Scope Aggr]])),
_xlpm._platform_keywords, _xlfn.TEXTSPLIT(SUBSTITUTE(SUBSTITUTE(VLOOKUP($D46,_xlpm._platform_range,3,FALSE),"+"&amp;CHAR(34),"+"),CHAR(34),""),", "),
_xlpm._exists, SUMPRODUCT(--ISNUMBER(MATCH(_xlpm._platform_keywords,_xlpm._original_keywords,0)))&gt;0,
_xlfn.IFS(_xlpm._exists,1,NOT(_xlpm._exists),"")
)</f>
        <v>1</v>
      </c>
      <c r="V46" s="33" cm="1">
        <f t="array" aca="1" ref="V4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($E46=CLASSIFICATION[[Keyword Aggr]:[Keyword Aggr]])*($D46=CLASSIFICATION[[Functional Scope Aggr]:[Functional Scope Aggr]])),
_xlpm._platform_keywords, _xlfn.TEXTSPLIT(SUBSTITUTE(SUBSTITUTE(VLOOKUP($D46,_xlpm._platform_range,3,FALSE),"+"&amp;CHAR(34),"+"),CHAR(34),""),", "),
_xlpm._exists, SUMPRODUCT(--ISNUMBER(MATCH(_xlpm._platform_keywords,_xlpm._original_keywords,0)))&gt;0,
_xlfn.IFS(_xlpm._exists,1,NOT(_xlpm._exists),"")
)</f>
        <v>1</v>
      </c>
      <c r="X46" s="33" t="str">
        <f t="shared" si="4"/>
        <v/>
      </c>
      <c r="Y46" s="33" t="str">
        <f t="shared" si="5"/>
        <v/>
      </c>
      <c r="Z46" s="33" t="str">
        <f t="shared" si="6"/>
        <v/>
      </c>
      <c r="AA46" s="33" t="str">
        <f t="shared" si="7"/>
        <v/>
      </c>
      <c r="AB46" s="33" t="str">
        <f t="shared" si="8"/>
        <v/>
      </c>
      <c r="AC46" s="33" t="str">
        <f t="shared" si="9"/>
        <v/>
      </c>
    </row>
    <row r="47" spans="1:29" x14ac:dyDescent="0.25">
      <c r="A47" s="19" t="str">
        <v>Design,Application logic,Control Structures</v>
      </c>
      <c r="B47" t="s">
        <v>377</v>
      </c>
      <c r="C47" s="19" t="str" cm="1">
        <f t="array" ref="C47:E47">_xlfn.TEXTSPLIT(A47,",")</f>
        <v>Design</v>
      </c>
      <c r="D47" s="19" t="str">
        <v>Application logic</v>
      </c>
      <c r="E47" s="19" t="str">
        <v>Control Structures</v>
      </c>
      <c r="F47" s="36" t="str" cm="1">
        <f t="array" ref="F47">_xlfn.TEXTJOIN(",",TRUE,_xlfn._xlws.FILTER(CLASSIFICATION[Keyword], ($E47=CLASSIFICATION[Keyword Aggr])*($D47=CLASSIFICATION[Functional Scope Aggr])))</f>
        <v>Control Structures</v>
      </c>
      <c r="G47" s="32" t="str">
        <f t="shared" si="2"/>
        <v/>
      </c>
      <c r="H47" s="32" t="str">
        <f t="shared" si="3"/>
        <v/>
      </c>
      <c r="I47" s="32" t="str">
        <f t="shared" si="10"/>
        <v>Control Structures</v>
      </c>
      <c r="J47" s="33" t="str" cm="1">
        <f t="array" aca="1" ref="J4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($E47=CLASSIFICATION[[Keyword Aggr]:[Keyword Aggr]])*($D47=CLASSIFICATION[[Functional Scope Aggr]:[Functional Scope Aggr]])),
_xlpm._platform_keywords, _xlfn.TEXTSPLIT(SUBSTITUTE(SUBSTITUTE(VLOOKUP($D47,_xlpm._platform_range,3,FALSE),"+"&amp;CHAR(34),"+"),CHAR(34),""),", "),
_xlpm._exists, SUMPRODUCT(--ISNUMBER(MATCH(_xlpm._platform_keywords,_xlpm._original_keywords,0)))&gt;0,
_xlfn.IFS(AND(_xlpm._exists,LEFT($E47,1)="+"),"+",_xlpm._exists,"*",NOT(_xlpm._exists),"")
)</f>
        <v>*</v>
      </c>
      <c r="K47" s="33" t="str" cm="1">
        <f t="array" aca="1" ref="K4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($E47=CLASSIFICATION[[Keyword Aggr]:[Keyword Aggr]])*($D47=CLASSIFICATION[[Functional Scope Aggr]:[Functional Scope Aggr]])),
_xlpm._platform_keywords, _xlfn.TEXTSPLIT(SUBSTITUTE(SUBSTITUTE(VLOOKUP($D47,_xlpm._platform_range,3,FALSE),"+"&amp;CHAR(34),"+"),CHAR(34),""),", "),
_xlpm._exists, SUMPRODUCT(--ISNUMBER(MATCH(_xlpm._platform_keywords,_xlpm._original_keywords,0)))&gt;0,
_xlfn.IFS(AND(_xlpm._exists,LEFT($E47,1)="+"),"+",_xlpm._exists,"*",NOT(_xlpm._exists),"")
)</f>
        <v/>
      </c>
      <c r="L47" s="33" t="str" cm="1">
        <f t="array" aca="1" ref="L4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($E47=CLASSIFICATION[[Keyword Aggr]:[Keyword Aggr]])*($D47=CLASSIFICATION[[Functional Scope Aggr]:[Functional Scope Aggr]])),
_xlpm._platform_keywords, _xlfn.TEXTSPLIT(SUBSTITUTE(SUBSTITUTE(VLOOKUP($D47,_xlpm._platform_range,3,FALSE),"+"&amp;CHAR(34),"+"),CHAR(34),""),", "),
_xlpm._exists, SUMPRODUCT(--ISNUMBER(MATCH(_xlpm._platform_keywords,_xlpm._original_keywords,0)))&gt;0,
_xlfn.IFS(AND(_xlpm._exists,LEFT($E47,1)="+"),"+",_xlpm._exists,"*",NOT(_xlpm._exists),"")
)</f>
        <v/>
      </c>
      <c r="M47" s="33" t="str" cm="1">
        <f t="array" aca="1" ref="M4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($E47=CLASSIFICATION[[Keyword Aggr]:[Keyword Aggr]])*($D47=CLASSIFICATION[[Functional Scope Aggr]:[Functional Scope Aggr]])),
_xlpm._platform_keywords, _xlfn.TEXTSPLIT(SUBSTITUTE(SUBSTITUTE(VLOOKUP($D47,_xlpm._platform_range,3,FALSE),"+"&amp;CHAR(34),"+"),CHAR(34),""),", "),
_xlpm._exists, SUMPRODUCT(--ISNUMBER(MATCH(_xlpm._platform_keywords,_xlpm._original_keywords,0)))&gt;0,
_xlfn.IFS(AND(_xlpm._exists,LEFT($E47,1)="+"),"+",_xlpm._exists,"*",NOT(_xlpm._exists),"")
)</f>
        <v/>
      </c>
      <c r="N47" s="33" t="str" cm="1">
        <f t="array" aca="1" ref="N4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($E47=CLASSIFICATION[[Keyword Aggr]:[Keyword Aggr]])*($D47=CLASSIFICATION[[Functional Scope Aggr]:[Functional Scope Aggr]])),
_xlpm._platform_keywords, _xlfn.TEXTSPLIT(SUBSTITUTE(SUBSTITUTE(VLOOKUP($D47,_xlpm._platform_range,3,FALSE),"+"&amp;CHAR(34),"+"),CHAR(34),""),", "),
_xlpm._exists, SUMPRODUCT(--ISNUMBER(MATCH(_xlpm._platform_keywords,_xlpm._original_keywords,0)))&gt;0,
_xlfn.IFS(AND(_xlpm._exists,LEFT($E47,1)="+"),"+",_xlpm._exists,"*",NOT(_xlpm._exists),"")
)</f>
        <v/>
      </c>
      <c r="O47" s="33" t="str" cm="1">
        <f t="array" aca="1" ref="O4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($E47=CLASSIFICATION[[Keyword Aggr]:[Keyword Aggr]])*($D47=CLASSIFICATION[[Functional Scope Aggr]:[Functional Scope Aggr]])),
_xlpm._platform_keywords, _xlfn.TEXTSPLIT(SUBSTITUTE(SUBSTITUTE(VLOOKUP($D47,_xlpm._platform_range,3,FALSE),"+"&amp;CHAR(34),"+"),CHAR(34),""),", "),
_xlpm._exists, SUMPRODUCT(--ISNUMBER(MATCH(_xlpm._platform_keywords,_xlpm._original_keywords,0)))&gt;0,
_xlfn.IFS(AND(_xlpm._exists,LEFT($E47,1)="+"),"+",_xlpm._exists,"*",NOT(_xlpm._exists),"")
)</f>
        <v/>
      </c>
      <c r="Q47" s="33" cm="1">
        <f t="array" aca="1" ref="Q4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($E47=CLASSIFICATION[[Keyword Aggr]:[Keyword Aggr]])*($D47=CLASSIFICATION[[Functional Scope Aggr]:[Functional Scope Aggr]])),
_xlpm._platform_keywords, _xlfn.TEXTSPLIT(SUBSTITUTE(SUBSTITUTE(VLOOKUP($D47,_xlpm._platform_range,3,FALSE),"+"&amp;CHAR(34),"+"),CHAR(34),""),", "),
_xlpm._exists, SUMPRODUCT(--ISNUMBER(MATCH(_xlpm._platform_keywords,_xlpm._original_keywords,0)))&gt;0,
_xlfn.IFS(_xlpm._exists,1,NOT(_xlpm._exists),"")
)</f>
        <v>1</v>
      </c>
      <c r="R47" s="33" t="str" cm="1">
        <f t="array" aca="1" ref="R4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($E47=CLASSIFICATION[[Keyword Aggr]:[Keyword Aggr]])*($D47=CLASSIFICATION[[Functional Scope Aggr]:[Functional Scope Aggr]])),
_xlpm._platform_keywords, _xlfn.TEXTSPLIT(SUBSTITUTE(SUBSTITUTE(VLOOKUP($D47,_xlpm._platform_range,3,FALSE),"+"&amp;CHAR(34),"+"),CHAR(34),""),", "),
_xlpm._exists, SUMPRODUCT(--ISNUMBER(MATCH(_xlpm._platform_keywords,_xlpm._original_keywords,0)))&gt;0,
_xlfn.IFS(_xlpm._exists,1,NOT(_xlpm._exists),"")
)</f>
        <v/>
      </c>
      <c r="S47" s="33" t="str" cm="1">
        <f t="array" aca="1" ref="S4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($E47=CLASSIFICATION[[Keyword Aggr]:[Keyword Aggr]])*($D47=CLASSIFICATION[[Functional Scope Aggr]:[Functional Scope Aggr]])),
_xlpm._platform_keywords, _xlfn.TEXTSPLIT(SUBSTITUTE(SUBSTITUTE(VLOOKUP($D47,_xlpm._platform_range,3,FALSE),"+"&amp;CHAR(34),"+"),CHAR(34),""),", "),
_xlpm._exists, SUMPRODUCT(--ISNUMBER(MATCH(_xlpm._platform_keywords,_xlpm._original_keywords,0)))&gt;0,
_xlfn.IFS(_xlpm._exists,1,NOT(_xlpm._exists),"")
)</f>
        <v/>
      </c>
      <c r="T47" s="33" t="str" cm="1">
        <f t="array" aca="1" ref="T4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($E47=CLASSIFICATION[[Keyword Aggr]:[Keyword Aggr]])*($D47=CLASSIFICATION[[Functional Scope Aggr]:[Functional Scope Aggr]])),
_xlpm._platform_keywords, _xlfn.TEXTSPLIT(SUBSTITUTE(SUBSTITUTE(VLOOKUP($D47,_xlpm._platform_range,3,FALSE),"+"&amp;CHAR(34),"+"),CHAR(34),""),", "),
_xlpm._exists, SUMPRODUCT(--ISNUMBER(MATCH(_xlpm._platform_keywords,_xlpm._original_keywords,0)))&gt;0,
_xlfn.IFS(_xlpm._exists,1,NOT(_xlpm._exists),"")
)</f>
        <v/>
      </c>
      <c r="U47" s="33" t="str" cm="1">
        <f t="array" aca="1" ref="U4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($E47=CLASSIFICATION[[Keyword Aggr]:[Keyword Aggr]])*($D47=CLASSIFICATION[[Functional Scope Aggr]:[Functional Scope Aggr]])),
_xlpm._platform_keywords, _xlfn.TEXTSPLIT(SUBSTITUTE(SUBSTITUTE(VLOOKUP($D47,_xlpm._platform_range,3,FALSE),"+"&amp;CHAR(34),"+"),CHAR(34),""),", "),
_xlpm._exists, SUMPRODUCT(--ISNUMBER(MATCH(_xlpm._platform_keywords,_xlpm._original_keywords,0)))&gt;0,
_xlfn.IFS(_xlpm._exists,1,NOT(_xlpm._exists),"")
)</f>
        <v/>
      </c>
      <c r="V47" s="33" t="str" cm="1">
        <f t="array" aca="1" ref="V4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($E47=CLASSIFICATION[[Keyword Aggr]:[Keyword Aggr]])*($D47=CLASSIFICATION[[Functional Scope Aggr]:[Functional Scope Aggr]])),
_xlpm._platform_keywords, _xlfn.TEXTSPLIT(SUBSTITUTE(SUBSTITUTE(VLOOKUP($D47,_xlpm._platform_range,3,FALSE),"+"&amp;CHAR(34),"+"),CHAR(34),""),", "),
_xlpm._exists, SUMPRODUCT(--ISNUMBER(MATCH(_xlpm._platform_keywords,_xlpm._original_keywords,0)))&gt;0,
_xlfn.IFS(_xlpm._exists,1,NOT(_xlpm._exists),"")
)</f>
        <v/>
      </c>
      <c r="X47" s="33" t="str">
        <f t="shared" si="4"/>
        <v/>
      </c>
      <c r="Y47" s="33" t="str">
        <f t="shared" si="5"/>
        <v/>
      </c>
      <c r="Z47" s="33" t="str">
        <f t="shared" si="6"/>
        <v/>
      </c>
      <c r="AA47" s="33" t="str">
        <f t="shared" si="7"/>
        <v/>
      </c>
      <c r="AB47" s="33" t="str">
        <f t="shared" si="8"/>
        <v/>
      </c>
      <c r="AC47" s="33" t="str">
        <f t="shared" si="9"/>
        <v/>
      </c>
    </row>
    <row r="48" spans="1:29" x14ac:dyDescent="0.25">
      <c r="A48" s="19" t="str">
        <v>Design,Application logic,IT Data Types</v>
      </c>
      <c r="B48" t="s">
        <v>377</v>
      </c>
      <c r="C48" s="19" t="str" cm="1">
        <f t="array" ref="C48:E48">_xlfn.TEXTSPLIT(A48,",")</f>
        <v>Design</v>
      </c>
      <c r="D48" s="19" t="str">
        <v>Application logic</v>
      </c>
      <c r="E48" s="19" t="str">
        <v>IT Data Types</v>
      </c>
      <c r="F48" s="36" t="str" cm="1">
        <f t="array" ref="F48">_xlfn.TEXTJOIN(",",TRUE,_xlfn._xlws.FILTER(CLASSIFICATION[Keyword], ($E48=CLASSIFICATION[Keyword Aggr])*($D48=CLASSIFICATION[Functional Scope Aggr])))</f>
        <v>Data Types</v>
      </c>
      <c r="G48" s="32" t="str">
        <f t="shared" si="2"/>
        <v/>
      </c>
      <c r="H48" s="32" t="str">
        <f t="shared" si="3"/>
        <v/>
      </c>
      <c r="I48" s="32" t="str">
        <f t="shared" si="10"/>
        <v>IT Data Types</v>
      </c>
      <c r="J48" s="33" t="str" cm="1">
        <f t="array" aca="1" ref="J4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($E48=CLASSIFICATION[[Keyword Aggr]:[Keyword Aggr]])*($D48=CLASSIFICATION[[Functional Scope Aggr]:[Functional Scope Aggr]])),
_xlpm._platform_keywords, _xlfn.TEXTSPLIT(SUBSTITUTE(SUBSTITUTE(VLOOKUP($D48,_xlpm._platform_range,3,FALSE),"+"&amp;CHAR(34),"+"),CHAR(34),""),", "),
_xlpm._exists, SUMPRODUCT(--ISNUMBER(MATCH(_xlpm._platform_keywords,_xlpm._original_keywords,0)))&gt;0,
_xlfn.IFS(AND(_xlpm._exists,LEFT($E48,1)="+"),"+",_xlpm._exists,"*",NOT(_xlpm._exists),"")
)</f>
        <v>*</v>
      </c>
      <c r="K48" s="33" t="str" cm="1">
        <f t="array" aca="1" ref="K4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($E48=CLASSIFICATION[[Keyword Aggr]:[Keyword Aggr]])*($D48=CLASSIFICATION[[Functional Scope Aggr]:[Functional Scope Aggr]])),
_xlpm._platform_keywords, _xlfn.TEXTSPLIT(SUBSTITUTE(SUBSTITUTE(VLOOKUP($D48,_xlpm._platform_range,3,FALSE),"+"&amp;CHAR(34),"+"),CHAR(34),""),", "),
_xlpm._exists, SUMPRODUCT(--ISNUMBER(MATCH(_xlpm._platform_keywords,_xlpm._original_keywords,0)))&gt;0,
_xlfn.IFS(AND(_xlpm._exists,LEFT($E48,1)="+"),"+",_xlpm._exists,"*",NOT(_xlpm._exists),"")
)</f>
        <v/>
      </c>
      <c r="L48" s="33" t="str" cm="1">
        <f t="array" aca="1" ref="L4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($E48=CLASSIFICATION[[Keyword Aggr]:[Keyword Aggr]])*($D48=CLASSIFICATION[[Functional Scope Aggr]:[Functional Scope Aggr]])),
_xlpm._platform_keywords, _xlfn.TEXTSPLIT(SUBSTITUTE(SUBSTITUTE(VLOOKUP($D48,_xlpm._platform_range,3,FALSE),"+"&amp;CHAR(34),"+"),CHAR(34),""),", "),
_xlpm._exists, SUMPRODUCT(--ISNUMBER(MATCH(_xlpm._platform_keywords,_xlpm._original_keywords,0)))&gt;0,
_xlfn.IFS(AND(_xlpm._exists,LEFT($E48,1)="+"),"+",_xlpm._exists,"*",NOT(_xlpm._exists),"")
)</f>
        <v/>
      </c>
      <c r="M48" s="33" t="str" cm="1">
        <f t="array" aca="1" ref="M4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($E48=CLASSIFICATION[[Keyword Aggr]:[Keyword Aggr]])*($D48=CLASSIFICATION[[Functional Scope Aggr]:[Functional Scope Aggr]])),
_xlpm._platform_keywords, _xlfn.TEXTSPLIT(SUBSTITUTE(SUBSTITUTE(VLOOKUP($D48,_xlpm._platform_range,3,FALSE),"+"&amp;CHAR(34),"+"),CHAR(34),""),", "),
_xlpm._exists, SUMPRODUCT(--ISNUMBER(MATCH(_xlpm._platform_keywords,_xlpm._original_keywords,0)))&gt;0,
_xlfn.IFS(AND(_xlpm._exists,LEFT($E48,1)="+"),"+",_xlpm._exists,"*",NOT(_xlpm._exists),"")
)</f>
        <v/>
      </c>
      <c r="N48" s="33" t="str" cm="1">
        <f t="array" aca="1" ref="N4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($E48=CLASSIFICATION[[Keyword Aggr]:[Keyword Aggr]])*($D48=CLASSIFICATION[[Functional Scope Aggr]:[Functional Scope Aggr]])),
_xlpm._platform_keywords, _xlfn.TEXTSPLIT(SUBSTITUTE(SUBSTITUTE(VLOOKUP($D48,_xlpm._platform_range,3,FALSE),"+"&amp;CHAR(34),"+"),CHAR(34),""),", "),
_xlpm._exists, SUMPRODUCT(--ISNUMBER(MATCH(_xlpm._platform_keywords,_xlpm._original_keywords,0)))&gt;0,
_xlfn.IFS(AND(_xlpm._exists,LEFT($E48,1)="+"),"+",_xlpm._exists,"*",NOT(_xlpm._exists),"")
)</f>
        <v/>
      </c>
      <c r="O48" s="33" t="str" cm="1">
        <f t="array" aca="1" ref="O4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($E48=CLASSIFICATION[[Keyword Aggr]:[Keyword Aggr]])*($D48=CLASSIFICATION[[Functional Scope Aggr]:[Functional Scope Aggr]])),
_xlpm._platform_keywords, _xlfn.TEXTSPLIT(SUBSTITUTE(SUBSTITUTE(VLOOKUP($D48,_xlpm._platform_range,3,FALSE),"+"&amp;CHAR(34),"+"),CHAR(34),""),", "),
_xlpm._exists, SUMPRODUCT(--ISNUMBER(MATCH(_xlpm._platform_keywords,_xlpm._original_keywords,0)))&gt;0,
_xlfn.IFS(AND(_xlpm._exists,LEFT($E48,1)="+"),"+",_xlpm._exists,"*",NOT(_xlpm._exists),"")
)</f>
        <v/>
      </c>
      <c r="Q48" s="33" cm="1">
        <f t="array" aca="1" ref="Q4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($E48=CLASSIFICATION[[Keyword Aggr]:[Keyword Aggr]])*($D48=CLASSIFICATION[[Functional Scope Aggr]:[Functional Scope Aggr]])),
_xlpm._platform_keywords, _xlfn.TEXTSPLIT(SUBSTITUTE(SUBSTITUTE(VLOOKUP($D48,_xlpm._platform_range,3,FALSE),"+"&amp;CHAR(34),"+"),CHAR(34),""),", "),
_xlpm._exists, SUMPRODUCT(--ISNUMBER(MATCH(_xlpm._platform_keywords,_xlpm._original_keywords,0)))&gt;0,
_xlfn.IFS(_xlpm._exists,1,NOT(_xlpm._exists),"")
)</f>
        <v>1</v>
      </c>
      <c r="R48" s="33" t="str" cm="1">
        <f t="array" aca="1" ref="R4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($E48=CLASSIFICATION[[Keyword Aggr]:[Keyword Aggr]])*($D48=CLASSIFICATION[[Functional Scope Aggr]:[Functional Scope Aggr]])),
_xlpm._platform_keywords, _xlfn.TEXTSPLIT(SUBSTITUTE(SUBSTITUTE(VLOOKUP($D48,_xlpm._platform_range,3,FALSE),"+"&amp;CHAR(34),"+"),CHAR(34),""),", "),
_xlpm._exists, SUMPRODUCT(--ISNUMBER(MATCH(_xlpm._platform_keywords,_xlpm._original_keywords,0)))&gt;0,
_xlfn.IFS(_xlpm._exists,1,NOT(_xlpm._exists),"")
)</f>
        <v/>
      </c>
      <c r="S48" s="33" t="str" cm="1">
        <f t="array" aca="1" ref="S4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($E48=CLASSIFICATION[[Keyword Aggr]:[Keyword Aggr]])*($D48=CLASSIFICATION[[Functional Scope Aggr]:[Functional Scope Aggr]])),
_xlpm._platform_keywords, _xlfn.TEXTSPLIT(SUBSTITUTE(SUBSTITUTE(VLOOKUP($D48,_xlpm._platform_range,3,FALSE),"+"&amp;CHAR(34),"+"),CHAR(34),""),", "),
_xlpm._exists, SUMPRODUCT(--ISNUMBER(MATCH(_xlpm._platform_keywords,_xlpm._original_keywords,0)))&gt;0,
_xlfn.IFS(_xlpm._exists,1,NOT(_xlpm._exists),"")
)</f>
        <v/>
      </c>
      <c r="T48" s="33" t="str" cm="1">
        <f t="array" aca="1" ref="T4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($E48=CLASSIFICATION[[Keyword Aggr]:[Keyword Aggr]])*($D48=CLASSIFICATION[[Functional Scope Aggr]:[Functional Scope Aggr]])),
_xlpm._platform_keywords, _xlfn.TEXTSPLIT(SUBSTITUTE(SUBSTITUTE(VLOOKUP($D48,_xlpm._platform_range,3,FALSE),"+"&amp;CHAR(34),"+"),CHAR(34),""),", "),
_xlpm._exists, SUMPRODUCT(--ISNUMBER(MATCH(_xlpm._platform_keywords,_xlpm._original_keywords,0)))&gt;0,
_xlfn.IFS(_xlpm._exists,1,NOT(_xlpm._exists),"")
)</f>
        <v/>
      </c>
      <c r="U48" s="33" t="str" cm="1">
        <f t="array" aca="1" ref="U4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($E48=CLASSIFICATION[[Keyword Aggr]:[Keyword Aggr]])*($D48=CLASSIFICATION[[Functional Scope Aggr]:[Functional Scope Aggr]])),
_xlpm._platform_keywords, _xlfn.TEXTSPLIT(SUBSTITUTE(SUBSTITUTE(VLOOKUP($D48,_xlpm._platform_range,3,FALSE),"+"&amp;CHAR(34),"+"),CHAR(34),""),", "),
_xlpm._exists, SUMPRODUCT(--ISNUMBER(MATCH(_xlpm._platform_keywords,_xlpm._original_keywords,0)))&gt;0,
_xlfn.IFS(_xlpm._exists,1,NOT(_xlpm._exists),"")
)</f>
        <v/>
      </c>
      <c r="V48" s="33" t="str" cm="1">
        <f t="array" aca="1" ref="V4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($E48=CLASSIFICATION[[Keyword Aggr]:[Keyword Aggr]])*($D48=CLASSIFICATION[[Functional Scope Aggr]:[Functional Scope Aggr]])),
_xlpm._platform_keywords, _xlfn.TEXTSPLIT(SUBSTITUTE(SUBSTITUTE(VLOOKUP($D48,_xlpm._platform_range,3,FALSE),"+"&amp;CHAR(34),"+"),CHAR(34),""),", "),
_xlpm._exists, SUMPRODUCT(--ISNUMBER(MATCH(_xlpm._platform_keywords,_xlpm._original_keywords,0)))&gt;0,
_xlfn.IFS(_xlpm._exists,1,NOT(_xlpm._exists),"")
)</f>
        <v/>
      </c>
      <c r="X48" s="33" t="str">
        <f t="shared" si="4"/>
        <v/>
      </c>
      <c r="Y48" s="33" t="str">
        <f t="shared" si="5"/>
        <v/>
      </c>
      <c r="Z48" s="33" t="str">
        <f t="shared" si="6"/>
        <v/>
      </c>
      <c r="AA48" s="33" t="str">
        <f t="shared" si="7"/>
        <v/>
      </c>
      <c r="AB48" s="33" t="str">
        <f t="shared" si="8"/>
        <v/>
      </c>
      <c r="AC48" s="33" t="str">
        <f t="shared" si="9"/>
        <v/>
      </c>
    </row>
    <row r="49" spans="1:29" x14ac:dyDescent="0.25">
      <c r="A49" s="19" t="str">
        <v>Design,Application logic,Events</v>
      </c>
      <c r="B49" t="s">
        <v>377</v>
      </c>
      <c r="C49" s="19" t="str" cm="1">
        <f t="array" ref="C49:E49">_xlfn.TEXTSPLIT(A49,",")</f>
        <v>Design</v>
      </c>
      <c r="D49" s="19" t="str">
        <v>Application logic</v>
      </c>
      <c r="E49" s="19" t="str">
        <v>Events</v>
      </c>
      <c r="F49" s="36" t="str" cm="1">
        <f t="array" ref="F49">_xlfn.TEXTJOIN(",",TRUE,_xlfn._xlws.FILTER(CLASSIFICATION[Keyword], ($E49=CLASSIFICATION[Keyword Aggr])*($D49=CLASSIFICATION[Functional Scope Aggr])))</f>
        <v>Events</v>
      </c>
      <c r="G49" s="32" t="str">
        <f t="shared" si="2"/>
        <v/>
      </c>
      <c r="H49" s="32" t="str">
        <f t="shared" si="3"/>
        <v/>
      </c>
      <c r="I49" s="32" t="str">
        <f t="shared" si="10"/>
        <v>Events</v>
      </c>
      <c r="J49" s="33" t="str" cm="1">
        <f t="array" aca="1" ref="J4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($E49=CLASSIFICATION[[Keyword Aggr]:[Keyword Aggr]])*($D49=CLASSIFICATION[[Functional Scope Aggr]:[Functional Scope Aggr]])),
_xlpm._platform_keywords, _xlfn.TEXTSPLIT(SUBSTITUTE(SUBSTITUTE(VLOOKUP($D49,_xlpm._platform_range,3,FALSE),"+"&amp;CHAR(34),"+"),CHAR(34),""),", "),
_xlpm._exists, SUMPRODUCT(--ISNUMBER(MATCH(_xlpm._platform_keywords,_xlpm._original_keywords,0)))&gt;0,
_xlfn.IFS(AND(_xlpm._exists,LEFT($E49,1)="+"),"+",_xlpm._exists,"*",NOT(_xlpm._exists),"")
)</f>
        <v/>
      </c>
      <c r="K49" s="33" t="str" cm="1">
        <f t="array" aca="1" ref="K4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($E49=CLASSIFICATION[[Keyword Aggr]:[Keyword Aggr]])*($D49=CLASSIFICATION[[Functional Scope Aggr]:[Functional Scope Aggr]])),
_xlpm._platform_keywords, _xlfn.TEXTSPLIT(SUBSTITUTE(SUBSTITUTE(VLOOKUP($D49,_xlpm._platform_range,3,FALSE),"+"&amp;CHAR(34),"+"),CHAR(34),""),", "),
_xlpm._exists, SUMPRODUCT(--ISNUMBER(MATCH(_xlpm._platform_keywords,_xlpm._original_keywords,0)))&gt;0,
_xlfn.IFS(AND(_xlpm._exists,LEFT($E49,1)="+"),"+",_xlpm._exists,"*",NOT(_xlpm._exists),"")
)</f>
        <v/>
      </c>
      <c r="L49" s="33" t="str" cm="1">
        <f t="array" aca="1" ref="L4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($E49=CLASSIFICATION[[Keyword Aggr]:[Keyword Aggr]])*($D49=CLASSIFICATION[[Functional Scope Aggr]:[Functional Scope Aggr]])),
_xlpm._platform_keywords, _xlfn.TEXTSPLIT(SUBSTITUTE(SUBSTITUTE(VLOOKUP($D49,_xlpm._platform_range,3,FALSE),"+"&amp;CHAR(34),"+"),CHAR(34),""),", "),
_xlpm._exists, SUMPRODUCT(--ISNUMBER(MATCH(_xlpm._platform_keywords,_xlpm._original_keywords,0)))&gt;0,
_xlfn.IFS(AND(_xlpm._exists,LEFT($E49,1)="+"),"+",_xlpm._exists,"*",NOT(_xlpm._exists),"")
)</f>
        <v/>
      </c>
      <c r="M49" s="33" t="str" cm="1">
        <f t="array" aca="1" ref="M4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($E49=CLASSIFICATION[[Keyword Aggr]:[Keyword Aggr]])*($D49=CLASSIFICATION[[Functional Scope Aggr]:[Functional Scope Aggr]])),
_xlpm._platform_keywords, _xlfn.TEXTSPLIT(SUBSTITUTE(SUBSTITUTE(VLOOKUP($D49,_xlpm._platform_range,3,FALSE),"+"&amp;CHAR(34),"+"),CHAR(34),""),", "),
_xlpm._exists, SUMPRODUCT(--ISNUMBER(MATCH(_xlpm._platform_keywords,_xlpm._original_keywords,0)))&gt;0,
_xlfn.IFS(AND(_xlpm._exists,LEFT($E49,1)="+"),"+",_xlpm._exists,"*",NOT(_xlpm._exists),"")
)</f>
        <v/>
      </c>
      <c r="N49" s="33" t="str" cm="1">
        <f t="array" aca="1" ref="N4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($E49=CLASSIFICATION[[Keyword Aggr]:[Keyword Aggr]])*($D49=CLASSIFICATION[[Functional Scope Aggr]:[Functional Scope Aggr]])),
_xlpm._platform_keywords, _xlfn.TEXTSPLIT(SUBSTITUTE(SUBSTITUTE(VLOOKUP($D49,_xlpm._platform_range,3,FALSE),"+"&amp;CHAR(34),"+"),CHAR(34),""),", "),
_xlpm._exists, SUMPRODUCT(--ISNUMBER(MATCH(_xlpm._platform_keywords,_xlpm._original_keywords,0)))&gt;0,
_xlfn.IFS(AND(_xlpm._exists,LEFT($E49,1)="+"),"+",_xlpm._exists,"*",NOT(_xlpm._exists),"")
)</f>
        <v>*</v>
      </c>
      <c r="O49" s="33" t="str" cm="1">
        <f t="array" aca="1" ref="O4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($E49=CLASSIFICATION[[Keyword Aggr]:[Keyword Aggr]])*($D49=CLASSIFICATION[[Functional Scope Aggr]:[Functional Scope Aggr]])),
_xlpm._platform_keywords, _xlfn.TEXTSPLIT(SUBSTITUTE(SUBSTITUTE(VLOOKUP($D49,_xlpm._platform_range,3,FALSE),"+"&amp;CHAR(34),"+"),CHAR(34),""),", "),
_xlpm._exists, SUMPRODUCT(--ISNUMBER(MATCH(_xlpm._platform_keywords,_xlpm._original_keywords,0)))&gt;0,
_xlfn.IFS(AND(_xlpm._exists,LEFT($E49,1)="+"),"+",_xlpm._exists,"*",NOT(_xlpm._exists),"")
)</f>
        <v>*</v>
      </c>
      <c r="Q49" s="33" t="str" cm="1">
        <f t="array" aca="1" ref="Q4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($E49=CLASSIFICATION[[Keyword Aggr]:[Keyword Aggr]])*($D49=CLASSIFICATION[[Functional Scope Aggr]:[Functional Scope Aggr]])),
_xlpm._platform_keywords, _xlfn.TEXTSPLIT(SUBSTITUTE(SUBSTITUTE(VLOOKUP($D49,_xlpm._platform_range,3,FALSE),"+"&amp;CHAR(34),"+"),CHAR(34),""),", "),
_xlpm._exists, SUMPRODUCT(--ISNUMBER(MATCH(_xlpm._platform_keywords,_xlpm._original_keywords,0)))&gt;0,
_xlfn.IFS(_xlpm._exists,1,NOT(_xlpm._exists),"")
)</f>
        <v/>
      </c>
      <c r="R49" s="33" t="str" cm="1">
        <f t="array" aca="1" ref="R4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($E49=CLASSIFICATION[[Keyword Aggr]:[Keyword Aggr]])*($D49=CLASSIFICATION[[Functional Scope Aggr]:[Functional Scope Aggr]])),
_xlpm._platform_keywords, _xlfn.TEXTSPLIT(SUBSTITUTE(SUBSTITUTE(VLOOKUP($D49,_xlpm._platform_range,3,FALSE),"+"&amp;CHAR(34),"+"),CHAR(34),""),", "),
_xlpm._exists, SUMPRODUCT(--ISNUMBER(MATCH(_xlpm._platform_keywords,_xlpm._original_keywords,0)))&gt;0,
_xlfn.IFS(_xlpm._exists,1,NOT(_xlpm._exists),"")
)</f>
        <v/>
      </c>
      <c r="S49" s="33" t="str" cm="1">
        <f t="array" aca="1" ref="S4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($E49=CLASSIFICATION[[Keyword Aggr]:[Keyword Aggr]])*($D49=CLASSIFICATION[[Functional Scope Aggr]:[Functional Scope Aggr]])),
_xlpm._platform_keywords, _xlfn.TEXTSPLIT(SUBSTITUTE(SUBSTITUTE(VLOOKUP($D49,_xlpm._platform_range,3,FALSE),"+"&amp;CHAR(34),"+"),CHAR(34),""),", "),
_xlpm._exists, SUMPRODUCT(--ISNUMBER(MATCH(_xlpm._platform_keywords,_xlpm._original_keywords,0)))&gt;0,
_xlfn.IFS(_xlpm._exists,1,NOT(_xlpm._exists),"")
)</f>
        <v/>
      </c>
      <c r="T49" s="33" t="str" cm="1">
        <f t="array" aca="1" ref="T4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($E49=CLASSIFICATION[[Keyword Aggr]:[Keyword Aggr]])*($D49=CLASSIFICATION[[Functional Scope Aggr]:[Functional Scope Aggr]])),
_xlpm._platform_keywords, _xlfn.TEXTSPLIT(SUBSTITUTE(SUBSTITUTE(VLOOKUP($D49,_xlpm._platform_range,3,FALSE),"+"&amp;CHAR(34),"+"),CHAR(34),""),", "),
_xlpm._exists, SUMPRODUCT(--ISNUMBER(MATCH(_xlpm._platform_keywords,_xlpm._original_keywords,0)))&gt;0,
_xlfn.IFS(_xlpm._exists,1,NOT(_xlpm._exists),"")
)</f>
        <v/>
      </c>
      <c r="U49" s="33" cm="1">
        <f t="array" aca="1" ref="U4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($E49=CLASSIFICATION[[Keyword Aggr]:[Keyword Aggr]])*($D49=CLASSIFICATION[[Functional Scope Aggr]:[Functional Scope Aggr]])),
_xlpm._platform_keywords, _xlfn.TEXTSPLIT(SUBSTITUTE(SUBSTITUTE(VLOOKUP($D49,_xlpm._platform_range,3,FALSE),"+"&amp;CHAR(34),"+"),CHAR(34),""),", "),
_xlpm._exists, SUMPRODUCT(--ISNUMBER(MATCH(_xlpm._platform_keywords,_xlpm._original_keywords,0)))&gt;0,
_xlfn.IFS(_xlpm._exists,1,NOT(_xlpm._exists),"")
)</f>
        <v>1</v>
      </c>
      <c r="V49" s="33" cm="1">
        <f t="array" aca="1" ref="V4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($E49=CLASSIFICATION[[Keyword Aggr]:[Keyword Aggr]])*($D49=CLASSIFICATION[[Functional Scope Aggr]:[Functional Scope Aggr]])),
_xlpm._platform_keywords, _xlfn.TEXTSPLIT(SUBSTITUTE(SUBSTITUTE(VLOOKUP($D49,_xlpm._platform_range,3,FALSE),"+"&amp;CHAR(34),"+"),CHAR(34),""),", "),
_xlpm._exists, SUMPRODUCT(--ISNUMBER(MATCH(_xlpm._platform_keywords,_xlpm._original_keywords,0)))&gt;0,
_xlfn.IFS(_xlpm._exists,1,NOT(_xlpm._exists),"")
)</f>
        <v>1</v>
      </c>
      <c r="X49" s="33" t="str">
        <f t="shared" si="4"/>
        <v/>
      </c>
      <c r="Y49" s="33" t="str">
        <f t="shared" si="5"/>
        <v/>
      </c>
      <c r="Z49" s="33" t="str">
        <f t="shared" si="6"/>
        <v/>
      </c>
      <c r="AA49" s="33" t="str">
        <f t="shared" si="7"/>
        <v/>
      </c>
      <c r="AB49" s="33" t="str">
        <f t="shared" si="8"/>
        <v/>
      </c>
      <c r="AC49" s="33" t="str">
        <f t="shared" si="9"/>
        <v/>
      </c>
    </row>
    <row r="50" spans="1:29" x14ac:dyDescent="0.25">
      <c r="A50" s="19" t="str">
        <v>Design,Application logic,Formulas</v>
      </c>
      <c r="B50" t="s">
        <v>377</v>
      </c>
      <c r="C50" s="19" t="str" cm="1">
        <f t="array" ref="C50:E50">_xlfn.TEXTSPLIT(A50,",")</f>
        <v>Design</v>
      </c>
      <c r="D50" s="19" t="str">
        <v>Application logic</v>
      </c>
      <c r="E50" s="19" t="str">
        <v>Formulas</v>
      </c>
      <c r="F50" s="36" t="str" cm="1">
        <f t="array" ref="F50">_xlfn.TEXTJOIN(",",TRUE,_xlfn._xlws.FILTER(CLASSIFICATION[Keyword], ($E50=CLASSIFICATION[Keyword Aggr])*($D50=CLASSIFICATION[Functional Scope Aggr])))</f>
        <v>Formulas</v>
      </c>
      <c r="G50" s="32" t="str">
        <f t="shared" si="2"/>
        <v/>
      </c>
      <c r="H50" s="32" t="str">
        <f t="shared" si="3"/>
        <v/>
      </c>
      <c r="I50" s="32" t="str">
        <f t="shared" si="10"/>
        <v>Formulas</v>
      </c>
      <c r="J50" s="33" t="str" cm="1">
        <f t="array" aca="1" ref="J5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($E50=CLASSIFICATION[[Keyword Aggr]:[Keyword Aggr]])*($D50=CLASSIFICATION[[Functional Scope Aggr]:[Functional Scope Aggr]])),
_xlpm._platform_keywords, _xlfn.TEXTSPLIT(SUBSTITUTE(SUBSTITUTE(VLOOKUP($D50,_xlpm._platform_range,3,FALSE),"+"&amp;CHAR(34),"+"),CHAR(34),""),", "),
_xlpm._exists, SUMPRODUCT(--ISNUMBER(MATCH(_xlpm._platform_keywords,_xlpm._original_keywords,0)))&gt;0,
_xlfn.IFS(AND(_xlpm._exists,LEFT($E50,1)="+"),"+",_xlpm._exists,"*",NOT(_xlpm._exists),"")
)</f>
        <v/>
      </c>
      <c r="K50" s="33" t="str" cm="1">
        <f t="array" aca="1" ref="K5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($E50=CLASSIFICATION[[Keyword Aggr]:[Keyword Aggr]])*($D50=CLASSIFICATION[[Functional Scope Aggr]:[Functional Scope Aggr]])),
_xlpm._platform_keywords, _xlfn.TEXTSPLIT(SUBSTITUTE(SUBSTITUTE(VLOOKUP($D50,_xlpm._platform_range,3,FALSE),"+"&amp;CHAR(34),"+"),CHAR(34),""),", "),
_xlpm._exists, SUMPRODUCT(--ISNUMBER(MATCH(_xlpm._platform_keywords,_xlpm._original_keywords,0)))&gt;0,
_xlfn.IFS(AND(_xlpm._exists,LEFT($E50,1)="+"),"+",_xlpm._exists,"*",NOT(_xlpm._exists),"")
)</f>
        <v/>
      </c>
      <c r="L50" s="33" t="str" cm="1">
        <f t="array" aca="1" ref="L5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($E50=CLASSIFICATION[[Keyword Aggr]:[Keyword Aggr]])*($D50=CLASSIFICATION[[Functional Scope Aggr]:[Functional Scope Aggr]])),
_xlpm._platform_keywords, _xlfn.TEXTSPLIT(SUBSTITUTE(SUBSTITUTE(VLOOKUP($D50,_xlpm._platform_range,3,FALSE),"+"&amp;CHAR(34),"+"),CHAR(34),""),", "),
_xlpm._exists, SUMPRODUCT(--ISNUMBER(MATCH(_xlpm._platform_keywords,_xlpm._original_keywords,0)))&gt;0,
_xlfn.IFS(AND(_xlpm._exists,LEFT($E50,1)="+"),"+",_xlpm._exists,"*",NOT(_xlpm._exists),"")
)</f>
        <v/>
      </c>
      <c r="M50" s="33" t="str" cm="1">
        <f t="array" aca="1" ref="M5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($E50=CLASSIFICATION[[Keyword Aggr]:[Keyword Aggr]])*($D50=CLASSIFICATION[[Functional Scope Aggr]:[Functional Scope Aggr]])),
_xlpm._platform_keywords, _xlfn.TEXTSPLIT(SUBSTITUTE(SUBSTITUTE(VLOOKUP($D50,_xlpm._platform_range,3,FALSE),"+"&amp;CHAR(34),"+"),CHAR(34),""),", "),
_xlpm._exists, SUMPRODUCT(--ISNUMBER(MATCH(_xlpm._platform_keywords,_xlpm._original_keywords,0)))&gt;0,
_xlfn.IFS(AND(_xlpm._exists,LEFT($E50,1)="+"),"+",_xlpm._exists,"*",NOT(_xlpm._exists),"")
)</f>
        <v>*</v>
      </c>
      <c r="N50" s="33" t="str" cm="1">
        <f t="array" aca="1" ref="N5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($E50=CLASSIFICATION[[Keyword Aggr]:[Keyword Aggr]])*($D50=CLASSIFICATION[[Functional Scope Aggr]:[Functional Scope Aggr]])),
_xlpm._platform_keywords, _xlfn.TEXTSPLIT(SUBSTITUTE(SUBSTITUTE(VLOOKUP($D50,_xlpm._platform_range,3,FALSE),"+"&amp;CHAR(34),"+"),CHAR(34),""),", "),
_xlpm._exists, SUMPRODUCT(--ISNUMBER(MATCH(_xlpm._platform_keywords,_xlpm._original_keywords,0)))&gt;0,
_xlfn.IFS(AND(_xlpm._exists,LEFT($E50,1)="+"),"+",_xlpm._exists,"*",NOT(_xlpm._exists),"")
)</f>
        <v>*</v>
      </c>
      <c r="O50" s="33" t="str" cm="1">
        <f t="array" aca="1" ref="O5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($E50=CLASSIFICATION[[Keyword Aggr]:[Keyword Aggr]])*($D50=CLASSIFICATION[[Functional Scope Aggr]:[Functional Scope Aggr]])),
_xlpm._platform_keywords, _xlfn.TEXTSPLIT(SUBSTITUTE(SUBSTITUTE(VLOOKUP($D50,_xlpm._platform_range,3,FALSE),"+"&amp;CHAR(34),"+"),CHAR(34),""),", "),
_xlpm._exists, SUMPRODUCT(--ISNUMBER(MATCH(_xlpm._platform_keywords,_xlpm._original_keywords,0)))&gt;0,
_xlfn.IFS(AND(_xlpm._exists,LEFT($E50,1)="+"),"+",_xlpm._exists,"*",NOT(_xlpm._exists),"")
)</f>
        <v/>
      </c>
      <c r="Q50" s="33" t="str" cm="1">
        <f t="array" aca="1" ref="Q5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($E50=CLASSIFICATION[[Keyword Aggr]:[Keyword Aggr]])*($D50=CLASSIFICATION[[Functional Scope Aggr]:[Functional Scope Aggr]])),
_xlpm._platform_keywords, _xlfn.TEXTSPLIT(SUBSTITUTE(SUBSTITUTE(VLOOKUP($D50,_xlpm._platform_range,3,FALSE),"+"&amp;CHAR(34),"+"),CHAR(34),""),", "),
_xlpm._exists, SUMPRODUCT(--ISNUMBER(MATCH(_xlpm._platform_keywords,_xlpm._original_keywords,0)))&gt;0,
_xlfn.IFS(_xlpm._exists,1,NOT(_xlpm._exists),"")
)</f>
        <v/>
      </c>
      <c r="R50" s="33" t="str" cm="1">
        <f t="array" aca="1" ref="R5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($E50=CLASSIFICATION[[Keyword Aggr]:[Keyword Aggr]])*($D50=CLASSIFICATION[[Functional Scope Aggr]:[Functional Scope Aggr]])),
_xlpm._platform_keywords, _xlfn.TEXTSPLIT(SUBSTITUTE(SUBSTITUTE(VLOOKUP($D50,_xlpm._platform_range,3,FALSE),"+"&amp;CHAR(34),"+"),CHAR(34),""),", "),
_xlpm._exists, SUMPRODUCT(--ISNUMBER(MATCH(_xlpm._platform_keywords,_xlpm._original_keywords,0)))&gt;0,
_xlfn.IFS(_xlpm._exists,1,NOT(_xlpm._exists),"")
)</f>
        <v/>
      </c>
      <c r="S50" s="33" t="str" cm="1">
        <f t="array" aca="1" ref="S5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($E50=CLASSIFICATION[[Keyword Aggr]:[Keyword Aggr]])*($D50=CLASSIFICATION[[Functional Scope Aggr]:[Functional Scope Aggr]])),
_xlpm._platform_keywords, _xlfn.TEXTSPLIT(SUBSTITUTE(SUBSTITUTE(VLOOKUP($D50,_xlpm._platform_range,3,FALSE),"+"&amp;CHAR(34),"+"),CHAR(34),""),", "),
_xlpm._exists, SUMPRODUCT(--ISNUMBER(MATCH(_xlpm._platform_keywords,_xlpm._original_keywords,0)))&gt;0,
_xlfn.IFS(_xlpm._exists,1,NOT(_xlpm._exists),"")
)</f>
        <v/>
      </c>
      <c r="T50" s="33" cm="1">
        <f t="array" aca="1" ref="T5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($E50=CLASSIFICATION[[Keyword Aggr]:[Keyword Aggr]])*($D50=CLASSIFICATION[[Functional Scope Aggr]:[Functional Scope Aggr]])),
_xlpm._platform_keywords, _xlfn.TEXTSPLIT(SUBSTITUTE(SUBSTITUTE(VLOOKUP($D50,_xlpm._platform_range,3,FALSE),"+"&amp;CHAR(34),"+"),CHAR(34),""),", "),
_xlpm._exists, SUMPRODUCT(--ISNUMBER(MATCH(_xlpm._platform_keywords,_xlpm._original_keywords,0)))&gt;0,
_xlfn.IFS(_xlpm._exists,1,NOT(_xlpm._exists),"")
)</f>
        <v>1</v>
      </c>
      <c r="U50" s="33" cm="1">
        <f t="array" aca="1" ref="U5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($E50=CLASSIFICATION[[Keyword Aggr]:[Keyword Aggr]])*($D50=CLASSIFICATION[[Functional Scope Aggr]:[Functional Scope Aggr]])),
_xlpm._platform_keywords, _xlfn.TEXTSPLIT(SUBSTITUTE(SUBSTITUTE(VLOOKUP($D50,_xlpm._platform_range,3,FALSE),"+"&amp;CHAR(34),"+"),CHAR(34),""),", "),
_xlpm._exists, SUMPRODUCT(--ISNUMBER(MATCH(_xlpm._platform_keywords,_xlpm._original_keywords,0)))&gt;0,
_xlfn.IFS(_xlpm._exists,1,NOT(_xlpm._exists),"")
)</f>
        <v>1</v>
      </c>
      <c r="V50" s="33" t="str" cm="1">
        <f t="array" aca="1" ref="V5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($E50=CLASSIFICATION[[Keyword Aggr]:[Keyword Aggr]])*($D50=CLASSIFICATION[[Functional Scope Aggr]:[Functional Scope Aggr]])),
_xlpm._platform_keywords, _xlfn.TEXTSPLIT(SUBSTITUTE(SUBSTITUTE(VLOOKUP($D50,_xlpm._platform_range,3,FALSE),"+"&amp;CHAR(34),"+"),CHAR(34),""),", "),
_xlpm._exists, SUMPRODUCT(--ISNUMBER(MATCH(_xlpm._platform_keywords,_xlpm._original_keywords,0)))&gt;0,
_xlfn.IFS(_xlpm._exists,1,NOT(_xlpm._exists),"")
)</f>
        <v/>
      </c>
      <c r="X50" s="33" t="str">
        <f t="shared" si="4"/>
        <v/>
      </c>
      <c r="Y50" s="33" t="str">
        <f t="shared" si="5"/>
        <v/>
      </c>
      <c r="Z50" s="33" t="str">
        <f t="shared" si="6"/>
        <v/>
      </c>
      <c r="AA50" s="33" t="str">
        <f t="shared" si="7"/>
        <v/>
      </c>
      <c r="AB50" s="33" t="str">
        <f t="shared" si="8"/>
        <v/>
      </c>
      <c r="AC50" s="33" t="str">
        <f t="shared" si="9"/>
        <v/>
      </c>
    </row>
    <row r="51" spans="1:29" x14ac:dyDescent="0.25">
      <c r="A51" s="19" t="str">
        <v>Design,Application logic,Functions</v>
      </c>
      <c r="B51" t="s">
        <v>377</v>
      </c>
      <c r="C51" s="19" t="str" cm="1">
        <f t="array" ref="C51:E51">_xlfn.TEXTSPLIT(A51,",")</f>
        <v>Design</v>
      </c>
      <c r="D51" s="19" t="str">
        <v>Application logic</v>
      </c>
      <c r="E51" s="19" t="str">
        <v>Functions</v>
      </c>
      <c r="F51" s="36" t="str" cm="1">
        <f t="array" ref="F51">_xlfn.TEXTJOIN(",",TRUE,_xlfn._xlws.FILTER(CLASSIFICATION[Keyword], ($E51=CLASSIFICATION[Keyword Aggr])*($D51=CLASSIFICATION[Functional Scope Aggr])))</f>
        <v>Functions</v>
      </c>
      <c r="G51" s="32" t="str">
        <f t="shared" si="2"/>
        <v/>
      </c>
      <c r="H51" s="32" t="str">
        <f t="shared" si="3"/>
        <v/>
      </c>
      <c r="I51" s="32" t="str">
        <f t="shared" si="10"/>
        <v>Functions</v>
      </c>
      <c r="J51" s="33" t="str" cm="1">
        <f t="array" aca="1" ref="J5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($E51=CLASSIFICATION[[Keyword Aggr]:[Keyword Aggr]])*($D51=CLASSIFICATION[[Functional Scope Aggr]:[Functional Scope Aggr]])),
_xlpm._platform_keywords, _xlfn.TEXTSPLIT(SUBSTITUTE(SUBSTITUTE(VLOOKUP($D51,_xlpm._platform_range,3,FALSE),"+"&amp;CHAR(34),"+"),CHAR(34),""),", "),
_xlpm._exists, SUMPRODUCT(--ISNUMBER(MATCH(_xlpm._platform_keywords,_xlpm._original_keywords,0)))&gt;0,
_xlfn.IFS(AND(_xlpm._exists,LEFT($E51,1)="+"),"+",_xlpm._exists,"*",NOT(_xlpm._exists),"")
)</f>
        <v/>
      </c>
      <c r="K51" s="33" t="str" cm="1">
        <f t="array" aca="1" ref="K5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($E51=CLASSIFICATION[[Keyword Aggr]:[Keyword Aggr]])*($D51=CLASSIFICATION[[Functional Scope Aggr]:[Functional Scope Aggr]])),
_xlpm._platform_keywords, _xlfn.TEXTSPLIT(SUBSTITUTE(SUBSTITUTE(VLOOKUP($D51,_xlpm._platform_range,3,FALSE),"+"&amp;CHAR(34),"+"),CHAR(34),""),", "),
_xlpm._exists, SUMPRODUCT(--ISNUMBER(MATCH(_xlpm._platform_keywords,_xlpm._original_keywords,0)))&gt;0,
_xlfn.IFS(AND(_xlpm._exists,LEFT($E51,1)="+"),"+",_xlpm._exists,"*",NOT(_xlpm._exists),"")
)</f>
        <v/>
      </c>
      <c r="L51" s="33" t="str" cm="1">
        <f t="array" aca="1" ref="L5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($E51=CLASSIFICATION[[Keyword Aggr]:[Keyword Aggr]])*($D51=CLASSIFICATION[[Functional Scope Aggr]:[Functional Scope Aggr]])),
_xlpm._platform_keywords, _xlfn.TEXTSPLIT(SUBSTITUTE(SUBSTITUTE(VLOOKUP($D51,_xlpm._platform_range,3,FALSE),"+"&amp;CHAR(34),"+"),CHAR(34),""),", "),
_xlpm._exists, SUMPRODUCT(--ISNUMBER(MATCH(_xlpm._platform_keywords,_xlpm._original_keywords,0)))&gt;0,
_xlfn.IFS(AND(_xlpm._exists,LEFT($E51,1)="+"),"+",_xlpm._exists,"*",NOT(_xlpm._exists),"")
)</f>
        <v/>
      </c>
      <c r="M51" s="33" t="str" cm="1">
        <f t="array" aca="1" ref="M5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($E51=CLASSIFICATION[[Keyword Aggr]:[Keyword Aggr]])*($D51=CLASSIFICATION[[Functional Scope Aggr]:[Functional Scope Aggr]])),
_xlpm._platform_keywords, _xlfn.TEXTSPLIT(SUBSTITUTE(SUBSTITUTE(VLOOKUP($D51,_xlpm._platform_range,3,FALSE),"+"&amp;CHAR(34),"+"),CHAR(34),""),", "),
_xlpm._exists, SUMPRODUCT(--ISNUMBER(MATCH(_xlpm._platform_keywords,_xlpm._original_keywords,0)))&gt;0,
_xlfn.IFS(AND(_xlpm._exists,LEFT($E51,1)="+"),"+",_xlpm._exists,"*",NOT(_xlpm._exists),"")
)</f>
        <v/>
      </c>
      <c r="N51" s="33" t="str" cm="1">
        <f t="array" aca="1" ref="N5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($E51=CLASSIFICATION[[Keyword Aggr]:[Keyword Aggr]])*($D51=CLASSIFICATION[[Functional Scope Aggr]:[Functional Scope Aggr]])),
_xlpm._platform_keywords, _xlfn.TEXTSPLIT(SUBSTITUTE(SUBSTITUTE(VLOOKUP($D51,_xlpm._platform_range,3,FALSE),"+"&amp;CHAR(34),"+"),CHAR(34),""),", "),
_xlpm._exists, SUMPRODUCT(--ISNUMBER(MATCH(_xlpm._platform_keywords,_xlpm._original_keywords,0)))&gt;0,
_xlfn.IFS(AND(_xlpm._exists,LEFT($E51,1)="+"),"+",_xlpm._exists,"*",NOT(_xlpm._exists),"")
)</f>
        <v>*</v>
      </c>
      <c r="O51" s="33" t="str" cm="1">
        <f t="array" aca="1" ref="O5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($E51=CLASSIFICATION[[Keyword Aggr]:[Keyword Aggr]])*($D51=CLASSIFICATION[[Functional Scope Aggr]:[Functional Scope Aggr]])),
_xlpm._platform_keywords, _xlfn.TEXTSPLIT(SUBSTITUTE(SUBSTITUTE(VLOOKUP($D51,_xlpm._platform_range,3,FALSE),"+"&amp;CHAR(34),"+"),CHAR(34),""),", "),
_xlpm._exists, SUMPRODUCT(--ISNUMBER(MATCH(_xlpm._platform_keywords,_xlpm._original_keywords,0)))&gt;0,
_xlfn.IFS(AND(_xlpm._exists,LEFT($E51,1)="+"),"+",_xlpm._exists,"*",NOT(_xlpm._exists),"")
)</f>
        <v/>
      </c>
      <c r="Q51" s="33" t="str" cm="1">
        <f t="array" aca="1" ref="Q5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($E51=CLASSIFICATION[[Keyword Aggr]:[Keyword Aggr]])*($D51=CLASSIFICATION[[Functional Scope Aggr]:[Functional Scope Aggr]])),
_xlpm._platform_keywords, _xlfn.TEXTSPLIT(SUBSTITUTE(SUBSTITUTE(VLOOKUP($D51,_xlpm._platform_range,3,FALSE),"+"&amp;CHAR(34),"+"),CHAR(34),""),", "),
_xlpm._exists, SUMPRODUCT(--ISNUMBER(MATCH(_xlpm._platform_keywords,_xlpm._original_keywords,0)))&gt;0,
_xlfn.IFS(_xlpm._exists,1,NOT(_xlpm._exists),"")
)</f>
        <v/>
      </c>
      <c r="R51" s="33" t="str" cm="1">
        <f t="array" aca="1" ref="R5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($E51=CLASSIFICATION[[Keyword Aggr]:[Keyword Aggr]])*($D51=CLASSIFICATION[[Functional Scope Aggr]:[Functional Scope Aggr]])),
_xlpm._platform_keywords, _xlfn.TEXTSPLIT(SUBSTITUTE(SUBSTITUTE(VLOOKUP($D51,_xlpm._platform_range,3,FALSE),"+"&amp;CHAR(34),"+"),CHAR(34),""),", "),
_xlpm._exists, SUMPRODUCT(--ISNUMBER(MATCH(_xlpm._platform_keywords,_xlpm._original_keywords,0)))&gt;0,
_xlfn.IFS(_xlpm._exists,1,NOT(_xlpm._exists),"")
)</f>
        <v/>
      </c>
      <c r="S51" s="33" t="str" cm="1">
        <f t="array" aca="1" ref="S5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($E51=CLASSIFICATION[[Keyword Aggr]:[Keyword Aggr]])*($D51=CLASSIFICATION[[Functional Scope Aggr]:[Functional Scope Aggr]])),
_xlpm._platform_keywords, _xlfn.TEXTSPLIT(SUBSTITUTE(SUBSTITUTE(VLOOKUP($D51,_xlpm._platform_range,3,FALSE),"+"&amp;CHAR(34),"+"),CHAR(34),""),", "),
_xlpm._exists, SUMPRODUCT(--ISNUMBER(MATCH(_xlpm._platform_keywords,_xlpm._original_keywords,0)))&gt;0,
_xlfn.IFS(_xlpm._exists,1,NOT(_xlpm._exists),"")
)</f>
        <v/>
      </c>
      <c r="T51" s="33" t="str" cm="1">
        <f t="array" aca="1" ref="T5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($E51=CLASSIFICATION[[Keyword Aggr]:[Keyword Aggr]])*($D51=CLASSIFICATION[[Functional Scope Aggr]:[Functional Scope Aggr]])),
_xlpm._platform_keywords, _xlfn.TEXTSPLIT(SUBSTITUTE(SUBSTITUTE(VLOOKUP($D51,_xlpm._platform_range,3,FALSE),"+"&amp;CHAR(34),"+"),CHAR(34),""),", "),
_xlpm._exists, SUMPRODUCT(--ISNUMBER(MATCH(_xlpm._platform_keywords,_xlpm._original_keywords,0)))&gt;0,
_xlfn.IFS(_xlpm._exists,1,NOT(_xlpm._exists),"")
)</f>
        <v/>
      </c>
      <c r="U51" s="33" cm="1">
        <f t="array" aca="1" ref="U5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($E51=CLASSIFICATION[[Keyword Aggr]:[Keyword Aggr]])*($D51=CLASSIFICATION[[Functional Scope Aggr]:[Functional Scope Aggr]])),
_xlpm._platform_keywords, _xlfn.TEXTSPLIT(SUBSTITUTE(SUBSTITUTE(VLOOKUP($D51,_xlpm._platform_range,3,FALSE),"+"&amp;CHAR(34),"+"),CHAR(34),""),", "),
_xlpm._exists, SUMPRODUCT(--ISNUMBER(MATCH(_xlpm._platform_keywords,_xlpm._original_keywords,0)))&gt;0,
_xlfn.IFS(_xlpm._exists,1,NOT(_xlpm._exists),"")
)</f>
        <v>1</v>
      </c>
      <c r="V51" s="33" t="str" cm="1">
        <f t="array" aca="1" ref="V5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($E51=CLASSIFICATION[[Keyword Aggr]:[Keyword Aggr]])*($D51=CLASSIFICATION[[Functional Scope Aggr]:[Functional Scope Aggr]])),
_xlpm._platform_keywords, _xlfn.TEXTSPLIT(SUBSTITUTE(SUBSTITUTE(VLOOKUP($D51,_xlpm._platform_range,3,FALSE),"+"&amp;CHAR(34),"+"),CHAR(34),""),", "),
_xlpm._exists, SUMPRODUCT(--ISNUMBER(MATCH(_xlpm._platform_keywords,_xlpm._original_keywords,0)))&gt;0,
_xlfn.IFS(_xlpm._exists,1,NOT(_xlpm._exists),"")
)</f>
        <v/>
      </c>
      <c r="X51" s="33" t="str">
        <f t="shared" si="4"/>
        <v/>
      </c>
      <c r="Y51" s="33" t="str">
        <f t="shared" si="5"/>
        <v/>
      </c>
      <c r="Z51" s="33" t="str">
        <f t="shared" si="6"/>
        <v/>
      </c>
      <c r="AA51" s="33" t="str">
        <f t="shared" si="7"/>
        <v/>
      </c>
      <c r="AB51" s="33" t="str">
        <f t="shared" si="8"/>
        <v/>
      </c>
      <c r="AC51" s="33" t="str">
        <f t="shared" si="9"/>
        <v/>
      </c>
    </row>
    <row r="52" spans="1:29" x14ac:dyDescent="0.25">
      <c r="A52" s="19" t="str">
        <v>Design,Application logic,Java</v>
      </c>
      <c r="B52" t="s">
        <v>377</v>
      </c>
      <c r="C52" s="19" t="str" cm="1">
        <f t="array" ref="C52:E52">_xlfn.TEXTSPLIT(A52,",")</f>
        <v>Design</v>
      </c>
      <c r="D52" s="19" t="str">
        <v>Application logic</v>
      </c>
      <c r="E52" s="19" t="str">
        <v>Java</v>
      </c>
      <c r="F52" s="36" t="str" cm="1">
        <f t="array" ref="F52">_xlfn.TEXTJOIN(",",TRUE,_xlfn._xlws.FILTER(CLASSIFICATION[Keyword], ($E52=CLASSIFICATION[Keyword Aggr])*($D52=CLASSIFICATION[Functional Scope Aggr])))</f>
        <v>Java</v>
      </c>
      <c r="G52" s="32" t="str">
        <f t="shared" si="2"/>
        <v/>
      </c>
      <c r="H52" s="32" t="str">
        <f t="shared" si="3"/>
        <v/>
      </c>
      <c r="I52" s="32" t="str">
        <f t="shared" si="10"/>
        <v>Java</v>
      </c>
      <c r="J52" s="33" t="str" cm="1">
        <f t="array" aca="1" ref="J5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($E52=CLASSIFICATION[[Keyword Aggr]:[Keyword Aggr]])*($D52=CLASSIFICATION[[Functional Scope Aggr]:[Functional Scope Aggr]])),
_xlpm._platform_keywords, _xlfn.TEXTSPLIT(SUBSTITUTE(SUBSTITUTE(VLOOKUP($D52,_xlpm._platform_range,3,FALSE),"+"&amp;CHAR(34),"+"),CHAR(34),""),", "),
_xlpm._exists, SUMPRODUCT(--ISNUMBER(MATCH(_xlpm._platform_keywords,_xlpm._original_keywords,0)))&gt;0,
_xlfn.IFS(AND(_xlpm._exists,LEFT($E52,1)="+"),"+",_xlpm._exists,"*",NOT(_xlpm._exists),"")
)</f>
        <v>*</v>
      </c>
      <c r="K52" s="33" t="str" cm="1">
        <f t="array" aca="1" ref="K5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($E52=CLASSIFICATION[[Keyword Aggr]:[Keyword Aggr]])*($D52=CLASSIFICATION[[Functional Scope Aggr]:[Functional Scope Aggr]])),
_xlpm._platform_keywords, _xlfn.TEXTSPLIT(SUBSTITUTE(SUBSTITUTE(VLOOKUP($D52,_xlpm._platform_range,3,FALSE),"+"&amp;CHAR(34),"+"),CHAR(34),""),", "),
_xlpm._exists, SUMPRODUCT(--ISNUMBER(MATCH(_xlpm._platform_keywords,_xlpm._original_keywords,0)))&gt;0,
_xlfn.IFS(AND(_xlpm._exists,LEFT($E52,1)="+"),"+",_xlpm._exists,"*",NOT(_xlpm._exists),"")
)</f>
        <v/>
      </c>
      <c r="L52" s="33" t="str" cm="1">
        <f t="array" aca="1" ref="L5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($E52=CLASSIFICATION[[Keyword Aggr]:[Keyword Aggr]])*($D52=CLASSIFICATION[[Functional Scope Aggr]:[Functional Scope Aggr]])),
_xlpm._platform_keywords, _xlfn.TEXTSPLIT(SUBSTITUTE(SUBSTITUTE(VLOOKUP($D52,_xlpm._platform_range,3,FALSE),"+"&amp;CHAR(34),"+"),CHAR(34),""),", "),
_xlpm._exists, SUMPRODUCT(--ISNUMBER(MATCH(_xlpm._platform_keywords,_xlpm._original_keywords,0)))&gt;0,
_xlfn.IFS(AND(_xlpm._exists,LEFT($E52,1)="+"),"+",_xlpm._exists,"*",NOT(_xlpm._exists),"")
)</f>
        <v/>
      </c>
      <c r="M52" s="33" t="str" cm="1">
        <f t="array" aca="1" ref="M5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($E52=CLASSIFICATION[[Keyword Aggr]:[Keyword Aggr]])*($D52=CLASSIFICATION[[Functional Scope Aggr]:[Functional Scope Aggr]])),
_xlpm._platform_keywords, _xlfn.TEXTSPLIT(SUBSTITUTE(SUBSTITUTE(VLOOKUP($D52,_xlpm._platform_range,3,FALSE),"+"&amp;CHAR(34),"+"),CHAR(34),""),", "),
_xlpm._exists, SUMPRODUCT(--ISNUMBER(MATCH(_xlpm._platform_keywords,_xlpm._original_keywords,0)))&gt;0,
_xlfn.IFS(AND(_xlpm._exists,LEFT($E52,1)="+"),"+",_xlpm._exists,"*",NOT(_xlpm._exists),"")
)</f>
        <v/>
      </c>
      <c r="N52" s="33" t="str" cm="1">
        <f t="array" aca="1" ref="N5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($E52=CLASSIFICATION[[Keyword Aggr]:[Keyword Aggr]])*($D52=CLASSIFICATION[[Functional Scope Aggr]:[Functional Scope Aggr]])),
_xlpm._platform_keywords, _xlfn.TEXTSPLIT(SUBSTITUTE(SUBSTITUTE(VLOOKUP($D52,_xlpm._platform_range,3,FALSE),"+"&amp;CHAR(34),"+"),CHAR(34),""),", "),
_xlpm._exists, SUMPRODUCT(--ISNUMBER(MATCH(_xlpm._platform_keywords,_xlpm._original_keywords,0)))&gt;0,
_xlfn.IFS(AND(_xlpm._exists,LEFT($E52,1)="+"),"+",_xlpm._exists,"*",NOT(_xlpm._exists),"")
)</f>
        <v/>
      </c>
      <c r="O52" s="33" t="str" cm="1">
        <f t="array" aca="1" ref="O5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($E52=CLASSIFICATION[[Keyword Aggr]:[Keyword Aggr]])*($D52=CLASSIFICATION[[Functional Scope Aggr]:[Functional Scope Aggr]])),
_xlpm._platform_keywords, _xlfn.TEXTSPLIT(SUBSTITUTE(SUBSTITUTE(VLOOKUP($D52,_xlpm._platform_range,3,FALSE),"+"&amp;CHAR(34),"+"),CHAR(34),""),", "),
_xlpm._exists, SUMPRODUCT(--ISNUMBER(MATCH(_xlpm._platform_keywords,_xlpm._original_keywords,0)))&gt;0,
_xlfn.IFS(AND(_xlpm._exists,LEFT($E52,1)="+"),"+",_xlpm._exists,"*",NOT(_xlpm._exists),"")
)</f>
        <v/>
      </c>
      <c r="Q52" s="33" cm="1">
        <f t="array" aca="1" ref="Q5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($E52=CLASSIFICATION[[Keyword Aggr]:[Keyword Aggr]])*($D52=CLASSIFICATION[[Functional Scope Aggr]:[Functional Scope Aggr]])),
_xlpm._platform_keywords, _xlfn.TEXTSPLIT(SUBSTITUTE(SUBSTITUTE(VLOOKUP($D52,_xlpm._platform_range,3,FALSE),"+"&amp;CHAR(34),"+"),CHAR(34),""),", "),
_xlpm._exists, SUMPRODUCT(--ISNUMBER(MATCH(_xlpm._platform_keywords,_xlpm._original_keywords,0)))&gt;0,
_xlfn.IFS(_xlpm._exists,1,NOT(_xlpm._exists),"")
)</f>
        <v>1</v>
      </c>
      <c r="R52" s="33" t="str" cm="1">
        <f t="array" aca="1" ref="R5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($E52=CLASSIFICATION[[Keyword Aggr]:[Keyword Aggr]])*($D52=CLASSIFICATION[[Functional Scope Aggr]:[Functional Scope Aggr]])),
_xlpm._platform_keywords, _xlfn.TEXTSPLIT(SUBSTITUTE(SUBSTITUTE(VLOOKUP($D52,_xlpm._platform_range,3,FALSE),"+"&amp;CHAR(34),"+"),CHAR(34),""),", "),
_xlpm._exists, SUMPRODUCT(--ISNUMBER(MATCH(_xlpm._platform_keywords,_xlpm._original_keywords,0)))&gt;0,
_xlfn.IFS(_xlpm._exists,1,NOT(_xlpm._exists),"")
)</f>
        <v/>
      </c>
      <c r="S52" s="33" t="str" cm="1">
        <f t="array" aca="1" ref="S5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($E52=CLASSIFICATION[[Keyword Aggr]:[Keyword Aggr]])*($D52=CLASSIFICATION[[Functional Scope Aggr]:[Functional Scope Aggr]])),
_xlpm._platform_keywords, _xlfn.TEXTSPLIT(SUBSTITUTE(SUBSTITUTE(VLOOKUP($D52,_xlpm._platform_range,3,FALSE),"+"&amp;CHAR(34),"+"),CHAR(34),""),", "),
_xlpm._exists, SUMPRODUCT(--ISNUMBER(MATCH(_xlpm._platform_keywords,_xlpm._original_keywords,0)))&gt;0,
_xlfn.IFS(_xlpm._exists,1,NOT(_xlpm._exists),"")
)</f>
        <v/>
      </c>
      <c r="T52" s="33" t="str" cm="1">
        <f t="array" aca="1" ref="T5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($E52=CLASSIFICATION[[Keyword Aggr]:[Keyword Aggr]])*($D52=CLASSIFICATION[[Functional Scope Aggr]:[Functional Scope Aggr]])),
_xlpm._platform_keywords, _xlfn.TEXTSPLIT(SUBSTITUTE(SUBSTITUTE(VLOOKUP($D52,_xlpm._platform_range,3,FALSE),"+"&amp;CHAR(34),"+"),CHAR(34),""),", "),
_xlpm._exists, SUMPRODUCT(--ISNUMBER(MATCH(_xlpm._platform_keywords,_xlpm._original_keywords,0)))&gt;0,
_xlfn.IFS(_xlpm._exists,1,NOT(_xlpm._exists),"")
)</f>
        <v/>
      </c>
      <c r="U52" s="33" t="str" cm="1">
        <f t="array" aca="1" ref="U5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($E52=CLASSIFICATION[[Keyword Aggr]:[Keyword Aggr]])*($D52=CLASSIFICATION[[Functional Scope Aggr]:[Functional Scope Aggr]])),
_xlpm._platform_keywords, _xlfn.TEXTSPLIT(SUBSTITUTE(SUBSTITUTE(VLOOKUP($D52,_xlpm._platform_range,3,FALSE),"+"&amp;CHAR(34),"+"),CHAR(34),""),", "),
_xlpm._exists, SUMPRODUCT(--ISNUMBER(MATCH(_xlpm._platform_keywords,_xlpm._original_keywords,0)))&gt;0,
_xlfn.IFS(_xlpm._exists,1,NOT(_xlpm._exists),"")
)</f>
        <v/>
      </c>
      <c r="V52" s="33" t="str" cm="1">
        <f t="array" aca="1" ref="V5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($E52=CLASSIFICATION[[Keyword Aggr]:[Keyword Aggr]])*($D52=CLASSIFICATION[[Functional Scope Aggr]:[Functional Scope Aggr]])),
_xlpm._platform_keywords, _xlfn.TEXTSPLIT(SUBSTITUTE(SUBSTITUTE(VLOOKUP($D52,_xlpm._platform_range,3,FALSE),"+"&amp;CHAR(34),"+"),CHAR(34),""),", "),
_xlpm._exists, SUMPRODUCT(--ISNUMBER(MATCH(_xlpm._platform_keywords,_xlpm._original_keywords,0)))&gt;0,
_xlfn.IFS(_xlpm._exists,1,NOT(_xlpm._exists),"")
)</f>
        <v/>
      </c>
      <c r="X52" s="33" t="str">
        <f t="shared" si="4"/>
        <v/>
      </c>
      <c r="Y52" s="33" t="str">
        <f t="shared" si="5"/>
        <v/>
      </c>
      <c r="Z52" s="33" t="str">
        <f t="shared" si="6"/>
        <v/>
      </c>
      <c r="AA52" s="33" t="str">
        <f t="shared" si="7"/>
        <v/>
      </c>
      <c r="AB52" s="33" t="str">
        <f t="shared" si="8"/>
        <v/>
      </c>
      <c r="AC52" s="33" t="str">
        <f t="shared" si="9"/>
        <v/>
      </c>
    </row>
    <row r="53" spans="1:29" x14ac:dyDescent="0.25">
      <c r="A53" s="19" t="str">
        <v>Design,Application logic,JavaScript</v>
      </c>
      <c r="B53" t="s">
        <v>377</v>
      </c>
      <c r="C53" s="19" t="str" cm="1">
        <f t="array" ref="C53:E53">_xlfn.TEXTSPLIT(A53,",")</f>
        <v>Design</v>
      </c>
      <c r="D53" s="19" t="str">
        <v>Application logic</v>
      </c>
      <c r="E53" s="19" t="str">
        <v>JavaScript</v>
      </c>
      <c r="F53" s="36" t="str" cm="1">
        <f t="array" ref="F53">_xlfn.TEXTJOIN(",",TRUE,_xlfn._xlws.FILTER(CLASSIFICATION[Keyword], ($E53=CLASSIFICATION[Keyword Aggr])*($D53=CLASSIFICATION[Functional Scope Aggr])))</f>
        <v>JavaScript</v>
      </c>
      <c r="G53" s="32" t="str">
        <f t="shared" si="2"/>
        <v/>
      </c>
      <c r="H53" s="32" t="str">
        <f t="shared" si="3"/>
        <v/>
      </c>
      <c r="I53" s="32" t="str">
        <f t="shared" si="10"/>
        <v>JavaScript</v>
      </c>
      <c r="J53" s="33" t="str" cm="1">
        <f t="array" aca="1" ref="J5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($E53=CLASSIFICATION[[Keyword Aggr]:[Keyword Aggr]])*($D53=CLASSIFICATION[[Functional Scope Aggr]:[Functional Scope Aggr]])),
_xlpm._platform_keywords, _xlfn.TEXTSPLIT(SUBSTITUTE(SUBSTITUTE(VLOOKUP($D53,_xlpm._platform_range,3,FALSE),"+"&amp;CHAR(34),"+"),CHAR(34),""),", "),
_xlpm._exists, SUMPRODUCT(--ISNUMBER(MATCH(_xlpm._platform_keywords,_xlpm._original_keywords,0)))&gt;0,
_xlfn.IFS(AND(_xlpm._exists,LEFT($E53,1)="+"),"+",_xlpm._exists,"*",NOT(_xlpm._exists),"")
)</f>
        <v>*</v>
      </c>
      <c r="K53" s="33" t="str" cm="1">
        <f t="array" aca="1" ref="K5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($E53=CLASSIFICATION[[Keyword Aggr]:[Keyword Aggr]])*($D53=CLASSIFICATION[[Functional Scope Aggr]:[Functional Scope Aggr]])),
_xlpm._platform_keywords, _xlfn.TEXTSPLIT(SUBSTITUTE(SUBSTITUTE(VLOOKUP($D53,_xlpm._platform_range,3,FALSE),"+"&amp;CHAR(34),"+"),CHAR(34),""),", "),
_xlpm._exists, SUMPRODUCT(--ISNUMBER(MATCH(_xlpm._platform_keywords,_xlpm._original_keywords,0)))&gt;0,
_xlfn.IFS(AND(_xlpm._exists,LEFT($E53,1)="+"),"+",_xlpm._exists,"*",NOT(_xlpm._exists),"")
)</f>
        <v/>
      </c>
      <c r="L53" s="33" t="str" cm="1">
        <f t="array" aca="1" ref="L5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($E53=CLASSIFICATION[[Keyword Aggr]:[Keyword Aggr]])*($D53=CLASSIFICATION[[Functional Scope Aggr]:[Functional Scope Aggr]])),
_xlpm._platform_keywords, _xlfn.TEXTSPLIT(SUBSTITUTE(SUBSTITUTE(VLOOKUP($D53,_xlpm._platform_range,3,FALSE),"+"&amp;CHAR(34),"+"),CHAR(34),""),", "),
_xlpm._exists, SUMPRODUCT(--ISNUMBER(MATCH(_xlpm._platform_keywords,_xlpm._original_keywords,0)))&gt;0,
_xlfn.IFS(AND(_xlpm._exists,LEFT($E53,1)="+"),"+",_xlpm._exists,"*",NOT(_xlpm._exists),"")
)</f>
        <v/>
      </c>
      <c r="M53" s="33" t="str" cm="1">
        <f t="array" aca="1" ref="M5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($E53=CLASSIFICATION[[Keyword Aggr]:[Keyword Aggr]])*($D53=CLASSIFICATION[[Functional Scope Aggr]:[Functional Scope Aggr]])),
_xlpm._platform_keywords, _xlfn.TEXTSPLIT(SUBSTITUTE(SUBSTITUTE(VLOOKUP($D53,_xlpm._platform_range,3,FALSE),"+"&amp;CHAR(34),"+"),CHAR(34),""),", "),
_xlpm._exists, SUMPRODUCT(--ISNUMBER(MATCH(_xlpm._platform_keywords,_xlpm._original_keywords,0)))&gt;0,
_xlfn.IFS(AND(_xlpm._exists,LEFT($E53,1)="+"),"+",_xlpm._exists,"*",NOT(_xlpm._exists),"")
)</f>
        <v/>
      </c>
      <c r="N53" s="33" t="str" cm="1">
        <f t="array" aca="1" ref="N5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($E53=CLASSIFICATION[[Keyword Aggr]:[Keyword Aggr]])*($D53=CLASSIFICATION[[Functional Scope Aggr]:[Functional Scope Aggr]])),
_xlpm._platform_keywords, _xlfn.TEXTSPLIT(SUBSTITUTE(SUBSTITUTE(VLOOKUP($D53,_xlpm._platform_range,3,FALSE),"+"&amp;CHAR(34),"+"),CHAR(34),""),", "),
_xlpm._exists, SUMPRODUCT(--ISNUMBER(MATCH(_xlpm._platform_keywords,_xlpm._original_keywords,0)))&gt;0,
_xlfn.IFS(AND(_xlpm._exists,LEFT($E53,1)="+"),"+",_xlpm._exists,"*",NOT(_xlpm._exists),"")
)</f>
        <v/>
      </c>
      <c r="O53" s="33" t="str" cm="1">
        <f t="array" aca="1" ref="O5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($E53=CLASSIFICATION[[Keyword Aggr]:[Keyword Aggr]])*($D53=CLASSIFICATION[[Functional Scope Aggr]:[Functional Scope Aggr]])),
_xlpm._platform_keywords, _xlfn.TEXTSPLIT(SUBSTITUTE(SUBSTITUTE(VLOOKUP($D53,_xlpm._platform_range,3,FALSE),"+"&amp;CHAR(34),"+"),CHAR(34),""),", "),
_xlpm._exists, SUMPRODUCT(--ISNUMBER(MATCH(_xlpm._platform_keywords,_xlpm._original_keywords,0)))&gt;0,
_xlfn.IFS(AND(_xlpm._exists,LEFT($E53,1)="+"),"+",_xlpm._exists,"*",NOT(_xlpm._exists),"")
)</f>
        <v/>
      </c>
      <c r="Q53" s="33" cm="1">
        <f t="array" aca="1" ref="Q5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($E53=CLASSIFICATION[[Keyword Aggr]:[Keyword Aggr]])*($D53=CLASSIFICATION[[Functional Scope Aggr]:[Functional Scope Aggr]])),
_xlpm._platform_keywords, _xlfn.TEXTSPLIT(SUBSTITUTE(SUBSTITUTE(VLOOKUP($D53,_xlpm._platform_range,3,FALSE),"+"&amp;CHAR(34),"+"),CHAR(34),""),", "),
_xlpm._exists, SUMPRODUCT(--ISNUMBER(MATCH(_xlpm._platform_keywords,_xlpm._original_keywords,0)))&gt;0,
_xlfn.IFS(_xlpm._exists,1,NOT(_xlpm._exists),"")
)</f>
        <v>1</v>
      </c>
      <c r="R53" s="33" t="str" cm="1">
        <f t="array" aca="1" ref="R5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($E53=CLASSIFICATION[[Keyword Aggr]:[Keyword Aggr]])*($D53=CLASSIFICATION[[Functional Scope Aggr]:[Functional Scope Aggr]])),
_xlpm._platform_keywords, _xlfn.TEXTSPLIT(SUBSTITUTE(SUBSTITUTE(VLOOKUP($D53,_xlpm._platform_range,3,FALSE),"+"&amp;CHAR(34),"+"),CHAR(34),""),", "),
_xlpm._exists, SUMPRODUCT(--ISNUMBER(MATCH(_xlpm._platform_keywords,_xlpm._original_keywords,0)))&gt;0,
_xlfn.IFS(_xlpm._exists,1,NOT(_xlpm._exists),"")
)</f>
        <v/>
      </c>
      <c r="S53" s="33" t="str" cm="1">
        <f t="array" aca="1" ref="S5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($E53=CLASSIFICATION[[Keyword Aggr]:[Keyword Aggr]])*($D53=CLASSIFICATION[[Functional Scope Aggr]:[Functional Scope Aggr]])),
_xlpm._platform_keywords, _xlfn.TEXTSPLIT(SUBSTITUTE(SUBSTITUTE(VLOOKUP($D53,_xlpm._platform_range,3,FALSE),"+"&amp;CHAR(34),"+"),CHAR(34),""),", "),
_xlpm._exists, SUMPRODUCT(--ISNUMBER(MATCH(_xlpm._platform_keywords,_xlpm._original_keywords,0)))&gt;0,
_xlfn.IFS(_xlpm._exists,1,NOT(_xlpm._exists),"")
)</f>
        <v/>
      </c>
      <c r="T53" s="33" t="str" cm="1">
        <f t="array" aca="1" ref="T5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($E53=CLASSIFICATION[[Keyword Aggr]:[Keyword Aggr]])*($D53=CLASSIFICATION[[Functional Scope Aggr]:[Functional Scope Aggr]])),
_xlpm._platform_keywords, _xlfn.TEXTSPLIT(SUBSTITUTE(SUBSTITUTE(VLOOKUP($D53,_xlpm._platform_range,3,FALSE),"+"&amp;CHAR(34),"+"),CHAR(34),""),", "),
_xlpm._exists, SUMPRODUCT(--ISNUMBER(MATCH(_xlpm._platform_keywords,_xlpm._original_keywords,0)))&gt;0,
_xlfn.IFS(_xlpm._exists,1,NOT(_xlpm._exists),"")
)</f>
        <v/>
      </c>
      <c r="U53" s="33" t="str" cm="1">
        <f t="array" aca="1" ref="U5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($E53=CLASSIFICATION[[Keyword Aggr]:[Keyword Aggr]])*($D53=CLASSIFICATION[[Functional Scope Aggr]:[Functional Scope Aggr]])),
_xlpm._platform_keywords, _xlfn.TEXTSPLIT(SUBSTITUTE(SUBSTITUTE(VLOOKUP($D53,_xlpm._platform_range,3,FALSE),"+"&amp;CHAR(34),"+"),CHAR(34),""),", "),
_xlpm._exists, SUMPRODUCT(--ISNUMBER(MATCH(_xlpm._platform_keywords,_xlpm._original_keywords,0)))&gt;0,
_xlfn.IFS(_xlpm._exists,1,NOT(_xlpm._exists),"")
)</f>
        <v/>
      </c>
      <c r="V53" s="33" t="str" cm="1">
        <f t="array" aca="1" ref="V5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($E53=CLASSIFICATION[[Keyword Aggr]:[Keyword Aggr]])*($D53=CLASSIFICATION[[Functional Scope Aggr]:[Functional Scope Aggr]])),
_xlpm._platform_keywords, _xlfn.TEXTSPLIT(SUBSTITUTE(SUBSTITUTE(VLOOKUP($D53,_xlpm._platform_range,3,FALSE),"+"&amp;CHAR(34),"+"),CHAR(34),""),", "),
_xlpm._exists, SUMPRODUCT(--ISNUMBER(MATCH(_xlpm._platform_keywords,_xlpm._original_keywords,0)))&gt;0,
_xlfn.IFS(_xlpm._exists,1,NOT(_xlpm._exists),"")
)</f>
        <v/>
      </c>
      <c r="X53" s="33" t="str">
        <f t="shared" si="4"/>
        <v/>
      </c>
      <c r="Y53" s="33" t="str">
        <f t="shared" si="5"/>
        <v/>
      </c>
      <c r="Z53" s="33" t="str">
        <f t="shared" si="6"/>
        <v/>
      </c>
      <c r="AA53" s="33" t="str">
        <f t="shared" si="7"/>
        <v/>
      </c>
      <c r="AB53" s="33" t="str">
        <f t="shared" si="8"/>
        <v/>
      </c>
      <c r="AC53" s="33" t="str">
        <f t="shared" si="9"/>
        <v/>
      </c>
    </row>
    <row r="54" spans="1:29" x14ac:dyDescent="0.25">
      <c r="A54" s="19" t="str">
        <v>Design,Application logic,Microservices</v>
      </c>
      <c r="B54" t="s">
        <v>377</v>
      </c>
      <c r="C54" s="19" t="str" cm="1">
        <f t="array" ref="C54:E54">_xlfn.TEXTSPLIT(A54,",")</f>
        <v>Design</v>
      </c>
      <c r="D54" s="19" t="str">
        <v>Application logic</v>
      </c>
      <c r="E54" s="19" t="str">
        <v>Microservices</v>
      </c>
      <c r="F54" s="36" t="str" cm="1">
        <f t="array" ref="F54">_xlfn.TEXTJOIN(",",TRUE,_xlfn._xlws.FILTER(CLASSIFICATION[Keyword], ($E54=CLASSIFICATION[Keyword Aggr])*($D54=CLASSIFICATION[Functional Scope Aggr])))</f>
        <v>Microservices</v>
      </c>
      <c r="G54" s="32" t="str">
        <f t="shared" si="2"/>
        <v/>
      </c>
      <c r="H54" s="32" t="str">
        <f t="shared" si="3"/>
        <v/>
      </c>
      <c r="I54" s="32" t="str">
        <f t="shared" si="10"/>
        <v>Microservices</v>
      </c>
      <c r="J54" s="33" t="str" cm="1">
        <f t="array" aca="1" ref="J5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($E54=CLASSIFICATION[[Keyword Aggr]:[Keyword Aggr]])*($D54=CLASSIFICATION[[Functional Scope Aggr]:[Functional Scope Aggr]])),
_xlpm._platform_keywords, _xlfn.TEXTSPLIT(SUBSTITUTE(SUBSTITUTE(VLOOKUP($D54,_xlpm._platform_range,3,FALSE),"+"&amp;CHAR(34),"+"),CHAR(34),""),", "),
_xlpm._exists, SUMPRODUCT(--ISNUMBER(MATCH(_xlpm._platform_keywords,_xlpm._original_keywords,0)))&gt;0,
_xlfn.IFS(AND(_xlpm._exists,LEFT($E54,1)="+"),"+",_xlpm._exists,"*",NOT(_xlpm._exists),"")
)</f>
        <v/>
      </c>
      <c r="K54" s="33" t="str" cm="1">
        <f t="array" aca="1" ref="K5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($E54=CLASSIFICATION[[Keyword Aggr]:[Keyword Aggr]])*($D54=CLASSIFICATION[[Functional Scope Aggr]:[Functional Scope Aggr]])),
_xlpm._platform_keywords, _xlfn.TEXTSPLIT(SUBSTITUTE(SUBSTITUTE(VLOOKUP($D54,_xlpm._platform_range,3,FALSE),"+"&amp;CHAR(34),"+"),CHAR(34),""),", "),
_xlpm._exists, SUMPRODUCT(--ISNUMBER(MATCH(_xlpm._platform_keywords,_xlpm._original_keywords,0)))&gt;0,
_xlfn.IFS(AND(_xlpm._exists,LEFT($E54,1)="+"),"+",_xlpm._exists,"*",NOT(_xlpm._exists),"")
)</f>
        <v/>
      </c>
      <c r="L54" s="33" t="str" cm="1">
        <f t="array" aca="1" ref="L5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($E54=CLASSIFICATION[[Keyword Aggr]:[Keyword Aggr]])*($D54=CLASSIFICATION[[Functional Scope Aggr]:[Functional Scope Aggr]])),
_xlpm._platform_keywords, _xlfn.TEXTSPLIT(SUBSTITUTE(SUBSTITUTE(VLOOKUP($D54,_xlpm._platform_range,3,FALSE),"+"&amp;CHAR(34),"+"),CHAR(34),""),", "),
_xlpm._exists, SUMPRODUCT(--ISNUMBER(MATCH(_xlpm._platform_keywords,_xlpm._original_keywords,0)))&gt;0,
_xlfn.IFS(AND(_xlpm._exists,LEFT($E54,1)="+"),"+",_xlpm._exists,"*",NOT(_xlpm._exists),"")
)</f>
        <v>*</v>
      </c>
      <c r="M54" s="33" t="str" cm="1">
        <f t="array" aca="1" ref="M5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($E54=CLASSIFICATION[[Keyword Aggr]:[Keyword Aggr]])*($D54=CLASSIFICATION[[Functional Scope Aggr]:[Functional Scope Aggr]])),
_xlpm._platform_keywords, _xlfn.TEXTSPLIT(SUBSTITUTE(SUBSTITUTE(VLOOKUP($D54,_xlpm._platform_range,3,FALSE),"+"&amp;CHAR(34),"+"),CHAR(34),""),", "),
_xlpm._exists, SUMPRODUCT(--ISNUMBER(MATCH(_xlpm._platform_keywords,_xlpm._original_keywords,0)))&gt;0,
_xlfn.IFS(AND(_xlpm._exists,LEFT($E54,1)="+"),"+",_xlpm._exists,"*",NOT(_xlpm._exists),"")
)</f>
        <v/>
      </c>
      <c r="N54" s="33" t="str" cm="1">
        <f t="array" aca="1" ref="N5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($E54=CLASSIFICATION[[Keyword Aggr]:[Keyword Aggr]])*($D54=CLASSIFICATION[[Functional Scope Aggr]:[Functional Scope Aggr]])),
_xlpm._platform_keywords, _xlfn.TEXTSPLIT(SUBSTITUTE(SUBSTITUTE(VLOOKUP($D54,_xlpm._platform_range,3,FALSE),"+"&amp;CHAR(34),"+"),CHAR(34),""),", "),
_xlpm._exists, SUMPRODUCT(--ISNUMBER(MATCH(_xlpm._platform_keywords,_xlpm._original_keywords,0)))&gt;0,
_xlfn.IFS(AND(_xlpm._exists,LEFT($E54,1)="+"),"+",_xlpm._exists,"*",NOT(_xlpm._exists),"")
)</f>
        <v/>
      </c>
      <c r="O54" s="33" t="str" cm="1">
        <f t="array" aca="1" ref="O5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($E54=CLASSIFICATION[[Keyword Aggr]:[Keyword Aggr]])*($D54=CLASSIFICATION[[Functional Scope Aggr]:[Functional Scope Aggr]])),
_xlpm._platform_keywords, _xlfn.TEXTSPLIT(SUBSTITUTE(SUBSTITUTE(VLOOKUP($D54,_xlpm._platform_range,3,FALSE),"+"&amp;CHAR(34),"+"),CHAR(34),""),", "),
_xlpm._exists, SUMPRODUCT(--ISNUMBER(MATCH(_xlpm._platform_keywords,_xlpm._original_keywords,0)))&gt;0,
_xlfn.IFS(AND(_xlpm._exists,LEFT($E54,1)="+"),"+",_xlpm._exists,"*",NOT(_xlpm._exists),"")
)</f>
        <v/>
      </c>
      <c r="Q54" s="33" t="str" cm="1">
        <f t="array" aca="1" ref="Q5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($E54=CLASSIFICATION[[Keyword Aggr]:[Keyword Aggr]])*($D54=CLASSIFICATION[[Functional Scope Aggr]:[Functional Scope Aggr]])),
_xlpm._platform_keywords, _xlfn.TEXTSPLIT(SUBSTITUTE(SUBSTITUTE(VLOOKUP($D54,_xlpm._platform_range,3,FALSE),"+"&amp;CHAR(34),"+"),CHAR(34),""),", "),
_xlpm._exists, SUMPRODUCT(--ISNUMBER(MATCH(_xlpm._platform_keywords,_xlpm._original_keywords,0)))&gt;0,
_xlfn.IFS(_xlpm._exists,1,NOT(_xlpm._exists),"")
)</f>
        <v/>
      </c>
      <c r="R54" s="33" t="str" cm="1">
        <f t="array" aca="1" ref="R5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($E54=CLASSIFICATION[[Keyword Aggr]:[Keyword Aggr]])*($D54=CLASSIFICATION[[Functional Scope Aggr]:[Functional Scope Aggr]])),
_xlpm._platform_keywords, _xlfn.TEXTSPLIT(SUBSTITUTE(SUBSTITUTE(VLOOKUP($D54,_xlpm._platform_range,3,FALSE),"+"&amp;CHAR(34),"+"),CHAR(34),""),", "),
_xlpm._exists, SUMPRODUCT(--ISNUMBER(MATCH(_xlpm._platform_keywords,_xlpm._original_keywords,0)))&gt;0,
_xlfn.IFS(_xlpm._exists,1,NOT(_xlpm._exists),"")
)</f>
        <v/>
      </c>
      <c r="S54" s="33" cm="1">
        <f t="array" aca="1" ref="S5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($E54=CLASSIFICATION[[Keyword Aggr]:[Keyword Aggr]])*($D54=CLASSIFICATION[[Functional Scope Aggr]:[Functional Scope Aggr]])),
_xlpm._platform_keywords, _xlfn.TEXTSPLIT(SUBSTITUTE(SUBSTITUTE(VLOOKUP($D54,_xlpm._platform_range,3,FALSE),"+"&amp;CHAR(34),"+"),CHAR(34),""),", "),
_xlpm._exists, SUMPRODUCT(--ISNUMBER(MATCH(_xlpm._platform_keywords,_xlpm._original_keywords,0)))&gt;0,
_xlfn.IFS(_xlpm._exists,1,NOT(_xlpm._exists),"")
)</f>
        <v>1</v>
      </c>
      <c r="T54" s="33" t="str" cm="1">
        <f t="array" aca="1" ref="T5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($E54=CLASSIFICATION[[Keyword Aggr]:[Keyword Aggr]])*($D54=CLASSIFICATION[[Functional Scope Aggr]:[Functional Scope Aggr]])),
_xlpm._platform_keywords, _xlfn.TEXTSPLIT(SUBSTITUTE(SUBSTITUTE(VLOOKUP($D54,_xlpm._platform_range,3,FALSE),"+"&amp;CHAR(34),"+"),CHAR(34),""),", "),
_xlpm._exists, SUMPRODUCT(--ISNUMBER(MATCH(_xlpm._platform_keywords,_xlpm._original_keywords,0)))&gt;0,
_xlfn.IFS(_xlpm._exists,1,NOT(_xlpm._exists),"")
)</f>
        <v/>
      </c>
      <c r="U54" s="33" t="str" cm="1">
        <f t="array" aca="1" ref="U5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($E54=CLASSIFICATION[[Keyword Aggr]:[Keyword Aggr]])*($D54=CLASSIFICATION[[Functional Scope Aggr]:[Functional Scope Aggr]])),
_xlpm._platform_keywords, _xlfn.TEXTSPLIT(SUBSTITUTE(SUBSTITUTE(VLOOKUP($D54,_xlpm._platform_range,3,FALSE),"+"&amp;CHAR(34),"+"),CHAR(34),""),", "),
_xlpm._exists, SUMPRODUCT(--ISNUMBER(MATCH(_xlpm._platform_keywords,_xlpm._original_keywords,0)))&gt;0,
_xlfn.IFS(_xlpm._exists,1,NOT(_xlpm._exists),"")
)</f>
        <v/>
      </c>
      <c r="V54" s="33" t="str" cm="1">
        <f t="array" aca="1" ref="V5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($E54=CLASSIFICATION[[Keyword Aggr]:[Keyword Aggr]])*($D54=CLASSIFICATION[[Functional Scope Aggr]:[Functional Scope Aggr]])),
_xlpm._platform_keywords, _xlfn.TEXTSPLIT(SUBSTITUTE(SUBSTITUTE(VLOOKUP($D54,_xlpm._platform_range,3,FALSE),"+"&amp;CHAR(34),"+"),CHAR(34),""),", "),
_xlpm._exists, SUMPRODUCT(--ISNUMBER(MATCH(_xlpm._platform_keywords,_xlpm._original_keywords,0)))&gt;0,
_xlfn.IFS(_xlpm._exists,1,NOT(_xlpm._exists),"")
)</f>
        <v/>
      </c>
      <c r="X54" s="33" t="str">
        <f t="shared" si="4"/>
        <v/>
      </c>
      <c r="Y54" s="33" t="str">
        <f t="shared" si="5"/>
        <v/>
      </c>
      <c r="Z54" s="33" t="str">
        <f t="shared" si="6"/>
        <v/>
      </c>
      <c r="AA54" s="33" t="str">
        <f t="shared" si="7"/>
        <v/>
      </c>
      <c r="AB54" s="33" t="str">
        <f t="shared" si="8"/>
        <v/>
      </c>
      <c r="AC54" s="33" t="str">
        <f t="shared" si="9"/>
        <v/>
      </c>
    </row>
    <row r="55" spans="1:29" x14ac:dyDescent="0.25">
      <c r="A55" s="19" t="str">
        <v>Design,Application logic,SQL</v>
      </c>
      <c r="B55" t="s">
        <v>377</v>
      </c>
      <c r="C55" s="19" t="str" cm="1">
        <f t="array" ref="C55:E55">_xlfn.TEXTSPLIT(A55,",")</f>
        <v>Design</v>
      </c>
      <c r="D55" s="19" t="str">
        <v>Application logic</v>
      </c>
      <c r="E55" s="19" t="str">
        <v>SQL</v>
      </c>
      <c r="F55" s="36" t="str" cm="1">
        <f t="array" ref="F55">_xlfn.TEXTJOIN(",",TRUE,_xlfn._xlws.FILTER(CLASSIFICATION[Keyword], ($E55=CLASSIFICATION[Keyword Aggr])*($D55=CLASSIFICATION[Functional Scope Aggr])))</f>
        <v>SQL/OQL,SQL</v>
      </c>
      <c r="G55" s="32" t="str">
        <f t="shared" si="2"/>
        <v/>
      </c>
      <c r="H55" s="32" t="str">
        <f t="shared" si="3"/>
        <v/>
      </c>
      <c r="I55" s="32" t="str">
        <f t="shared" si="10"/>
        <v>SQL</v>
      </c>
      <c r="J55" s="33" t="str" cm="1">
        <f t="array" aca="1" ref="J5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($E55=CLASSIFICATION[[Keyword Aggr]:[Keyword Aggr]])*($D55=CLASSIFICATION[[Functional Scope Aggr]:[Functional Scope Aggr]])),
_xlpm._platform_keywords, _xlfn.TEXTSPLIT(SUBSTITUTE(SUBSTITUTE(VLOOKUP($D55,_xlpm._platform_range,3,FALSE),"+"&amp;CHAR(34),"+"),CHAR(34),""),", "),
_xlpm._exists, SUMPRODUCT(--ISNUMBER(MATCH(_xlpm._platform_keywords,_xlpm._original_keywords,0)))&gt;0,
_xlfn.IFS(AND(_xlpm._exists,LEFT($E55,1)="+"),"+",_xlpm._exists,"*",NOT(_xlpm._exists),"")
)</f>
        <v>*</v>
      </c>
      <c r="K55" s="33" t="str" cm="1">
        <f t="array" aca="1" ref="K5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($E55=CLASSIFICATION[[Keyword Aggr]:[Keyword Aggr]])*($D55=CLASSIFICATION[[Functional Scope Aggr]:[Functional Scope Aggr]])),
_xlpm._platform_keywords, _xlfn.TEXTSPLIT(SUBSTITUTE(SUBSTITUTE(VLOOKUP($D55,_xlpm._platform_range,3,FALSE),"+"&amp;CHAR(34),"+"),CHAR(34),""),", "),
_xlpm._exists, SUMPRODUCT(--ISNUMBER(MATCH(_xlpm._platform_keywords,_xlpm._original_keywords,0)))&gt;0,
_xlfn.IFS(AND(_xlpm._exists,LEFT($E55,1)="+"),"+",_xlpm._exists,"*",NOT(_xlpm._exists),"")
)</f>
        <v/>
      </c>
      <c r="L55" s="33" t="str" cm="1">
        <f t="array" aca="1" ref="L5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($E55=CLASSIFICATION[[Keyword Aggr]:[Keyword Aggr]])*($D55=CLASSIFICATION[[Functional Scope Aggr]:[Functional Scope Aggr]])),
_xlpm._platform_keywords, _xlfn.TEXTSPLIT(SUBSTITUTE(SUBSTITUTE(VLOOKUP($D55,_xlpm._platform_range,3,FALSE),"+"&amp;CHAR(34),"+"),CHAR(34),""),", "),
_xlpm._exists, SUMPRODUCT(--ISNUMBER(MATCH(_xlpm._platform_keywords,_xlpm._original_keywords,0)))&gt;0,
_xlfn.IFS(AND(_xlpm._exists,LEFT($E55,1)="+"),"+",_xlpm._exists,"*",NOT(_xlpm._exists),"")
)</f>
        <v/>
      </c>
      <c r="M55" s="33" t="str" cm="1">
        <f t="array" aca="1" ref="M5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($E55=CLASSIFICATION[[Keyword Aggr]:[Keyword Aggr]])*($D55=CLASSIFICATION[[Functional Scope Aggr]:[Functional Scope Aggr]])),
_xlpm._platform_keywords, _xlfn.TEXTSPLIT(SUBSTITUTE(SUBSTITUTE(VLOOKUP($D55,_xlpm._platform_range,3,FALSE),"+"&amp;CHAR(34),"+"),CHAR(34),""),", "),
_xlpm._exists, SUMPRODUCT(--ISNUMBER(MATCH(_xlpm._platform_keywords,_xlpm._original_keywords,0)))&gt;0,
_xlfn.IFS(AND(_xlpm._exists,LEFT($E55,1)="+"),"+",_xlpm._exists,"*",NOT(_xlpm._exists),"")
)</f>
        <v/>
      </c>
      <c r="N55" s="33" t="str" cm="1">
        <f t="array" aca="1" ref="N5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($E55=CLASSIFICATION[[Keyword Aggr]:[Keyword Aggr]])*($D55=CLASSIFICATION[[Functional Scope Aggr]:[Functional Scope Aggr]])),
_xlpm._platform_keywords, _xlfn.TEXTSPLIT(SUBSTITUTE(SUBSTITUTE(VLOOKUP($D55,_xlpm._platform_range,3,FALSE),"+"&amp;CHAR(34),"+"),CHAR(34),""),", "),
_xlpm._exists, SUMPRODUCT(--ISNUMBER(MATCH(_xlpm._platform_keywords,_xlpm._original_keywords,0)))&gt;0,
_xlfn.IFS(AND(_xlpm._exists,LEFT($E55,1)="+"),"+",_xlpm._exists,"*",NOT(_xlpm._exists),"")
)</f>
        <v/>
      </c>
      <c r="O55" s="33" t="str" cm="1">
        <f t="array" aca="1" ref="O5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($E55=CLASSIFICATION[[Keyword Aggr]:[Keyword Aggr]])*($D55=CLASSIFICATION[[Functional Scope Aggr]:[Functional Scope Aggr]])),
_xlpm._platform_keywords, _xlfn.TEXTSPLIT(SUBSTITUTE(SUBSTITUTE(VLOOKUP($D55,_xlpm._platform_range,3,FALSE),"+"&amp;CHAR(34),"+"),CHAR(34),""),", "),
_xlpm._exists, SUMPRODUCT(--ISNUMBER(MATCH(_xlpm._platform_keywords,_xlpm._original_keywords,0)))&gt;0,
_xlfn.IFS(AND(_xlpm._exists,LEFT($E55,1)="+"),"+",_xlpm._exists,"*",NOT(_xlpm._exists),"")
)</f>
        <v>*</v>
      </c>
      <c r="Q55" s="33" cm="1">
        <f t="array" aca="1" ref="Q5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($E55=CLASSIFICATION[[Keyword Aggr]:[Keyword Aggr]])*($D55=CLASSIFICATION[[Functional Scope Aggr]:[Functional Scope Aggr]])),
_xlpm._platform_keywords, _xlfn.TEXTSPLIT(SUBSTITUTE(SUBSTITUTE(VLOOKUP($D55,_xlpm._platform_range,3,FALSE),"+"&amp;CHAR(34),"+"),CHAR(34),""),", "),
_xlpm._exists, SUMPRODUCT(--ISNUMBER(MATCH(_xlpm._platform_keywords,_xlpm._original_keywords,0)))&gt;0,
_xlfn.IFS(_xlpm._exists,1,NOT(_xlpm._exists),"")
)</f>
        <v>1</v>
      </c>
      <c r="R55" s="33" t="str" cm="1">
        <f t="array" aca="1" ref="R5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($E55=CLASSIFICATION[[Keyword Aggr]:[Keyword Aggr]])*($D55=CLASSIFICATION[[Functional Scope Aggr]:[Functional Scope Aggr]])),
_xlpm._platform_keywords, _xlfn.TEXTSPLIT(SUBSTITUTE(SUBSTITUTE(VLOOKUP($D55,_xlpm._platform_range,3,FALSE),"+"&amp;CHAR(34),"+"),CHAR(34),""),", "),
_xlpm._exists, SUMPRODUCT(--ISNUMBER(MATCH(_xlpm._platform_keywords,_xlpm._original_keywords,0)))&gt;0,
_xlfn.IFS(_xlpm._exists,1,NOT(_xlpm._exists),"")
)</f>
        <v/>
      </c>
      <c r="S55" s="33" t="str" cm="1">
        <f t="array" aca="1" ref="S5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($E55=CLASSIFICATION[[Keyword Aggr]:[Keyword Aggr]])*($D55=CLASSIFICATION[[Functional Scope Aggr]:[Functional Scope Aggr]])),
_xlpm._platform_keywords, _xlfn.TEXTSPLIT(SUBSTITUTE(SUBSTITUTE(VLOOKUP($D55,_xlpm._platform_range,3,FALSE),"+"&amp;CHAR(34),"+"),CHAR(34),""),", "),
_xlpm._exists, SUMPRODUCT(--ISNUMBER(MATCH(_xlpm._platform_keywords,_xlpm._original_keywords,0)))&gt;0,
_xlfn.IFS(_xlpm._exists,1,NOT(_xlpm._exists),"")
)</f>
        <v/>
      </c>
      <c r="T55" s="33" t="str" cm="1">
        <f t="array" aca="1" ref="T5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($E55=CLASSIFICATION[[Keyword Aggr]:[Keyword Aggr]])*($D55=CLASSIFICATION[[Functional Scope Aggr]:[Functional Scope Aggr]])),
_xlpm._platform_keywords, _xlfn.TEXTSPLIT(SUBSTITUTE(SUBSTITUTE(VLOOKUP($D55,_xlpm._platform_range,3,FALSE),"+"&amp;CHAR(34),"+"),CHAR(34),""),", "),
_xlpm._exists, SUMPRODUCT(--ISNUMBER(MATCH(_xlpm._platform_keywords,_xlpm._original_keywords,0)))&gt;0,
_xlfn.IFS(_xlpm._exists,1,NOT(_xlpm._exists),"")
)</f>
        <v/>
      </c>
      <c r="U55" s="33" t="str" cm="1">
        <f t="array" aca="1" ref="U5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($E55=CLASSIFICATION[[Keyword Aggr]:[Keyword Aggr]])*($D55=CLASSIFICATION[[Functional Scope Aggr]:[Functional Scope Aggr]])),
_xlpm._platform_keywords, _xlfn.TEXTSPLIT(SUBSTITUTE(SUBSTITUTE(VLOOKUP($D55,_xlpm._platform_range,3,FALSE),"+"&amp;CHAR(34),"+"),CHAR(34),""),", "),
_xlpm._exists, SUMPRODUCT(--ISNUMBER(MATCH(_xlpm._platform_keywords,_xlpm._original_keywords,0)))&gt;0,
_xlfn.IFS(_xlpm._exists,1,NOT(_xlpm._exists),"")
)</f>
        <v/>
      </c>
      <c r="V55" s="33" cm="1">
        <f t="array" aca="1" ref="V5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($E55=CLASSIFICATION[[Keyword Aggr]:[Keyword Aggr]])*($D55=CLASSIFICATION[[Functional Scope Aggr]:[Functional Scope Aggr]])),
_xlpm._platform_keywords, _xlfn.TEXTSPLIT(SUBSTITUTE(SUBSTITUTE(VLOOKUP($D55,_xlpm._platform_range,3,FALSE),"+"&amp;CHAR(34),"+"),CHAR(34),""),", "),
_xlpm._exists, SUMPRODUCT(--ISNUMBER(MATCH(_xlpm._platform_keywords,_xlpm._original_keywords,0)))&gt;0,
_xlfn.IFS(_xlpm._exists,1,NOT(_xlpm._exists),"")
)</f>
        <v>1</v>
      </c>
      <c r="X55" s="33" t="str">
        <f t="shared" si="4"/>
        <v/>
      </c>
      <c r="Y55" s="33" t="str">
        <f t="shared" si="5"/>
        <v/>
      </c>
      <c r="Z55" s="33" t="str">
        <f t="shared" si="6"/>
        <v/>
      </c>
      <c r="AA55" s="33" t="str">
        <f t="shared" si="7"/>
        <v/>
      </c>
      <c r="AB55" s="33" t="str">
        <f t="shared" si="8"/>
        <v/>
      </c>
      <c r="AC55" s="33" t="str">
        <f t="shared" si="9"/>
        <v/>
      </c>
    </row>
    <row r="56" spans="1:29" x14ac:dyDescent="0.25">
      <c r="A56" s="19" t="str">
        <v>Design,Application logic,Variables</v>
      </c>
      <c r="B56" t="s">
        <v>377</v>
      </c>
      <c r="C56" s="19" t="str" cm="1">
        <f t="array" ref="C56:E56">_xlfn.TEXTSPLIT(A56,",")</f>
        <v>Design</v>
      </c>
      <c r="D56" s="19" t="str">
        <v>Application logic</v>
      </c>
      <c r="E56" s="19" t="str">
        <v>Variables</v>
      </c>
      <c r="F56" s="36" t="str" cm="1">
        <f t="array" ref="F56">_xlfn.TEXTJOIN(",",TRUE,_xlfn._xlws.FILTER(CLASSIFICATION[Keyword], ($E56=CLASSIFICATION[Keyword Aggr])*($D56=CLASSIFICATION[Functional Scope Aggr])))</f>
        <v>Variables</v>
      </c>
      <c r="G56" s="32" t="str">
        <f t="shared" si="2"/>
        <v/>
      </c>
      <c r="H56" s="32" t="str">
        <f t="shared" si="3"/>
        <v/>
      </c>
      <c r="I56" s="32" t="str">
        <f t="shared" si="10"/>
        <v>Variables</v>
      </c>
      <c r="J56" s="33" t="str" cm="1">
        <f t="array" aca="1" ref="J5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($E56=CLASSIFICATION[[Keyword Aggr]:[Keyword Aggr]])*($D56=CLASSIFICATION[[Functional Scope Aggr]:[Functional Scope Aggr]])),
_xlpm._platform_keywords, _xlfn.TEXTSPLIT(SUBSTITUTE(SUBSTITUTE(VLOOKUP($D56,_xlpm._platform_range,3,FALSE),"+"&amp;CHAR(34),"+"),CHAR(34),""),", "),
_xlpm._exists, SUMPRODUCT(--ISNUMBER(MATCH(_xlpm._platform_keywords,_xlpm._original_keywords,0)))&gt;0,
_xlfn.IFS(AND(_xlpm._exists,LEFT($E56,1)="+"),"+",_xlpm._exists,"*",NOT(_xlpm._exists),"")
)</f>
        <v>*</v>
      </c>
      <c r="K56" s="33" t="str" cm="1">
        <f t="array" aca="1" ref="K5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($E56=CLASSIFICATION[[Keyword Aggr]:[Keyword Aggr]])*($D56=CLASSIFICATION[[Functional Scope Aggr]:[Functional Scope Aggr]])),
_xlpm._platform_keywords, _xlfn.TEXTSPLIT(SUBSTITUTE(SUBSTITUTE(VLOOKUP($D56,_xlpm._platform_range,3,FALSE),"+"&amp;CHAR(34),"+"),CHAR(34),""),", "),
_xlpm._exists, SUMPRODUCT(--ISNUMBER(MATCH(_xlpm._platform_keywords,_xlpm._original_keywords,0)))&gt;0,
_xlfn.IFS(AND(_xlpm._exists,LEFT($E56,1)="+"),"+",_xlpm._exists,"*",NOT(_xlpm._exists),"")
)</f>
        <v>*</v>
      </c>
      <c r="L56" s="33" t="str" cm="1">
        <f t="array" aca="1" ref="L5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($E56=CLASSIFICATION[[Keyword Aggr]:[Keyword Aggr]])*($D56=CLASSIFICATION[[Functional Scope Aggr]:[Functional Scope Aggr]])),
_xlpm._platform_keywords, _xlfn.TEXTSPLIT(SUBSTITUTE(SUBSTITUTE(VLOOKUP($D56,_xlpm._platform_range,3,FALSE),"+"&amp;CHAR(34),"+"),CHAR(34),""),", "),
_xlpm._exists, SUMPRODUCT(--ISNUMBER(MATCH(_xlpm._platform_keywords,_xlpm._original_keywords,0)))&gt;0,
_xlfn.IFS(AND(_xlpm._exists,LEFT($E56,1)="+"),"+",_xlpm._exists,"*",NOT(_xlpm._exists),"")
)</f>
        <v>*</v>
      </c>
      <c r="M56" s="33" t="str" cm="1">
        <f t="array" aca="1" ref="M5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($E56=CLASSIFICATION[[Keyword Aggr]:[Keyword Aggr]])*($D56=CLASSIFICATION[[Functional Scope Aggr]:[Functional Scope Aggr]])),
_xlpm._platform_keywords, _xlfn.TEXTSPLIT(SUBSTITUTE(SUBSTITUTE(VLOOKUP($D56,_xlpm._platform_range,3,FALSE),"+"&amp;CHAR(34),"+"),CHAR(34),""),", "),
_xlpm._exists, SUMPRODUCT(--ISNUMBER(MATCH(_xlpm._platform_keywords,_xlpm._original_keywords,0)))&gt;0,
_xlfn.IFS(AND(_xlpm._exists,LEFT($E56,1)="+"),"+",_xlpm._exists,"*",NOT(_xlpm._exists),"")
)</f>
        <v>*</v>
      </c>
      <c r="N56" s="33" t="str" cm="1">
        <f t="array" aca="1" ref="N5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($E56=CLASSIFICATION[[Keyword Aggr]:[Keyword Aggr]])*($D56=CLASSIFICATION[[Functional Scope Aggr]:[Functional Scope Aggr]])),
_xlpm._platform_keywords, _xlfn.TEXTSPLIT(SUBSTITUTE(SUBSTITUTE(VLOOKUP($D56,_xlpm._platform_range,3,FALSE),"+"&amp;CHAR(34),"+"),CHAR(34),""),", "),
_xlpm._exists, SUMPRODUCT(--ISNUMBER(MATCH(_xlpm._platform_keywords,_xlpm._original_keywords,0)))&gt;0,
_xlfn.IFS(AND(_xlpm._exists,LEFT($E56,1)="+"),"+",_xlpm._exists,"*",NOT(_xlpm._exists),"")
)</f>
        <v>*</v>
      </c>
      <c r="O56" s="33" t="str" cm="1">
        <f t="array" aca="1" ref="O5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($E56=CLASSIFICATION[[Keyword Aggr]:[Keyword Aggr]])*($D56=CLASSIFICATION[[Functional Scope Aggr]:[Functional Scope Aggr]])),
_xlpm._platform_keywords, _xlfn.TEXTSPLIT(SUBSTITUTE(SUBSTITUTE(VLOOKUP($D56,_xlpm._platform_range,3,FALSE),"+"&amp;CHAR(34),"+"),CHAR(34),""),", "),
_xlpm._exists, SUMPRODUCT(--ISNUMBER(MATCH(_xlpm._platform_keywords,_xlpm._original_keywords,0)))&gt;0,
_xlfn.IFS(AND(_xlpm._exists,LEFT($E56,1)="+"),"+",_xlpm._exists,"*",NOT(_xlpm._exists),"")
)</f>
        <v>*</v>
      </c>
      <c r="Q56" s="33" cm="1">
        <f t="array" aca="1" ref="Q5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($E56=CLASSIFICATION[[Keyword Aggr]:[Keyword Aggr]])*($D56=CLASSIFICATION[[Functional Scope Aggr]:[Functional Scope Aggr]])),
_xlpm._platform_keywords, _xlfn.TEXTSPLIT(SUBSTITUTE(SUBSTITUTE(VLOOKUP($D56,_xlpm._platform_range,3,FALSE),"+"&amp;CHAR(34),"+"),CHAR(34),""),", "),
_xlpm._exists, SUMPRODUCT(--ISNUMBER(MATCH(_xlpm._platform_keywords,_xlpm._original_keywords,0)))&gt;0,
_xlfn.IFS(_xlpm._exists,1,NOT(_xlpm._exists),"")
)</f>
        <v>1</v>
      </c>
      <c r="R56" s="33" cm="1">
        <f t="array" aca="1" ref="R5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($E56=CLASSIFICATION[[Keyword Aggr]:[Keyword Aggr]])*($D56=CLASSIFICATION[[Functional Scope Aggr]:[Functional Scope Aggr]])),
_xlpm._platform_keywords, _xlfn.TEXTSPLIT(SUBSTITUTE(SUBSTITUTE(VLOOKUP($D56,_xlpm._platform_range,3,FALSE),"+"&amp;CHAR(34),"+"),CHAR(34),""),", "),
_xlpm._exists, SUMPRODUCT(--ISNUMBER(MATCH(_xlpm._platform_keywords,_xlpm._original_keywords,0)))&gt;0,
_xlfn.IFS(_xlpm._exists,1,NOT(_xlpm._exists),"")
)</f>
        <v>1</v>
      </c>
      <c r="S56" s="33" cm="1">
        <f t="array" aca="1" ref="S5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($E56=CLASSIFICATION[[Keyword Aggr]:[Keyword Aggr]])*($D56=CLASSIFICATION[[Functional Scope Aggr]:[Functional Scope Aggr]])),
_xlpm._platform_keywords, _xlfn.TEXTSPLIT(SUBSTITUTE(SUBSTITUTE(VLOOKUP($D56,_xlpm._platform_range,3,FALSE),"+"&amp;CHAR(34),"+"),CHAR(34),""),", "),
_xlpm._exists, SUMPRODUCT(--ISNUMBER(MATCH(_xlpm._platform_keywords,_xlpm._original_keywords,0)))&gt;0,
_xlfn.IFS(_xlpm._exists,1,NOT(_xlpm._exists),"")
)</f>
        <v>1</v>
      </c>
      <c r="T56" s="33" cm="1">
        <f t="array" aca="1" ref="T5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($E56=CLASSIFICATION[[Keyword Aggr]:[Keyword Aggr]])*($D56=CLASSIFICATION[[Functional Scope Aggr]:[Functional Scope Aggr]])),
_xlpm._platform_keywords, _xlfn.TEXTSPLIT(SUBSTITUTE(SUBSTITUTE(VLOOKUP($D56,_xlpm._platform_range,3,FALSE),"+"&amp;CHAR(34),"+"),CHAR(34),""),", "),
_xlpm._exists, SUMPRODUCT(--ISNUMBER(MATCH(_xlpm._platform_keywords,_xlpm._original_keywords,0)))&gt;0,
_xlfn.IFS(_xlpm._exists,1,NOT(_xlpm._exists),"")
)</f>
        <v>1</v>
      </c>
      <c r="U56" s="33" cm="1">
        <f t="array" aca="1" ref="U5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($E56=CLASSIFICATION[[Keyword Aggr]:[Keyword Aggr]])*($D56=CLASSIFICATION[[Functional Scope Aggr]:[Functional Scope Aggr]])),
_xlpm._platform_keywords, _xlfn.TEXTSPLIT(SUBSTITUTE(SUBSTITUTE(VLOOKUP($D56,_xlpm._platform_range,3,FALSE),"+"&amp;CHAR(34),"+"),CHAR(34),""),", "),
_xlpm._exists, SUMPRODUCT(--ISNUMBER(MATCH(_xlpm._platform_keywords,_xlpm._original_keywords,0)))&gt;0,
_xlfn.IFS(_xlpm._exists,1,NOT(_xlpm._exists),"")
)</f>
        <v>1</v>
      </c>
      <c r="V56" s="33" cm="1">
        <f t="array" aca="1" ref="V5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($E56=CLASSIFICATION[[Keyword Aggr]:[Keyword Aggr]])*($D56=CLASSIFICATION[[Functional Scope Aggr]:[Functional Scope Aggr]])),
_xlpm._platform_keywords, _xlfn.TEXTSPLIT(SUBSTITUTE(SUBSTITUTE(VLOOKUP($D56,_xlpm._platform_range,3,FALSE),"+"&amp;CHAR(34),"+"),CHAR(34),""),", "),
_xlpm._exists, SUMPRODUCT(--ISNUMBER(MATCH(_xlpm._platform_keywords,_xlpm._original_keywords,0)))&gt;0,
_xlfn.IFS(_xlpm._exists,1,NOT(_xlpm._exists),"")
)</f>
        <v>1</v>
      </c>
      <c r="X56" s="33" t="str">
        <f t="shared" si="4"/>
        <v/>
      </c>
      <c r="Y56" s="33" t="str">
        <f t="shared" si="5"/>
        <v/>
      </c>
      <c r="Z56" s="33" t="str">
        <f t="shared" si="6"/>
        <v/>
      </c>
      <c r="AA56" s="33" t="str">
        <f t="shared" si="7"/>
        <v/>
      </c>
      <c r="AB56" s="33" t="str">
        <f t="shared" si="8"/>
        <v/>
      </c>
      <c r="AC56" s="33" t="str">
        <f t="shared" si="9"/>
        <v/>
      </c>
    </row>
    <row r="57" spans="1:29" x14ac:dyDescent="0.25">
      <c r="A57" s="19" t="str">
        <v>Development,Workflow design and development,+BPMN Process Model</v>
      </c>
      <c r="B57" t="s">
        <v>377</v>
      </c>
      <c r="C57" s="19" t="str" cm="1">
        <f t="array" ref="C57:E57">_xlfn.TEXTSPLIT(A57,",")</f>
        <v>Development</v>
      </c>
      <c r="D57" s="19" t="str">
        <v>Workflow design and development</v>
      </c>
      <c r="E57" s="19" t="str">
        <v>+BPMN Process Model</v>
      </c>
      <c r="F57" s="36" t="str" cm="1">
        <f t="array" ref="F57">_xlfn.TEXTJOIN(",",TRUE,_xlfn._xlws.FILTER(CLASSIFICATION[Keyword], ($E57=CLASSIFICATION[Keyword Aggr])*($D57=CLASSIFICATION[Functional Scope Aggr])))</f>
        <v>+BPMN Process Model</v>
      </c>
      <c r="G57" s="32" t="str">
        <f t="shared" si="2"/>
        <v>Development</v>
      </c>
      <c r="H57" s="32" t="str">
        <f t="shared" si="3"/>
        <v>Workflow design and development</v>
      </c>
      <c r="I57" s="32" t="str">
        <f t="shared" si="10"/>
        <v>+BPMN Process Model</v>
      </c>
      <c r="J57" s="33" t="str" cm="1">
        <f t="array" aca="1" ref="J5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($E57=CLASSIFICATION[[Keyword Aggr]:[Keyword Aggr]])*($D57=CLASSIFICATION[[Functional Scope Aggr]:[Functional Scope Aggr]])),
_xlpm._platform_keywords, _xlfn.TEXTSPLIT(SUBSTITUTE(SUBSTITUTE(VLOOKUP($D57,_xlpm._platform_range,3,FALSE),"+"&amp;CHAR(34),"+"),CHAR(34),""),", "),
_xlpm._exists, SUMPRODUCT(--ISNUMBER(MATCH(_xlpm._platform_keywords,_xlpm._original_keywords,0)))&gt;0,
_xlfn.IFS(AND(_xlpm._exists,LEFT($E57,1)="+"),"+",_xlpm._exists,"*",NOT(_xlpm._exists),"")
)</f>
        <v>+</v>
      </c>
      <c r="K57" s="33" t="str" cm="1">
        <f t="array" aca="1" ref="K5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($E57=CLASSIFICATION[[Keyword Aggr]:[Keyword Aggr]])*($D57=CLASSIFICATION[[Functional Scope Aggr]:[Functional Scope Aggr]])),
_xlpm._platform_keywords, _xlfn.TEXTSPLIT(SUBSTITUTE(SUBSTITUTE(VLOOKUP($D57,_xlpm._platform_range,3,FALSE),"+"&amp;CHAR(34),"+"),CHAR(34),""),", "),
_xlpm._exists, SUMPRODUCT(--ISNUMBER(MATCH(_xlpm._platform_keywords,_xlpm._original_keywords,0)))&gt;0,
_xlfn.IFS(AND(_xlpm._exists,LEFT($E57,1)="+"),"+",_xlpm._exists,"*",NOT(_xlpm._exists),"")
)</f>
        <v/>
      </c>
      <c r="L57" s="33" t="str" cm="1">
        <f t="array" aca="1" ref="L5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($E57=CLASSIFICATION[[Keyword Aggr]:[Keyword Aggr]])*($D57=CLASSIFICATION[[Functional Scope Aggr]:[Functional Scope Aggr]])),
_xlpm._platform_keywords, _xlfn.TEXTSPLIT(SUBSTITUTE(SUBSTITUTE(VLOOKUP($D57,_xlpm._platform_range,3,FALSE),"+"&amp;CHAR(34),"+"),CHAR(34),""),", "),
_xlpm._exists, SUMPRODUCT(--ISNUMBER(MATCH(_xlpm._platform_keywords,_xlpm._original_keywords,0)))&gt;0,
_xlfn.IFS(AND(_xlpm._exists,LEFT($E57,1)="+"),"+",_xlpm._exists,"*",NOT(_xlpm._exists),"")
)</f>
        <v/>
      </c>
      <c r="M57" s="33" t="str" cm="1">
        <f t="array" aca="1" ref="M5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($E57=CLASSIFICATION[[Keyword Aggr]:[Keyword Aggr]])*($D57=CLASSIFICATION[[Functional Scope Aggr]:[Functional Scope Aggr]])),
_xlpm._platform_keywords, _xlfn.TEXTSPLIT(SUBSTITUTE(SUBSTITUTE(VLOOKUP($D57,_xlpm._platform_range,3,FALSE),"+"&amp;CHAR(34),"+"),CHAR(34),""),", "),
_xlpm._exists, SUMPRODUCT(--ISNUMBER(MATCH(_xlpm._platform_keywords,_xlpm._original_keywords,0)))&gt;0,
_xlfn.IFS(AND(_xlpm._exists,LEFT($E57,1)="+"),"+",_xlpm._exists,"*",NOT(_xlpm._exists),"")
)</f>
        <v/>
      </c>
      <c r="N57" s="33" t="str" cm="1">
        <f t="array" aca="1" ref="N5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($E57=CLASSIFICATION[[Keyword Aggr]:[Keyword Aggr]])*($D57=CLASSIFICATION[[Functional Scope Aggr]:[Functional Scope Aggr]])),
_xlpm._platform_keywords, _xlfn.TEXTSPLIT(SUBSTITUTE(SUBSTITUTE(VLOOKUP($D57,_xlpm._platform_range,3,FALSE),"+"&amp;CHAR(34),"+"),CHAR(34),""),", "),
_xlpm._exists, SUMPRODUCT(--ISNUMBER(MATCH(_xlpm._platform_keywords,_xlpm._original_keywords,0)))&gt;0,
_xlfn.IFS(AND(_xlpm._exists,LEFT($E57,1)="+"),"+",_xlpm._exists,"*",NOT(_xlpm._exists),"")
)</f>
        <v/>
      </c>
      <c r="O57" s="33" t="str" cm="1">
        <f t="array" aca="1" ref="O5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($E57=CLASSIFICATION[[Keyword Aggr]:[Keyword Aggr]])*($D57=CLASSIFICATION[[Functional Scope Aggr]:[Functional Scope Aggr]])),
_xlpm._platform_keywords, _xlfn.TEXTSPLIT(SUBSTITUTE(SUBSTITUTE(VLOOKUP($D57,_xlpm._platform_range,3,FALSE),"+"&amp;CHAR(34),"+"),CHAR(34),""),", "),
_xlpm._exists, SUMPRODUCT(--ISNUMBER(MATCH(_xlpm._platform_keywords,_xlpm._original_keywords,0)))&gt;0,
_xlfn.IFS(AND(_xlpm._exists,LEFT($E57,1)="+"),"+",_xlpm._exists,"*",NOT(_xlpm._exists),"")
)</f>
        <v>+</v>
      </c>
      <c r="Q57" s="33" cm="1">
        <f t="array" aca="1" ref="Q5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($E57=CLASSIFICATION[[Keyword Aggr]:[Keyword Aggr]])*($D57=CLASSIFICATION[[Functional Scope Aggr]:[Functional Scope Aggr]])),
_xlpm._platform_keywords, _xlfn.TEXTSPLIT(SUBSTITUTE(SUBSTITUTE(VLOOKUP($D57,_xlpm._platform_range,3,FALSE),"+"&amp;CHAR(34),"+"),CHAR(34),""),", "),
_xlpm._exists, SUMPRODUCT(--ISNUMBER(MATCH(_xlpm._platform_keywords,_xlpm._original_keywords,0)))&gt;0,
_xlfn.IFS(_xlpm._exists,1,NOT(_xlpm._exists),"")
)</f>
        <v>1</v>
      </c>
      <c r="R57" s="33" t="str" cm="1">
        <f t="array" aca="1" ref="R5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($E57=CLASSIFICATION[[Keyword Aggr]:[Keyword Aggr]])*($D57=CLASSIFICATION[[Functional Scope Aggr]:[Functional Scope Aggr]])),
_xlpm._platform_keywords, _xlfn.TEXTSPLIT(SUBSTITUTE(SUBSTITUTE(VLOOKUP($D57,_xlpm._platform_range,3,FALSE),"+"&amp;CHAR(34),"+"),CHAR(34),""),", "),
_xlpm._exists, SUMPRODUCT(--ISNUMBER(MATCH(_xlpm._platform_keywords,_xlpm._original_keywords,0)))&gt;0,
_xlfn.IFS(_xlpm._exists,1,NOT(_xlpm._exists),"")
)</f>
        <v/>
      </c>
      <c r="S57" s="33" t="str" cm="1">
        <f t="array" aca="1" ref="S5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($E57=CLASSIFICATION[[Keyword Aggr]:[Keyword Aggr]])*($D57=CLASSIFICATION[[Functional Scope Aggr]:[Functional Scope Aggr]])),
_xlpm._platform_keywords, _xlfn.TEXTSPLIT(SUBSTITUTE(SUBSTITUTE(VLOOKUP($D57,_xlpm._platform_range,3,FALSE),"+"&amp;CHAR(34),"+"),CHAR(34),""),", "),
_xlpm._exists, SUMPRODUCT(--ISNUMBER(MATCH(_xlpm._platform_keywords,_xlpm._original_keywords,0)))&gt;0,
_xlfn.IFS(_xlpm._exists,1,NOT(_xlpm._exists),"")
)</f>
        <v/>
      </c>
      <c r="T57" s="33" t="str" cm="1">
        <f t="array" aca="1" ref="T5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($E57=CLASSIFICATION[[Keyword Aggr]:[Keyword Aggr]])*($D57=CLASSIFICATION[[Functional Scope Aggr]:[Functional Scope Aggr]])),
_xlpm._platform_keywords, _xlfn.TEXTSPLIT(SUBSTITUTE(SUBSTITUTE(VLOOKUP($D57,_xlpm._platform_range,3,FALSE),"+"&amp;CHAR(34),"+"),CHAR(34),""),", "),
_xlpm._exists, SUMPRODUCT(--ISNUMBER(MATCH(_xlpm._platform_keywords,_xlpm._original_keywords,0)))&gt;0,
_xlfn.IFS(_xlpm._exists,1,NOT(_xlpm._exists),"")
)</f>
        <v/>
      </c>
      <c r="U57" s="33" t="str" cm="1">
        <f t="array" aca="1" ref="U5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($E57=CLASSIFICATION[[Keyword Aggr]:[Keyword Aggr]])*($D57=CLASSIFICATION[[Functional Scope Aggr]:[Functional Scope Aggr]])),
_xlpm._platform_keywords, _xlfn.TEXTSPLIT(SUBSTITUTE(SUBSTITUTE(VLOOKUP($D57,_xlpm._platform_range,3,FALSE),"+"&amp;CHAR(34),"+"),CHAR(34),""),", "),
_xlpm._exists, SUMPRODUCT(--ISNUMBER(MATCH(_xlpm._platform_keywords,_xlpm._original_keywords,0)))&gt;0,
_xlfn.IFS(_xlpm._exists,1,NOT(_xlpm._exists),"")
)</f>
        <v/>
      </c>
      <c r="V57" s="33" cm="1">
        <f t="array" aca="1" ref="V5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($E57=CLASSIFICATION[[Keyword Aggr]:[Keyword Aggr]])*($D57=CLASSIFICATION[[Functional Scope Aggr]:[Functional Scope Aggr]])),
_xlpm._platform_keywords, _xlfn.TEXTSPLIT(SUBSTITUTE(SUBSTITUTE(VLOOKUP($D57,_xlpm._platform_range,3,FALSE),"+"&amp;CHAR(34),"+"),CHAR(34),""),", "),
_xlpm._exists, SUMPRODUCT(--ISNUMBER(MATCH(_xlpm._platform_keywords,_xlpm._original_keywords,0)))&gt;0,
_xlfn.IFS(_xlpm._exists,1,NOT(_xlpm._exists),"")
)</f>
        <v>1</v>
      </c>
      <c r="X57" s="33">
        <f t="shared" ca="1" si="4"/>
        <v>3</v>
      </c>
      <c r="Y57" s="33">
        <f t="shared" ca="1" si="5"/>
        <v>1</v>
      </c>
      <c r="Z57" s="33">
        <f t="shared" ca="1" si="6"/>
        <v>1</v>
      </c>
      <c r="AA57" s="33">
        <f t="shared" ca="1" si="7"/>
        <v>1</v>
      </c>
      <c r="AB57" s="33">
        <f t="shared" ca="1" si="8"/>
        <v>4</v>
      </c>
      <c r="AC57" s="33">
        <f t="shared" ca="1" si="9"/>
        <v>0</v>
      </c>
    </row>
    <row r="58" spans="1:29" x14ac:dyDescent="0.25">
      <c r="A58" s="19" t="str">
        <v>Development,Workflow design and development,Expressions</v>
      </c>
      <c r="B58" t="s">
        <v>377</v>
      </c>
      <c r="C58" s="19" t="str" cm="1">
        <f t="array" ref="C58:E58">_xlfn.TEXTSPLIT(A58,",")</f>
        <v>Development</v>
      </c>
      <c r="D58" s="19" t="str">
        <v>Workflow design and development</v>
      </c>
      <c r="E58" s="19" t="str">
        <v>Expressions</v>
      </c>
      <c r="F58" s="36" t="str" cm="1">
        <f t="array" ref="F58">_xlfn.TEXTJOIN(",",TRUE,_xlfn._xlws.FILTER(CLASSIFICATION[Keyword], ($E58=CLASSIFICATION[Keyword Aggr])*($D58=CLASSIFICATION[Functional Scope Aggr])))</f>
        <v>Conditional Expressions</v>
      </c>
      <c r="G58" s="32" t="str">
        <f t="shared" si="2"/>
        <v/>
      </c>
      <c r="H58" s="32" t="str">
        <f t="shared" si="3"/>
        <v/>
      </c>
      <c r="I58" s="32" t="str">
        <f t="shared" si="10"/>
        <v>Expressions</v>
      </c>
      <c r="J58" s="33" t="str" cm="1">
        <f t="array" aca="1" ref="J5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($E58=CLASSIFICATION[[Keyword Aggr]:[Keyword Aggr]])*($D58=CLASSIFICATION[[Functional Scope Aggr]:[Functional Scope Aggr]])),
_xlpm._platform_keywords, _xlfn.TEXTSPLIT(SUBSTITUTE(SUBSTITUTE(VLOOKUP($D58,_xlpm._platform_range,3,FALSE),"+"&amp;CHAR(34),"+"),CHAR(34),""),", "),
_xlpm._exists, SUMPRODUCT(--ISNUMBER(MATCH(_xlpm._platform_keywords,_xlpm._original_keywords,0)))&gt;0,
_xlfn.IFS(AND(_xlpm._exists,LEFT($E58,1)="+"),"+",_xlpm._exists,"*",NOT(_xlpm._exists),"")
)</f>
        <v/>
      </c>
      <c r="K58" s="33" t="str" cm="1">
        <f t="array" aca="1" ref="K5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($E58=CLASSIFICATION[[Keyword Aggr]:[Keyword Aggr]])*($D58=CLASSIFICATION[[Functional Scope Aggr]:[Functional Scope Aggr]])),
_xlpm._platform_keywords, _xlfn.TEXTSPLIT(SUBSTITUTE(SUBSTITUTE(VLOOKUP($D58,_xlpm._platform_range,3,FALSE),"+"&amp;CHAR(34),"+"),CHAR(34),""),", "),
_xlpm._exists, SUMPRODUCT(--ISNUMBER(MATCH(_xlpm._platform_keywords,_xlpm._original_keywords,0)))&gt;0,
_xlfn.IFS(AND(_xlpm._exists,LEFT($E58,1)="+"),"+",_xlpm._exists,"*",NOT(_xlpm._exists),"")
)</f>
        <v/>
      </c>
      <c r="L58" s="33" t="str" cm="1">
        <f t="array" aca="1" ref="L5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($E58=CLASSIFICATION[[Keyword Aggr]:[Keyword Aggr]])*($D58=CLASSIFICATION[[Functional Scope Aggr]:[Functional Scope Aggr]])),
_xlpm._platform_keywords, _xlfn.TEXTSPLIT(SUBSTITUTE(SUBSTITUTE(VLOOKUP($D58,_xlpm._platform_range,3,FALSE),"+"&amp;CHAR(34),"+"),CHAR(34),""),", "),
_xlpm._exists, SUMPRODUCT(--ISNUMBER(MATCH(_xlpm._platform_keywords,_xlpm._original_keywords,0)))&gt;0,
_xlfn.IFS(AND(_xlpm._exists,LEFT($E58,1)="+"),"+",_xlpm._exists,"*",NOT(_xlpm._exists),"")
)</f>
        <v/>
      </c>
      <c r="M58" s="33" t="str" cm="1">
        <f t="array" aca="1" ref="M5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($E58=CLASSIFICATION[[Keyword Aggr]:[Keyword Aggr]])*($D58=CLASSIFICATION[[Functional Scope Aggr]:[Functional Scope Aggr]])),
_xlpm._platform_keywords, _xlfn.TEXTSPLIT(SUBSTITUTE(SUBSTITUTE(VLOOKUP($D58,_xlpm._platform_range,3,FALSE),"+"&amp;CHAR(34),"+"),CHAR(34),""),", "),
_xlpm._exists, SUMPRODUCT(--ISNUMBER(MATCH(_xlpm._platform_keywords,_xlpm._original_keywords,0)))&gt;0,
_xlfn.IFS(AND(_xlpm._exists,LEFT($E58,1)="+"),"+",_xlpm._exists,"*",NOT(_xlpm._exists),"")
)</f>
        <v/>
      </c>
      <c r="N58" s="33" t="str" cm="1">
        <f t="array" aca="1" ref="N5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($E58=CLASSIFICATION[[Keyword Aggr]:[Keyword Aggr]])*($D58=CLASSIFICATION[[Functional Scope Aggr]:[Functional Scope Aggr]])),
_xlpm._platform_keywords, _xlfn.TEXTSPLIT(SUBSTITUTE(SUBSTITUTE(VLOOKUP($D58,_xlpm._platform_range,3,FALSE),"+"&amp;CHAR(34),"+"),CHAR(34),""),", "),
_xlpm._exists, SUMPRODUCT(--ISNUMBER(MATCH(_xlpm._platform_keywords,_xlpm._original_keywords,0)))&gt;0,
_xlfn.IFS(AND(_xlpm._exists,LEFT($E58,1)="+"),"+",_xlpm._exists,"*",NOT(_xlpm._exists),"")
)</f>
        <v>*</v>
      </c>
      <c r="O58" s="33" t="str" cm="1">
        <f t="array" aca="1" ref="O5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($E58=CLASSIFICATION[[Keyword Aggr]:[Keyword Aggr]])*($D58=CLASSIFICATION[[Functional Scope Aggr]:[Functional Scope Aggr]])),
_xlpm._platform_keywords, _xlfn.TEXTSPLIT(SUBSTITUTE(SUBSTITUTE(VLOOKUP($D58,_xlpm._platform_range,3,FALSE),"+"&amp;CHAR(34),"+"),CHAR(34),""),", "),
_xlpm._exists, SUMPRODUCT(--ISNUMBER(MATCH(_xlpm._platform_keywords,_xlpm._original_keywords,0)))&gt;0,
_xlfn.IFS(AND(_xlpm._exists,LEFT($E58,1)="+"),"+",_xlpm._exists,"*",NOT(_xlpm._exists),"")
)</f>
        <v/>
      </c>
      <c r="Q58" s="33" t="str" cm="1">
        <f t="array" aca="1" ref="Q5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($E58=CLASSIFICATION[[Keyword Aggr]:[Keyword Aggr]])*($D58=CLASSIFICATION[[Functional Scope Aggr]:[Functional Scope Aggr]])),
_xlpm._platform_keywords, _xlfn.TEXTSPLIT(SUBSTITUTE(SUBSTITUTE(VLOOKUP($D58,_xlpm._platform_range,3,FALSE),"+"&amp;CHAR(34),"+"),CHAR(34),""),", "),
_xlpm._exists, SUMPRODUCT(--ISNUMBER(MATCH(_xlpm._platform_keywords,_xlpm._original_keywords,0)))&gt;0,
_xlfn.IFS(_xlpm._exists,1,NOT(_xlpm._exists),"")
)</f>
        <v/>
      </c>
      <c r="R58" s="33" t="str" cm="1">
        <f t="array" aca="1" ref="R5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($E58=CLASSIFICATION[[Keyword Aggr]:[Keyword Aggr]])*($D58=CLASSIFICATION[[Functional Scope Aggr]:[Functional Scope Aggr]])),
_xlpm._platform_keywords, _xlfn.TEXTSPLIT(SUBSTITUTE(SUBSTITUTE(VLOOKUP($D58,_xlpm._platform_range,3,FALSE),"+"&amp;CHAR(34),"+"),CHAR(34),""),", "),
_xlpm._exists, SUMPRODUCT(--ISNUMBER(MATCH(_xlpm._platform_keywords,_xlpm._original_keywords,0)))&gt;0,
_xlfn.IFS(_xlpm._exists,1,NOT(_xlpm._exists),"")
)</f>
        <v/>
      </c>
      <c r="S58" s="33" t="str" cm="1">
        <f t="array" aca="1" ref="S5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($E58=CLASSIFICATION[[Keyword Aggr]:[Keyword Aggr]])*($D58=CLASSIFICATION[[Functional Scope Aggr]:[Functional Scope Aggr]])),
_xlpm._platform_keywords, _xlfn.TEXTSPLIT(SUBSTITUTE(SUBSTITUTE(VLOOKUP($D58,_xlpm._platform_range,3,FALSE),"+"&amp;CHAR(34),"+"),CHAR(34),""),", "),
_xlpm._exists, SUMPRODUCT(--ISNUMBER(MATCH(_xlpm._platform_keywords,_xlpm._original_keywords,0)))&gt;0,
_xlfn.IFS(_xlpm._exists,1,NOT(_xlpm._exists),"")
)</f>
        <v/>
      </c>
      <c r="T58" s="33" t="str" cm="1">
        <f t="array" aca="1" ref="T5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($E58=CLASSIFICATION[[Keyword Aggr]:[Keyword Aggr]])*($D58=CLASSIFICATION[[Functional Scope Aggr]:[Functional Scope Aggr]])),
_xlpm._platform_keywords, _xlfn.TEXTSPLIT(SUBSTITUTE(SUBSTITUTE(VLOOKUP($D58,_xlpm._platform_range,3,FALSE),"+"&amp;CHAR(34),"+"),CHAR(34),""),", "),
_xlpm._exists, SUMPRODUCT(--ISNUMBER(MATCH(_xlpm._platform_keywords,_xlpm._original_keywords,0)))&gt;0,
_xlfn.IFS(_xlpm._exists,1,NOT(_xlpm._exists),"")
)</f>
        <v/>
      </c>
      <c r="U58" s="33" cm="1">
        <f t="array" aca="1" ref="U5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($E58=CLASSIFICATION[[Keyword Aggr]:[Keyword Aggr]])*($D58=CLASSIFICATION[[Functional Scope Aggr]:[Functional Scope Aggr]])),
_xlpm._platform_keywords, _xlfn.TEXTSPLIT(SUBSTITUTE(SUBSTITUTE(VLOOKUP($D58,_xlpm._platform_range,3,FALSE),"+"&amp;CHAR(34),"+"),CHAR(34),""),", "),
_xlpm._exists, SUMPRODUCT(--ISNUMBER(MATCH(_xlpm._platform_keywords,_xlpm._original_keywords,0)))&gt;0,
_xlfn.IFS(_xlpm._exists,1,NOT(_xlpm._exists),"")
)</f>
        <v>1</v>
      </c>
      <c r="V58" s="33" t="str" cm="1">
        <f t="array" aca="1" ref="V5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($E58=CLASSIFICATION[[Keyword Aggr]:[Keyword Aggr]])*($D58=CLASSIFICATION[[Functional Scope Aggr]:[Functional Scope Aggr]])),
_xlpm._platform_keywords, _xlfn.TEXTSPLIT(SUBSTITUTE(SUBSTITUTE(VLOOKUP($D58,_xlpm._platform_range,3,FALSE),"+"&amp;CHAR(34),"+"),CHAR(34),""),", "),
_xlpm._exists, SUMPRODUCT(--ISNUMBER(MATCH(_xlpm._platform_keywords,_xlpm._original_keywords,0)))&gt;0,
_xlfn.IFS(_xlpm._exists,1,NOT(_xlpm._exists),"")
)</f>
        <v/>
      </c>
      <c r="X58" s="33" t="str">
        <f t="shared" si="4"/>
        <v/>
      </c>
      <c r="Y58" s="33" t="str">
        <f t="shared" si="5"/>
        <v/>
      </c>
      <c r="Z58" s="33" t="str">
        <f t="shared" si="6"/>
        <v/>
      </c>
      <c r="AA58" s="33" t="str">
        <f t="shared" si="7"/>
        <v/>
      </c>
      <c r="AB58" s="33" t="str">
        <f t="shared" si="8"/>
        <v/>
      </c>
      <c r="AC58" s="33" t="str">
        <f t="shared" si="9"/>
        <v/>
      </c>
    </row>
    <row r="59" spans="1:29" x14ac:dyDescent="0.25">
      <c r="A59" s="19" t="str">
        <v>Development,Workflow design and development,Custom Process Model</v>
      </c>
      <c r="B59" t="s">
        <v>377</v>
      </c>
      <c r="C59" s="19" t="str" cm="1">
        <f t="array" ref="C59:E59">_xlfn.TEXTSPLIT(A59,",")</f>
        <v>Development</v>
      </c>
      <c r="D59" s="19" t="str">
        <v>Workflow design and development</v>
      </c>
      <c r="E59" s="19" t="str">
        <v>Custom Process Model</v>
      </c>
      <c r="F59" s="36" t="str" cm="1">
        <f t="array" ref="F59">_xlfn.TEXTJOIN(",",TRUE,_xlfn._xlws.FILTER(CLASSIFICATION[Keyword], ($E59=CLASSIFICATION[Keyword Aggr])*($D59=CLASSIFICATION[Functional Scope Aggr])))</f>
        <v>Custom Process Model,Custom Process Model (AppSheet Automation),Custom Process Model (Business Process Flows)</v>
      </c>
      <c r="G59" s="32" t="str">
        <f t="shared" si="2"/>
        <v/>
      </c>
      <c r="H59" s="32" t="str">
        <f t="shared" si="3"/>
        <v/>
      </c>
      <c r="I59" s="32" t="str">
        <f t="shared" si="10"/>
        <v>Custom Process Model</v>
      </c>
      <c r="J59" s="33" t="str" cm="1">
        <f t="array" aca="1" ref="J5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($E59=CLASSIFICATION[[Keyword Aggr]:[Keyword Aggr]])*($D59=CLASSIFICATION[[Functional Scope Aggr]:[Functional Scope Aggr]])),
_xlpm._platform_keywords, _xlfn.TEXTSPLIT(SUBSTITUTE(SUBSTITUTE(VLOOKUP($D59,_xlpm._platform_range,3,FALSE),"+"&amp;CHAR(34),"+"),CHAR(34),""),", "),
_xlpm._exists, SUMPRODUCT(--ISNUMBER(MATCH(_xlpm._platform_keywords,_xlpm._original_keywords,0)))&gt;0,
_xlfn.IFS(AND(_xlpm._exists,LEFT($E59,1)="+"),"+",_xlpm._exists,"*",NOT(_xlpm._exists),"")
)</f>
        <v/>
      </c>
      <c r="K59" s="33" t="str" cm="1">
        <f t="array" aca="1" ref="K5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($E59=CLASSIFICATION[[Keyword Aggr]:[Keyword Aggr]])*($D59=CLASSIFICATION[[Functional Scope Aggr]:[Functional Scope Aggr]])),
_xlpm._platform_keywords, _xlfn.TEXTSPLIT(SUBSTITUTE(SUBSTITUTE(VLOOKUP($D59,_xlpm._platform_range,3,FALSE),"+"&amp;CHAR(34),"+"),CHAR(34),""),", "),
_xlpm._exists, SUMPRODUCT(--ISNUMBER(MATCH(_xlpm._platform_keywords,_xlpm._original_keywords,0)))&gt;0,
_xlfn.IFS(AND(_xlpm._exists,LEFT($E59,1)="+"),"+",_xlpm._exists,"*",NOT(_xlpm._exists),"")
)</f>
        <v>*</v>
      </c>
      <c r="L59" s="33" t="str" cm="1">
        <f t="array" aca="1" ref="L5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($E59=CLASSIFICATION[[Keyword Aggr]:[Keyword Aggr]])*($D59=CLASSIFICATION[[Functional Scope Aggr]:[Functional Scope Aggr]])),
_xlpm._platform_keywords, _xlfn.TEXTSPLIT(SUBSTITUTE(SUBSTITUTE(VLOOKUP($D59,_xlpm._platform_range,3,FALSE),"+"&amp;CHAR(34),"+"),CHAR(34),""),", "),
_xlpm._exists, SUMPRODUCT(--ISNUMBER(MATCH(_xlpm._platform_keywords,_xlpm._original_keywords,0)))&gt;0,
_xlfn.IFS(AND(_xlpm._exists,LEFT($E59,1)="+"),"+",_xlpm._exists,"*",NOT(_xlpm._exists),"")
)</f>
        <v>*</v>
      </c>
      <c r="M59" s="33" t="str" cm="1">
        <f t="array" aca="1" ref="M5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($E59=CLASSIFICATION[[Keyword Aggr]:[Keyword Aggr]])*($D59=CLASSIFICATION[[Functional Scope Aggr]:[Functional Scope Aggr]])),
_xlpm._platform_keywords, _xlfn.TEXTSPLIT(SUBSTITUTE(SUBSTITUTE(VLOOKUP($D59,_xlpm._platform_range,3,FALSE),"+"&amp;CHAR(34),"+"),CHAR(34),""),", "),
_xlpm._exists, SUMPRODUCT(--ISNUMBER(MATCH(_xlpm._platform_keywords,_xlpm._original_keywords,0)))&gt;0,
_xlfn.IFS(AND(_xlpm._exists,LEFT($E59,1)="+"),"+",_xlpm._exists,"*",NOT(_xlpm._exists),"")
)</f>
        <v>*</v>
      </c>
      <c r="N59" s="33" t="str" cm="1">
        <f t="array" aca="1" ref="N5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($E59=CLASSIFICATION[[Keyword Aggr]:[Keyword Aggr]])*($D59=CLASSIFICATION[[Functional Scope Aggr]:[Functional Scope Aggr]])),
_xlpm._platform_keywords, _xlfn.TEXTSPLIT(SUBSTITUTE(SUBSTITUTE(VLOOKUP($D59,_xlpm._platform_range,3,FALSE),"+"&amp;CHAR(34),"+"),CHAR(34),""),", "),
_xlpm._exists, SUMPRODUCT(--ISNUMBER(MATCH(_xlpm._platform_keywords,_xlpm._original_keywords,0)))&gt;0,
_xlfn.IFS(AND(_xlpm._exists,LEFT($E59,1)="+"),"+",_xlpm._exists,"*",NOT(_xlpm._exists),"")
)</f>
        <v>*</v>
      </c>
      <c r="O59" s="33" t="str" cm="1">
        <f t="array" aca="1" ref="O5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($E59=CLASSIFICATION[[Keyword Aggr]:[Keyword Aggr]])*($D59=CLASSIFICATION[[Functional Scope Aggr]:[Functional Scope Aggr]])),
_xlpm._platform_keywords, _xlfn.TEXTSPLIT(SUBSTITUTE(SUBSTITUTE(VLOOKUP($D59,_xlpm._platform_range,3,FALSE),"+"&amp;CHAR(34),"+"),CHAR(34),""),", "),
_xlpm._exists, SUMPRODUCT(--ISNUMBER(MATCH(_xlpm._platform_keywords,_xlpm._original_keywords,0)))&gt;0,
_xlfn.IFS(AND(_xlpm._exists,LEFT($E59,1)="+"),"+",_xlpm._exists,"*",NOT(_xlpm._exists),"")
)</f>
        <v/>
      </c>
      <c r="Q59" s="33" t="str" cm="1">
        <f t="array" aca="1" ref="Q5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($E59=CLASSIFICATION[[Keyword Aggr]:[Keyword Aggr]])*($D59=CLASSIFICATION[[Functional Scope Aggr]:[Functional Scope Aggr]])),
_xlpm._platform_keywords, _xlfn.TEXTSPLIT(SUBSTITUTE(SUBSTITUTE(VLOOKUP($D59,_xlpm._platform_range,3,FALSE),"+"&amp;CHAR(34),"+"),CHAR(34),""),", "),
_xlpm._exists, SUMPRODUCT(--ISNUMBER(MATCH(_xlpm._platform_keywords,_xlpm._original_keywords,0)))&gt;0,
_xlfn.IFS(_xlpm._exists,1,NOT(_xlpm._exists),"")
)</f>
        <v/>
      </c>
      <c r="R59" s="33" cm="1">
        <f t="array" aca="1" ref="R5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($E59=CLASSIFICATION[[Keyword Aggr]:[Keyword Aggr]])*($D59=CLASSIFICATION[[Functional Scope Aggr]:[Functional Scope Aggr]])),
_xlpm._platform_keywords, _xlfn.TEXTSPLIT(SUBSTITUTE(SUBSTITUTE(VLOOKUP($D59,_xlpm._platform_range,3,FALSE),"+"&amp;CHAR(34),"+"),CHAR(34),""),", "),
_xlpm._exists, SUMPRODUCT(--ISNUMBER(MATCH(_xlpm._platform_keywords,_xlpm._original_keywords,0)))&gt;0,
_xlfn.IFS(_xlpm._exists,1,NOT(_xlpm._exists),"")
)</f>
        <v>1</v>
      </c>
      <c r="S59" s="33" cm="1">
        <f t="array" aca="1" ref="S5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($E59=CLASSIFICATION[[Keyword Aggr]:[Keyword Aggr]])*($D59=CLASSIFICATION[[Functional Scope Aggr]:[Functional Scope Aggr]])),
_xlpm._platform_keywords, _xlfn.TEXTSPLIT(SUBSTITUTE(SUBSTITUTE(VLOOKUP($D59,_xlpm._platform_range,3,FALSE),"+"&amp;CHAR(34),"+"),CHAR(34),""),", "),
_xlpm._exists, SUMPRODUCT(--ISNUMBER(MATCH(_xlpm._platform_keywords,_xlpm._original_keywords,0)))&gt;0,
_xlfn.IFS(_xlpm._exists,1,NOT(_xlpm._exists),"")
)</f>
        <v>1</v>
      </c>
      <c r="T59" s="33" cm="1">
        <f t="array" aca="1" ref="T5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($E59=CLASSIFICATION[[Keyword Aggr]:[Keyword Aggr]])*($D59=CLASSIFICATION[[Functional Scope Aggr]:[Functional Scope Aggr]])),
_xlpm._platform_keywords, _xlfn.TEXTSPLIT(SUBSTITUTE(SUBSTITUTE(VLOOKUP($D59,_xlpm._platform_range,3,FALSE),"+"&amp;CHAR(34),"+"),CHAR(34),""),", "),
_xlpm._exists, SUMPRODUCT(--ISNUMBER(MATCH(_xlpm._platform_keywords,_xlpm._original_keywords,0)))&gt;0,
_xlfn.IFS(_xlpm._exists,1,NOT(_xlpm._exists),"")
)</f>
        <v>1</v>
      </c>
      <c r="U59" s="33" cm="1">
        <f t="array" aca="1" ref="U5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($E59=CLASSIFICATION[[Keyword Aggr]:[Keyword Aggr]])*($D59=CLASSIFICATION[[Functional Scope Aggr]:[Functional Scope Aggr]])),
_xlpm._platform_keywords, _xlfn.TEXTSPLIT(SUBSTITUTE(SUBSTITUTE(VLOOKUP($D59,_xlpm._platform_range,3,FALSE),"+"&amp;CHAR(34),"+"),CHAR(34),""),", "),
_xlpm._exists, SUMPRODUCT(--ISNUMBER(MATCH(_xlpm._platform_keywords,_xlpm._original_keywords,0)))&gt;0,
_xlfn.IFS(_xlpm._exists,1,NOT(_xlpm._exists),"")
)</f>
        <v>1</v>
      </c>
      <c r="V59" s="33" t="str" cm="1">
        <f t="array" aca="1" ref="V5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($E59=CLASSIFICATION[[Keyword Aggr]:[Keyword Aggr]])*($D59=CLASSIFICATION[[Functional Scope Aggr]:[Functional Scope Aggr]])),
_xlpm._platform_keywords, _xlfn.TEXTSPLIT(SUBSTITUTE(SUBSTITUTE(VLOOKUP($D59,_xlpm._platform_range,3,FALSE),"+"&amp;CHAR(34),"+"),CHAR(34),""),", "),
_xlpm._exists, SUMPRODUCT(--ISNUMBER(MATCH(_xlpm._platform_keywords,_xlpm._original_keywords,0)))&gt;0,
_xlfn.IFS(_xlpm._exists,1,NOT(_xlpm._exists),"")
)</f>
        <v/>
      </c>
      <c r="X59" s="33" t="str">
        <f t="shared" si="4"/>
        <v/>
      </c>
      <c r="Y59" s="33" t="str">
        <f t="shared" si="5"/>
        <v/>
      </c>
      <c r="Z59" s="33" t="str">
        <f t="shared" si="6"/>
        <v/>
      </c>
      <c r="AA59" s="33" t="str">
        <f t="shared" si="7"/>
        <v/>
      </c>
      <c r="AB59" s="33" t="str">
        <f t="shared" si="8"/>
        <v/>
      </c>
      <c r="AC59" s="33" t="str">
        <f t="shared" si="9"/>
        <v/>
      </c>
    </row>
    <row r="60" spans="1:29" x14ac:dyDescent="0.25">
      <c r="A60" s="19" t="str">
        <v>Development,Workflow design and development,Events</v>
      </c>
      <c r="B60" t="s">
        <v>377</v>
      </c>
      <c r="C60" s="19" t="str" cm="1">
        <f t="array" ref="C60:E60">_xlfn.TEXTSPLIT(A60,",")</f>
        <v>Development</v>
      </c>
      <c r="D60" s="19" t="str">
        <v>Workflow design and development</v>
      </c>
      <c r="E60" s="19" t="str">
        <v>Events</v>
      </c>
      <c r="F60" s="36" t="str" cm="1">
        <f t="array" ref="F60">_xlfn.TEXTJOIN(",",TRUE,_xlfn._xlws.FILTER(CLASSIFICATION[Keyword], ($E60=CLASSIFICATION[Keyword Aggr])*($D60=CLASSIFICATION[Functional Scope Aggr])))</f>
        <v>Events</v>
      </c>
      <c r="G60" s="32" t="str">
        <f t="shared" si="2"/>
        <v/>
      </c>
      <c r="H60" s="32" t="str">
        <f t="shared" si="3"/>
        <v/>
      </c>
      <c r="I60" s="32" t="str">
        <f t="shared" si="10"/>
        <v>Events</v>
      </c>
      <c r="J60" s="33" t="str" cm="1">
        <f t="array" aca="1" ref="J6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($E60=CLASSIFICATION[[Keyword Aggr]:[Keyword Aggr]])*($D60=CLASSIFICATION[[Functional Scope Aggr]:[Functional Scope Aggr]])),
_xlpm._platform_keywords, _xlfn.TEXTSPLIT(SUBSTITUTE(SUBSTITUTE(VLOOKUP($D60,_xlpm._platform_range,3,FALSE),"+"&amp;CHAR(34),"+"),CHAR(34),""),", "),
_xlpm._exists, SUMPRODUCT(--ISNUMBER(MATCH(_xlpm._platform_keywords,_xlpm._original_keywords,0)))&gt;0,
_xlfn.IFS(AND(_xlpm._exists,LEFT($E60,1)="+"),"+",_xlpm._exists,"*",NOT(_xlpm._exists),"")
)</f>
        <v>*</v>
      </c>
      <c r="K60" s="33" t="str" cm="1">
        <f t="array" aca="1" ref="K6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($E60=CLASSIFICATION[[Keyword Aggr]:[Keyword Aggr]])*($D60=CLASSIFICATION[[Functional Scope Aggr]:[Functional Scope Aggr]])),
_xlpm._platform_keywords, _xlfn.TEXTSPLIT(SUBSTITUTE(SUBSTITUTE(VLOOKUP($D60,_xlpm._platform_range,3,FALSE),"+"&amp;CHAR(34),"+"),CHAR(34),""),", "),
_xlpm._exists, SUMPRODUCT(--ISNUMBER(MATCH(_xlpm._platform_keywords,_xlpm._original_keywords,0)))&gt;0,
_xlfn.IFS(AND(_xlpm._exists,LEFT($E60,1)="+"),"+",_xlpm._exists,"*",NOT(_xlpm._exists),"")
)</f>
        <v/>
      </c>
      <c r="L60" s="33" t="str" cm="1">
        <f t="array" aca="1" ref="L6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($E60=CLASSIFICATION[[Keyword Aggr]:[Keyword Aggr]])*($D60=CLASSIFICATION[[Functional Scope Aggr]:[Functional Scope Aggr]])),
_xlpm._platform_keywords, _xlfn.TEXTSPLIT(SUBSTITUTE(SUBSTITUTE(VLOOKUP($D60,_xlpm._platform_range,3,FALSE),"+"&amp;CHAR(34),"+"),CHAR(34),""),", "),
_xlpm._exists, SUMPRODUCT(--ISNUMBER(MATCH(_xlpm._platform_keywords,_xlpm._original_keywords,0)))&gt;0,
_xlfn.IFS(AND(_xlpm._exists,LEFT($E60,1)="+"),"+",_xlpm._exists,"*",NOT(_xlpm._exists),"")
)</f>
        <v/>
      </c>
      <c r="M60" s="33" t="str" cm="1">
        <f t="array" aca="1" ref="M6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($E60=CLASSIFICATION[[Keyword Aggr]:[Keyword Aggr]])*($D60=CLASSIFICATION[[Functional Scope Aggr]:[Functional Scope Aggr]])),
_xlpm._platform_keywords, _xlfn.TEXTSPLIT(SUBSTITUTE(SUBSTITUTE(VLOOKUP($D60,_xlpm._platform_range,3,FALSE),"+"&amp;CHAR(34),"+"),CHAR(34),""),", "),
_xlpm._exists, SUMPRODUCT(--ISNUMBER(MATCH(_xlpm._platform_keywords,_xlpm._original_keywords,0)))&gt;0,
_xlfn.IFS(AND(_xlpm._exists,LEFT($E60,1)="+"),"+",_xlpm._exists,"*",NOT(_xlpm._exists),"")
)</f>
        <v/>
      </c>
      <c r="N60" s="33" t="str" cm="1">
        <f t="array" aca="1" ref="N6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($E60=CLASSIFICATION[[Keyword Aggr]:[Keyword Aggr]])*($D60=CLASSIFICATION[[Functional Scope Aggr]:[Functional Scope Aggr]])),
_xlpm._platform_keywords, _xlfn.TEXTSPLIT(SUBSTITUTE(SUBSTITUTE(VLOOKUP($D60,_xlpm._platform_range,3,FALSE),"+"&amp;CHAR(34),"+"),CHAR(34),""),", "),
_xlpm._exists, SUMPRODUCT(--ISNUMBER(MATCH(_xlpm._platform_keywords,_xlpm._original_keywords,0)))&gt;0,
_xlfn.IFS(AND(_xlpm._exists,LEFT($E60,1)="+"),"+",_xlpm._exists,"*",NOT(_xlpm._exists),"")
)</f>
        <v/>
      </c>
      <c r="O60" s="33" t="str" cm="1">
        <f t="array" aca="1" ref="O6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($E60=CLASSIFICATION[[Keyword Aggr]:[Keyword Aggr]])*($D60=CLASSIFICATION[[Functional Scope Aggr]:[Functional Scope Aggr]])),
_xlpm._platform_keywords, _xlfn.TEXTSPLIT(SUBSTITUTE(SUBSTITUTE(VLOOKUP($D60,_xlpm._platform_range,3,FALSE),"+"&amp;CHAR(34),"+"),CHAR(34),""),", "),
_xlpm._exists, SUMPRODUCT(--ISNUMBER(MATCH(_xlpm._platform_keywords,_xlpm._original_keywords,0)))&gt;0,
_xlfn.IFS(AND(_xlpm._exists,LEFT($E60,1)="+"),"+",_xlpm._exists,"*",NOT(_xlpm._exists),"")
)</f>
        <v/>
      </c>
      <c r="Q60" s="33" cm="1">
        <f t="array" aca="1" ref="Q6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($E60=CLASSIFICATION[[Keyword Aggr]:[Keyword Aggr]])*($D60=CLASSIFICATION[[Functional Scope Aggr]:[Functional Scope Aggr]])),
_xlpm._platform_keywords, _xlfn.TEXTSPLIT(SUBSTITUTE(SUBSTITUTE(VLOOKUP($D60,_xlpm._platform_range,3,FALSE),"+"&amp;CHAR(34),"+"),CHAR(34),""),", "),
_xlpm._exists, SUMPRODUCT(--ISNUMBER(MATCH(_xlpm._platform_keywords,_xlpm._original_keywords,0)))&gt;0,
_xlfn.IFS(_xlpm._exists,1,NOT(_xlpm._exists),"")
)</f>
        <v>1</v>
      </c>
      <c r="R60" s="33" t="str" cm="1">
        <f t="array" aca="1" ref="R6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($E60=CLASSIFICATION[[Keyword Aggr]:[Keyword Aggr]])*($D60=CLASSIFICATION[[Functional Scope Aggr]:[Functional Scope Aggr]])),
_xlpm._platform_keywords, _xlfn.TEXTSPLIT(SUBSTITUTE(SUBSTITUTE(VLOOKUP($D60,_xlpm._platform_range,3,FALSE),"+"&amp;CHAR(34),"+"),CHAR(34),""),", "),
_xlpm._exists, SUMPRODUCT(--ISNUMBER(MATCH(_xlpm._platform_keywords,_xlpm._original_keywords,0)))&gt;0,
_xlfn.IFS(_xlpm._exists,1,NOT(_xlpm._exists),"")
)</f>
        <v/>
      </c>
      <c r="S60" s="33" t="str" cm="1">
        <f t="array" aca="1" ref="S6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($E60=CLASSIFICATION[[Keyword Aggr]:[Keyword Aggr]])*($D60=CLASSIFICATION[[Functional Scope Aggr]:[Functional Scope Aggr]])),
_xlpm._platform_keywords, _xlfn.TEXTSPLIT(SUBSTITUTE(SUBSTITUTE(VLOOKUP($D60,_xlpm._platform_range,3,FALSE),"+"&amp;CHAR(34),"+"),CHAR(34),""),", "),
_xlpm._exists, SUMPRODUCT(--ISNUMBER(MATCH(_xlpm._platform_keywords,_xlpm._original_keywords,0)))&gt;0,
_xlfn.IFS(_xlpm._exists,1,NOT(_xlpm._exists),"")
)</f>
        <v/>
      </c>
      <c r="T60" s="33" t="str" cm="1">
        <f t="array" aca="1" ref="T6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($E60=CLASSIFICATION[[Keyword Aggr]:[Keyword Aggr]])*($D60=CLASSIFICATION[[Functional Scope Aggr]:[Functional Scope Aggr]])),
_xlpm._platform_keywords, _xlfn.TEXTSPLIT(SUBSTITUTE(SUBSTITUTE(VLOOKUP($D60,_xlpm._platform_range,3,FALSE),"+"&amp;CHAR(34),"+"),CHAR(34),""),", "),
_xlpm._exists, SUMPRODUCT(--ISNUMBER(MATCH(_xlpm._platform_keywords,_xlpm._original_keywords,0)))&gt;0,
_xlfn.IFS(_xlpm._exists,1,NOT(_xlpm._exists),"")
)</f>
        <v/>
      </c>
      <c r="U60" s="33" t="str" cm="1">
        <f t="array" aca="1" ref="U6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($E60=CLASSIFICATION[[Keyword Aggr]:[Keyword Aggr]])*($D60=CLASSIFICATION[[Functional Scope Aggr]:[Functional Scope Aggr]])),
_xlpm._platform_keywords, _xlfn.TEXTSPLIT(SUBSTITUTE(SUBSTITUTE(VLOOKUP($D60,_xlpm._platform_range,3,FALSE),"+"&amp;CHAR(34),"+"),CHAR(34),""),", "),
_xlpm._exists, SUMPRODUCT(--ISNUMBER(MATCH(_xlpm._platform_keywords,_xlpm._original_keywords,0)))&gt;0,
_xlfn.IFS(_xlpm._exists,1,NOT(_xlpm._exists),"")
)</f>
        <v/>
      </c>
      <c r="V60" s="33" t="str" cm="1">
        <f t="array" aca="1" ref="V6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($E60=CLASSIFICATION[[Keyword Aggr]:[Keyword Aggr]])*($D60=CLASSIFICATION[[Functional Scope Aggr]:[Functional Scope Aggr]])),
_xlpm._platform_keywords, _xlfn.TEXTSPLIT(SUBSTITUTE(SUBSTITUTE(VLOOKUP($D60,_xlpm._platform_range,3,FALSE),"+"&amp;CHAR(34),"+"),CHAR(34),""),", "),
_xlpm._exists, SUMPRODUCT(--ISNUMBER(MATCH(_xlpm._platform_keywords,_xlpm._original_keywords,0)))&gt;0,
_xlfn.IFS(_xlpm._exists,1,NOT(_xlpm._exists),"")
)</f>
        <v/>
      </c>
      <c r="X60" s="33" t="str">
        <f t="shared" si="4"/>
        <v/>
      </c>
      <c r="Y60" s="33" t="str">
        <f t="shared" si="5"/>
        <v/>
      </c>
      <c r="Z60" s="33" t="str">
        <f t="shared" si="6"/>
        <v/>
      </c>
      <c r="AA60" s="33" t="str">
        <f t="shared" si="7"/>
        <v/>
      </c>
      <c r="AB60" s="33" t="str">
        <f t="shared" si="8"/>
        <v/>
      </c>
      <c r="AC60" s="33" t="str">
        <f t="shared" si="9"/>
        <v/>
      </c>
    </row>
    <row r="61" spans="1:29" x14ac:dyDescent="0.25">
      <c r="A61" s="19" t="str">
        <v>Development,Workflow design and development,Java API</v>
      </c>
      <c r="B61" t="s">
        <v>377</v>
      </c>
      <c r="C61" s="19" t="str" cm="1">
        <f t="array" ref="C61:E61">_xlfn.TEXTSPLIT(A61,",")</f>
        <v>Development</v>
      </c>
      <c r="D61" s="19" t="str">
        <v>Workflow design and development</v>
      </c>
      <c r="E61" s="19" t="str">
        <v>Java API</v>
      </c>
      <c r="F61" s="36" t="str" cm="1">
        <f t="array" ref="F61">_xlfn.TEXTJOIN(",",TRUE,_xlfn._xlws.FILTER(CLASSIFICATION[Keyword], ($E61=CLASSIFICATION[Keyword Aggr])*($D61=CLASSIFICATION[Functional Scope Aggr])))</f>
        <v>Java API</v>
      </c>
      <c r="G61" s="32" t="str">
        <f t="shared" si="2"/>
        <v/>
      </c>
      <c r="H61" s="32" t="str">
        <f t="shared" si="3"/>
        <v/>
      </c>
      <c r="I61" s="32" t="str">
        <f t="shared" si="10"/>
        <v>Java API</v>
      </c>
      <c r="J61" s="33" t="str" cm="1">
        <f t="array" aca="1" ref="J6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($E61=CLASSIFICATION[[Keyword Aggr]:[Keyword Aggr]])*($D61=CLASSIFICATION[[Functional Scope Aggr]:[Functional Scope Aggr]])),
_xlpm._platform_keywords, _xlfn.TEXTSPLIT(SUBSTITUTE(SUBSTITUTE(VLOOKUP($D61,_xlpm._platform_range,3,FALSE),"+"&amp;CHAR(34),"+"),CHAR(34),""),", "),
_xlpm._exists, SUMPRODUCT(--ISNUMBER(MATCH(_xlpm._platform_keywords,_xlpm._original_keywords,0)))&gt;0,
_xlfn.IFS(AND(_xlpm._exists,LEFT($E61,1)="+"),"+",_xlpm._exists,"*",NOT(_xlpm._exists),"")
)</f>
        <v>*</v>
      </c>
      <c r="K61" s="33" t="str" cm="1">
        <f t="array" aca="1" ref="K6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($E61=CLASSIFICATION[[Keyword Aggr]:[Keyword Aggr]])*($D61=CLASSIFICATION[[Functional Scope Aggr]:[Functional Scope Aggr]])),
_xlpm._platform_keywords, _xlfn.TEXTSPLIT(SUBSTITUTE(SUBSTITUTE(VLOOKUP($D61,_xlpm._platform_range,3,FALSE),"+"&amp;CHAR(34),"+"),CHAR(34),""),", "),
_xlpm._exists, SUMPRODUCT(--ISNUMBER(MATCH(_xlpm._platform_keywords,_xlpm._original_keywords,0)))&gt;0,
_xlfn.IFS(AND(_xlpm._exists,LEFT($E61,1)="+"),"+",_xlpm._exists,"*",NOT(_xlpm._exists),"")
)</f>
        <v/>
      </c>
      <c r="L61" s="33" t="str" cm="1">
        <f t="array" aca="1" ref="L6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($E61=CLASSIFICATION[[Keyword Aggr]:[Keyword Aggr]])*($D61=CLASSIFICATION[[Functional Scope Aggr]:[Functional Scope Aggr]])),
_xlpm._platform_keywords, _xlfn.TEXTSPLIT(SUBSTITUTE(SUBSTITUTE(VLOOKUP($D61,_xlpm._platform_range,3,FALSE),"+"&amp;CHAR(34),"+"),CHAR(34),""),", "),
_xlpm._exists, SUMPRODUCT(--ISNUMBER(MATCH(_xlpm._platform_keywords,_xlpm._original_keywords,0)))&gt;0,
_xlfn.IFS(AND(_xlpm._exists,LEFT($E61,1)="+"),"+",_xlpm._exists,"*",NOT(_xlpm._exists),"")
)</f>
        <v/>
      </c>
      <c r="M61" s="33" t="str" cm="1">
        <f t="array" aca="1" ref="M6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($E61=CLASSIFICATION[[Keyword Aggr]:[Keyword Aggr]])*($D61=CLASSIFICATION[[Functional Scope Aggr]:[Functional Scope Aggr]])),
_xlpm._platform_keywords, _xlfn.TEXTSPLIT(SUBSTITUTE(SUBSTITUTE(VLOOKUP($D61,_xlpm._platform_range,3,FALSE),"+"&amp;CHAR(34),"+"),CHAR(34),""),", "),
_xlpm._exists, SUMPRODUCT(--ISNUMBER(MATCH(_xlpm._platform_keywords,_xlpm._original_keywords,0)))&gt;0,
_xlfn.IFS(AND(_xlpm._exists,LEFT($E61,1)="+"),"+",_xlpm._exists,"*",NOT(_xlpm._exists),"")
)</f>
        <v/>
      </c>
      <c r="N61" s="33" t="str" cm="1">
        <f t="array" aca="1" ref="N6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($E61=CLASSIFICATION[[Keyword Aggr]:[Keyword Aggr]])*($D61=CLASSIFICATION[[Functional Scope Aggr]:[Functional Scope Aggr]])),
_xlpm._platform_keywords, _xlfn.TEXTSPLIT(SUBSTITUTE(SUBSTITUTE(VLOOKUP($D61,_xlpm._platform_range,3,FALSE),"+"&amp;CHAR(34),"+"),CHAR(34),""),", "),
_xlpm._exists, SUMPRODUCT(--ISNUMBER(MATCH(_xlpm._platform_keywords,_xlpm._original_keywords,0)))&gt;0,
_xlfn.IFS(AND(_xlpm._exists,LEFT($E61,1)="+"),"+",_xlpm._exists,"*",NOT(_xlpm._exists),"")
)</f>
        <v/>
      </c>
      <c r="O61" s="33" t="str" cm="1">
        <f t="array" aca="1" ref="O6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($E61=CLASSIFICATION[[Keyword Aggr]:[Keyword Aggr]])*($D61=CLASSIFICATION[[Functional Scope Aggr]:[Functional Scope Aggr]])),
_xlpm._platform_keywords, _xlfn.TEXTSPLIT(SUBSTITUTE(SUBSTITUTE(VLOOKUP($D61,_xlpm._platform_range,3,FALSE),"+"&amp;CHAR(34),"+"),CHAR(34),""),", "),
_xlpm._exists, SUMPRODUCT(--ISNUMBER(MATCH(_xlpm._platform_keywords,_xlpm._original_keywords,0)))&gt;0,
_xlfn.IFS(AND(_xlpm._exists,LEFT($E61,1)="+"),"+",_xlpm._exists,"*",NOT(_xlpm._exists),"")
)</f>
        <v/>
      </c>
      <c r="Q61" s="33" cm="1">
        <f t="array" aca="1" ref="Q6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($E61=CLASSIFICATION[[Keyword Aggr]:[Keyword Aggr]])*($D61=CLASSIFICATION[[Functional Scope Aggr]:[Functional Scope Aggr]])),
_xlpm._platform_keywords, _xlfn.TEXTSPLIT(SUBSTITUTE(SUBSTITUTE(VLOOKUP($D61,_xlpm._platform_range,3,FALSE),"+"&amp;CHAR(34),"+"),CHAR(34),""),", "),
_xlpm._exists, SUMPRODUCT(--ISNUMBER(MATCH(_xlpm._platform_keywords,_xlpm._original_keywords,0)))&gt;0,
_xlfn.IFS(_xlpm._exists,1,NOT(_xlpm._exists),"")
)</f>
        <v>1</v>
      </c>
      <c r="R61" s="33" t="str" cm="1">
        <f t="array" aca="1" ref="R6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($E61=CLASSIFICATION[[Keyword Aggr]:[Keyword Aggr]])*($D61=CLASSIFICATION[[Functional Scope Aggr]:[Functional Scope Aggr]])),
_xlpm._platform_keywords, _xlfn.TEXTSPLIT(SUBSTITUTE(SUBSTITUTE(VLOOKUP($D61,_xlpm._platform_range,3,FALSE),"+"&amp;CHAR(34),"+"),CHAR(34),""),", "),
_xlpm._exists, SUMPRODUCT(--ISNUMBER(MATCH(_xlpm._platform_keywords,_xlpm._original_keywords,0)))&gt;0,
_xlfn.IFS(_xlpm._exists,1,NOT(_xlpm._exists),"")
)</f>
        <v/>
      </c>
      <c r="S61" s="33" t="str" cm="1">
        <f t="array" aca="1" ref="S6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($E61=CLASSIFICATION[[Keyword Aggr]:[Keyword Aggr]])*($D61=CLASSIFICATION[[Functional Scope Aggr]:[Functional Scope Aggr]])),
_xlpm._platform_keywords, _xlfn.TEXTSPLIT(SUBSTITUTE(SUBSTITUTE(VLOOKUP($D61,_xlpm._platform_range,3,FALSE),"+"&amp;CHAR(34),"+"),CHAR(34),""),", "),
_xlpm._exists, SUMPRODUCT(--ISNUMBER(MATCH(_xlpm._platform_keywords,_xlpm._original_keywords,0)))&gt;0,
_xlfn.IFS(_xlpm._exists,1,NOT(_xlpm._exists),"")
)</f>
        <v/>
      </c>
      <c r="T61" s="33" t="str" cm="1">
        <f t="array" aca="1" ref="T6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($E61=CLASSIFICATION[[Keyword Aggr]:[Keyword Aggr]])*($D61=CLASSIFICATION[[Functional Scope Aggr]:[Functional Scope Aggr]])),
_xlpm._platform_keywords, _xlfn.TEXTSPLIT(SUBSTITUTE(SUBSTITUTE(VLOOKUP($D61,_xlpm._platform_range,3,FALSE),"+"&amp;CHAR(34),"+"),CHAR(34),""),", "),
_xlpm._exists, SUMPRODUCT(--ISNUMBER(MATCH(_xlpm._platform_keywords,_xlpm._original_keywords,0)))&gt;0,
_xlfn.IFS(_xlpm._exists,1,NOT(_xlpm._exists),"")
)</f>
        <v/>
      </c>
      <c r="U61" s="33" t="str" cm="1">
        <f t="array" aca="1" ref="U6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($E61=CLASSIFICATION[[Keyword Aggr]:[Keyword Aggr]])*($D61=CLASSIFICATION[[Functional Scope Aggr]:[Functional Scope Aggr]])),
_xlpm._platform_keywords, _xlfn.TEXTSPLIT(SUBSTITUTE(SUBSTITUTE(VLOOKUP($D61,_xlpm._platform_range,3,FALSE),"+"&amp;CHAR(34),"+"),CHAR(34),""),", "),
_xlpm._exists, SUMPRODUCT(--ISNUMBER(MATCH(_xlpm._platform_keywords,_xlpm._original_keywords,0)))&gt;0,
_xlfn.IFS(_xlpm._exists,1,NOT(_xlpm._exists),"")
)</f>
        <v/>
      </c>
      <c r="V61" s="33" t="str" cm="1">
        <f t="array" aca="1" ref="V6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($E61=CLASSIFICATION[[Keyword Aggr]:[Keyword Aggr]])*($D61=CLASSIFICATION[[Functional Scope Aggr]:[Functional Scope Aggr]])),
_xlpm._platform_keywords, _xlfn.TEXTSPLIT(SUBSTITUTE(SUBSTITUTE(VLOOKUP($D61,_xlpm._platform_range,3,FALSE),"+"&amp;CHAR(34),"+"),CHAR(34),""),", "),
_xlpm._exists, SUMPRODUCT(--ISNUMBER(MATCH(_xlpm._platform_keywords,_xlpm._original_keywords,0)))&gt;0,
_xlfn.IFS(_xlpm._exists,1,NOT(_xlpm._exists),"")
)</f>
        <v/>
      </c>
      <c r="X61" s="33" t="str">
        <f t="shared" si="4"/>
        <v/>
      </c>
      <c r="Y61" s="33" t="str">
        <f t="shared" si="5"/>
        <v/>
      </c>
      <c r="Z61" s="33" t="str">
        <f t="shared" si="6"/>
        <v/>
      </c>
      <c r="AA61" s="33" t="str">
        <f t="shared" si="7"/>
        <v/>
      </c>
      <c r="AB61" s="33" t="str">
        <f t="shared" si="8"/>
        <v/>
      </c>
      <c r="AC61" s="33" t="str">
        <f t="shared" si="9"/>
        <v/>
      </c>
    </row>
    <row r="62" spans="1:29" x14ac:dyDescent="0.25">
      <c r="A62" s="19" t="str">
        <v>Development,Workflow design and development,JavaScript</v>
      </c>
      <c r="B62" t="s">
        <v>377</v>
      </c>
      <c r="C62" s="19" t="str" cm="1">
        <f t="array" ref="C62:E62">_xlfn.TEXTSPLIT(A62,",")</f>
        <v>Development</v>
      </c>
      <c r="D62" s="19" t="str">
        <v>Workflow design and development</v>
      </c>
      <c r="E62" s="19" t="str">
        <v>JavaScript</v>
      </c>
      <c r="F62" s="36" t="str" cm="1">
        <f t="array" ref="F62">_xlfn.TEXTJOIN(",",TRUE,_xlfn._xlws.FILTER(CLASSIFICATION[Keyword], ($E62=CLASSIFICATION[Keyword Aggr])*($D62=CLASSIFICATION[Functional Scope Aggr])))</f>
        <v>JavaScript</v>
      </c>
      <c r="G62" s="32" t="str">
        <f t="shared" si="2"/>
        <v/>
      </c>
      <c r="H62" s="32" t="str">
        <f t="shared" si="3"/>
        <v/>
      </c>
      <c r="I62" s="32" t="str">
        <f t="shared" si="10"/>
        <v>JavaScript</v>
      </c>
      <c r="J62" s="33" t="str" cm="1">
        <f t="array" aca="1" ref="J6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($E62=CLASSIFICATION[[Keyword Aggr]:[Keyword Aggr]])*($D62=CLASSIFICATION[[Functional Scope Aggr]:[Functional Scope Aggr]])),
_xlpm._platform_keywords, _xlfn.TEXTSPLIT(SUBSTITUTE(SUBSTITUTE(VLOOKUP($D62,_xlpm._platform_range,3,FALSE),"+"&amp;CHAR(34),"+"),CHAR(34),""),", "),
_xlpm._exists, SUMPRODUCT(--ISNUMBER(MATCH(_xlpm._platform_keywords,_xlpm._original_keywords,0)))&gt;0,
_xlfn.IFS(AND(_xlpm._exists,LEFT($E62,1)="+"),"+",_xlpm._exists,"*",NOT(_xlpm._exists),"")
)</f>
        <v/>
      </c>
      <c r="K62" s="33" t="str" cm="1">
        <f t="array" aca="1" ref="K6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($E62=CLASSIFICATION[[Keyword Aggr]:[Keyword Aggr]])*($D62=CLASSIFICATION[[Functional Scope Aggr]:[Functional Scope Aggr]])),
_xlpm._platform_keywords, _xlfn.TEXTSPLIT(SUBSTITUTE(SUBSTITUTE(VLOOKUP($D62,_xlpm._platform_range,3,FALSE),"+"&amp;CHAR(34),"+"),CHAR(34),""),", "),
_xlpm._exists, SUMPRODUCT(--ISNUMBER(MATCH(_xlpm._platform_keywords,_xlpm._original_keywords,0)))&gt;0,
_xlfn.IFS(AND(_xlpm._exists,LEFT($E62,1)="+"),"+",_xlpm._exists,"*",NOT(_xlpm._exists),"")
)</f>
        <v/>
      </c>
      <c r="L62" s="33" t="str" cm="1">
        <f t="array" aca="1" ref="L6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($E62=CLASSIFICATION[[Keyword Aggr]:[Keyword Aggr]])*($D62=CLASSIFICATION[[Functional Scope Aggr]:[Functional Scope Aggr]])),
_xlpm._platform_keywords, _xlfn.TEXTSPLIT(SUBSTITUTE(SUBSTITUTE(VLOOKUP($D62,_xlpm._platform_range,3,FALSE),"+"&amp;CHAR(34),"+"),CHAR(34),""),", "),
_xlpm._exists, SUMPRODUCT(--ISNUMBER(MATCH(_xlpm._platform_keywords,_xlpm._original_keywords,0)))&gt;0,
_xlfn.IFS(AND(_xlpm._exists,LEFT($E62,1)="+"),"+",_xlpm._exists,"*",NOT(_xlpm._exists),"")
)</f>
        <v/>
      </c>
      <c r="M62" s="33" t="str" cm="1">
        <f t="array" aca="1" ref="M6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($E62=CLASSIFICATION[[Keyword Aggr]:[Keyword Aggr]])*($D62=CLASSIFICATION[[Functional Scope Aggr]:[Functional Scope Aggr]])),
_xlpm._platform_keywords, _xlfn.TEXTSPLIT(SUBSTITUTE(SUBSTITUTE(VLOOKUP($D62,_xlpm._platform_range,3,FALSE),"+"&amp;CHAR(34),"+"),CHAR(34),""),", "),
_xlpm._exists, SUMPRODUCT(--ISNUMBER(MATCH(_xlpm._platform_keywords,_xlpm._original_keywords,0)))&gt;0,
_xlfn.IFS(AND(_xlpm._exists,LEFT($E62,1)="+"),"+",_xlpm._exists,"*",NOT(_xlpm._exists),"")
)</f>
        <v/>
      </c>
      <c r="N62" s="33" t="str" cm="1">
        <f t="array" aca="1" ref="N6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($E62=CLASSIFICATION[[Keyword Aggr]:[Keyword Aggr]])*($D62=CLASSIFICATION[[Functional Scope Aggr]:[Functional Scope Aggr]])),
_xlpm._platform_keywords, _xlfn.TEXTSPLIT(SUBSTITUTE(SUBSTITUTE(VLOOKUP($D62,_xlpm._platform_range,3,FALSE),"+"&amp;CHAR(34),"+"),CHAR(34),""),", "),
_xlpm._exists, SUMPRODUCT(--ISNUMBER(MATCH(_xlpm._platform_keywords,_xlpm._original_keywords,0)))&gt;0,
_xlfn.IFS(AND(_xlpm._exists,LEFT($E62,1)="+"),"+",_xlpm._exists,"*",NOT(_xlpm._exists),"")
)</f>
        <v>*</v>
      </c>
      <c r="O62" s="33" t="str" cm="1">
        <f t="array" aca="1" ref="O6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($E62=CLASSIFICATION[[Keyword Aggr]:[Keyword Aggr]])*($D62=CLASSIFICATION[[Functional Scope Aggr]:[Functional Scope Aggr]])),
_xlpm._platform_keywords, _xlfn.TEXTSPLIT(SUBSTITUTE(SUBSTITUTE(VLOOKUP($D62,_xlpm._platform_range,3,FALSE),"+"&amp;CHAR(34),"+"),CHAR(34),""),", "),
_xlpm._exists, SUMPRODUCT(--ISNUMBER(MATCH(_xlpm._platform_keywords,_xlpm._original_keywords,0)))&gt;0,
_xlfn.IFS(AND(_xlpm._exists,LEFT($E62,1)="+"),"+",_xlpm._exists,"*",NOT(_xlpm._exists),"")
)</f>
        <v/>
      </c>
      <c r="Q62" s="33" t="str" cm="1">
        <f t="array" aca="1" ref="Q6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($E62=CLASSIFICATION[[Keyword Aggr]:[Keyword Aggr]])*($D62=CLASSIFICATION[[Functional Scope Aggr]:[Functional Scope Aggr]])),
_xlpm._platform_keywords, _xlfn.TEXTSPLIT(SUBSTITUTE(SUBSTITUTE(VLOOKUP($D62,_xlpm._platform_range,3,FALSE),"+"&amp;CHAR(34),"+"),CHAR(34),""),", "),
_xlpm._exists, SUMPRODUCT(--ISNUMBER(MATCH(_xlpm._platform_keywords,_xlpm._original_keywords,0)))&gt;0,
_xlfn.IFS(_xlpm._exists,1,NOT(_xlpm._exists),"")
)</f>
        <v/>
      </c>
      <c r="R62" s="33" t="str" cm="1">
        <f t="array" aca="1" ref="R6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($E62=CLASSIFICATION[[Keyword Aggr]:[Keyword Aggr]])*($D62=CLASSIFICATION[[Functional Scope Aggr]:[Functional Scope Aggr]])),
_xlpm._platform_keywords, _xlfn.TEXTSPLIT(SUBSTITUTE(SUBSTITUTE(VLOOKUP($D62,_xlpm._platform_range,3,FALSE),"+"&amp;CHAR(34),"+"),CHAR(34),""),", "),
_xlpm._exists, SUMPRODUCT(--ISNUMBER(MATCH(_xlpm._platform_keywords,_xlpm._original_keywords,0)))&gt;0,
_xlfn.IFS(_xlpm._exists,1,NOT(_xlpm._exists),"")
)</f>
        <v/>
      </c>
      <c r="S62" s="33" t="str" cm="1">
        <f t="array" aca="1" ref="S6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($E62=CLASSIFICATION[[Keyword Aggr]:[Keyword Aggr]])*($D62=CLASSIFICATION[[Functional Scope Aggr]:[Functional Scope Aggr]])),
_xlpm._platform_keywords, _xlfn.TEXTSPLIT(SUBSTITUTE(SUBSTITUTE(VLOOKUP($D62,_xlpm._platform_range,3,FALSE),"+"&amp;CHAR(34),"+"),CHAR(34),""),", "),
_xlpm._exists, SUMPRODUCT(--ISNUMBER(MATCH(_xlpm._platform_keywords,_xlpm._original_keywords,0)))&gt;0,
_xlfn.IFS(_xlpm._exists,1,NOT(_xlpm._exists),"")
)</f>
        <v/>
      </c>
      <c r="T62" s="33" t="str" cm="1">
        <f t="array" aca="1" ref="T6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($E62=CLASSIFICATION[[Keyword Aggr]:[Keyword Aggr]])*($D62=CLASSIFICATION[[Functional Scope Aggr]:[Functional Scope Aggr]])),
_xlpm._platform_keywords, _xlfn.TEXTSPLIT(SUBSTITUTE(SUBSTITUTE(VLOOKUP($D62,_xlpm._platform_range,3,FALSE),"+"&amp;CHAR(34),"+"),CHAR(34),""),", "),
_xlpm._exists, SUMPRODUCT(--ISNUMBER(MATCH(_xlpm._platform_keywords,_xlpm._original_keywords,0)))&gt;0,
_xlfn.IFS(_xlpm._exists,1,NOT(_xlpm._exists),"")
)</f>
        <v/>
      </c>
      <c r="U62" s="33" cm="1">
        <f t="array" aca="1" ref="U6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($E62=CLASSIFICATION[[Keyword Aggr]:[Keyword Aggr]])*($D62=CLASSIFICATION[[Functional Scope Aggr]:[Functional Scope Aggr]])),
_xlpm._platform_keywords, _xlfn.TEXTSPLIT(SUBSTITUTE(SUBSTITUTE(VLOOKUP($D62,_xlpm._platform_range,3,FALSE),"+"&amp;CHAR(34),"+"),CHAR(34),""),", "),
_xlpm._exists, SUMPRODUCT(--ISNUMBER(MATCH(_xlpm._platform_keywords,_xlpm._original_keywords,0)))&gt;0,
_xlfn.IFS(_xlpm._exists,1,NOT(_xlpm._exists),"")
)</f>
        <v>1</v>
      </c>
      <c r="V62" s="33" t="str" cm="1">
        <f t="array" aca="1" ref="V6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($E62=CLASSIFICATION[[Keyword Aggr]:[Keyword Aggr]])*($D62=CLASSIFICATION[[Functional Scope Aggr]:[Functional Scope Aggr]])),
_xlpm._platform_keywords, _xlfn.TEXTSPLIT(SUBSTITUTE(SUBSTITUTE(VLOOKUP($D62,_xlpm._platform_range,3,FALSE),"+"&amp;CHAR(34),"+"),CHAR(34),""),", "),
_xlpm._exists, SUMPRODUCT(--ISNUMBER(MATCH(_xlpm._platform_keywords,_xlpm._original_keywords,0)))&gt;0,
_xlfn.IFS(_xlpm._exists,1,NOT(_xlpm._exists),"")
)</f>
        <v/>
      </c>
      <c r="X62" s="33" t="str">
        <f t="shared" si="4"/>
        <v/>
      </c>
      <c r="Y62" s="33" t="str">
        <f t="shared" si="5"/>
        <v/>
      </c>
      <c r="Z62" s="33" t="str">
        <f t="shared" si="6"/>
        <v/>
      </c>
      <c r="AA62" s="33" t="str">
        <f t="shared" si="7"/>
        <v/>
      </c>
      <c r="AB62" s="33" t="str">
        <f t="shared" si="8"/>
        <v/>
      </c>
      <c r="AC62" s="33" t="str">
        <f t="shared" si="9"/>
        <v/>
      </c>
    </row>
    <row r="63" spans="1:29" x14ac:dyDescent="0.25">
      <c r="A63" s="19" t="str">
        <v>Development,Workflow design and development,REST API</v>
      </c>
      <c r="B63" t="s">
        <v>377</v>
      </c>
      <c r="C63" s="19" t="str" cm="1">
        <f t="array" ref="C63:E63">_xlfn.TEXTSPLIT(A63,",")</f>
        <v>Development</v>
      </c>
      <c r="D63" s="19" t="str">
        <v>Workflow design and development</v>
      </c>
      <c r="E63" s="19" t="str">
        <v>REST API</v>
      </c>
      <c r="F63" s="36" t="str" cm="1">
        <f t="array" ref="F63">_xlfn.TEXTJOIN(",",TRUE,_xlfn._xlws.FILTER(CLASSIFICATION[Keyword], ($E63=CLASSIFICATION[Keyword Aggr])*($D63=CLASSIFICATION[Functional Scope Aggr])))</f>
        <v>REST API</v>
      </c>
      <c r="G63" s="32" t="str">
        <f t="shared" si="2"/>
        <v/>
      </c>
      <c r="H63" s="32" t="str">
        <f t="shared" si="3"/>
        <v/>
      </c>
      <c r="I63" s="32" t="str">
        <f t="shared" si="10"/>
        <v>REST API</v>
      </c>
      <c r="J63" s="33" t="str" cm="1">
        <f t="array" aca="1" ref="J6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($E63=CLASSIFICATION[[Keyword Aggr]:[Keyword Aggr]])*($D63=CLASSIFICATION[[Functional Scope Aggr]:[Functional Scope Aggr]])),
_xlpm._platform_keywords, _xlfn.TEXTSPLIT(SUBSTITUTE(SUBSTITUTE(VLOOKUP($D63,_xlpm._platform_range,3,FALSE),"+"&amp;CHAR(34),"+"),CHAR(34),""),", "),
_xlpm._exists, SUMPRODUCT(--ISNUMBER(MATCH(_xlpm._platform_keywords,_xlpm._original_keywords,0)))&gt;0,
_xlfn.IFS(AND(_xlpm._exists,LEFT($E63,1)="+"),"+",_xlpm._exists,"*",NOT(_xlpm._exists),"")
)</f>
        <v/>
      </c>
      <c r="K63" s="33" t="str" cm="1">
        <f t="array" aca="1" ref="K6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($E63=CLASSIFICATION[[Keyword Aggr]:[Keyword Aggr]])*($D63=CLASSIFICATION[[Functional Scope Aggr]:[Functional Scope Aggr]])),
_xlpm._platform_keywords, _xlfn.TEXTSPLIT(SUBSTITUTE(SUBSTITUTE(VLOOKUP($D63,_xlpm._platform_range,3,FALSE),"+"&amp;CHAR(34),"+"),CHAR(34),""),", "),
_xlpm._exists, SUMPRODUCT(--ISNUMBER(MATCH(_xlpm._platform_keywords,_xlpm._original_keywords,0)))&gt;0,
_xlfn.IFS(AND(_xlpm._exists,LEFT($E63,1)="+"),"+",_xlpm._exists,"*",NOT(_xlpm._exists),"")
)</f>
        <v/>
      </c>
      <c r="L63" s="33" t="str" cm="1">
        <f t="array" aca="1" ref="L6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($E63=CLASSIFICATION[[Keyword Aggr]:[Keyword Aggr]])*($D63=CLASSIFICATION[[Functional Scope Aggr]:[Functional Scope Aggr]])),
_xlpm._platform_keywords, _xlfn.TEXTSPLIT(SUBSTITUTE(SUBSTITUTE(VLOOKUP($D63,_xlpm._platform_range,3,FALSE),"+"&amp;CHAR(34),"+"),CHAR(34),""),", "),
_xlpm._exists, SUMPRODUCT(--ISNUMBER(MATCH(_xlpm._platform_keywords,_xlpm._original_keywords,0)))&gt;0,
_xlfn.IFS(AND(_xlpm._exists,LEFT($E63,1)="+"),"+",_xlpm._exists,"*",NOT(_xlpm._exists),"")
)</f>
        <v/>
      </c>
      <c r="M63" s="33" t="str" cm="1">
        <f t="array" aca="1" ref="M6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($E63=CLASSIFICATION[[Keyword Aggr]:[Keyword Aggr]])*($D63=CLASSIFICATION[[Functional Scope Aggr]:[Functional Scope Aggr]])),
_xlpm._platform_keywords, _xlfn.TEXTSPLIT(SUBSTITUTE(SUBSTITUTE(VLOOKUP($D63,_xlpm._platform_range,3,FALSE),"+"&amp;CHAR(34),"+"),CHAR(34),""),", "),
_xlpm._exists, SUMPRODUCT(--ISNUMBER(MATCH(_xlpm._platform_keywords,_xlpm._original_keywords,0)))&gt;0,
_xlfn.IFS(AND(_xlpm._exists,LEFT($E63,1)="+"),"+",_xlpm._exists,"*",NOT(_xlpm._exists),"")
)</f>
        <v/>
      </c>
      <c r="N63" s="33" t="str" cm="1">
        <f t="array" aca="1" ref="N6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($E63=CLASSIFICATION[[Keyword Aggr]:[Keyword Aggr]])*($D63=CLASSIFICATION[[Functional Scope Aggr]:[Functional Scope Aggr]])),
_xlpm._platform_keywords, _xlfn.TEXTSPLIT(SUBSTITUTE(SUBSTITUTE(VLOOKUP($D63,_xlpm._platform_range,3,FALSE),"+"&amp;CHAR(34),"+"),CHAR(34),""),", "),
_xlpm._exists, SUMPRODUCT(--ISNUMBER(MATCH(_xlpm._platform_keywords,_xlpm._original_keywords,0)))&gt;0,
_xlfn.IFS(AND(_xlpm._exists,LEFT($E63,1)="+"),"+",_xlpm._exists,"*",NOT(_xlpm._exists),"")
)</f>
        <v>*</v>
      </c>
      <c r="O63" s="33" t="str" cm="1">
        <f t="array" aca="1" ref="O6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($E63=CLASSIFICATION[[Keyword Aggr]:[Keyword Aggr]])*($D63=CLASSIFICATION[[Functional Scope Aggr]:[Functional Scope Aggr]])),
_xlpm._platform_keywords, _xlfn.TEXTSPLIT(SUBSTITUTE(SUBSTITUTE(VLOOKUP($D63,_xlpm._platform_range,3,FALSE),"+"&amp;CHAR(34),"+"),CHAR(34),""),", "),
_xlpm._exists, SUMPRODUCT(--ISNUMBER(MATCH(_xlpm._platform_keywords,_xlpm._original_keywords,0)))&gt;0,
_xlfn.IFS(AND(_xlpm._exists,LEFT($E63,1)="+"),"+",_xlpm._exists,"*",NOT(_xlpm._exists),"")
)</f>
        <v/>
      </c>
      <c r="Q63" s="33" t="str" cm="1">
        <f t="array" aca="1" ref="Q6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($E63=CLASSIFICATION[[Keyword Aggr]:[Keyword Aggr]])*($D63=CLASSIFICATION[[Functional Scope Aggr]:[Functional Scope Aggr]])),
_xlpm._platform_keywords, _xlfn.TEXTSPLIT(SUBSTITUTE(SUBSTITUTE(VLOOKUP($D63,_xlpm._platform_range,3,FALSE),"+"&amp;CHAR(34),"+"),CHAR(34),""),", "),
_xlpm._exists, SUMPRODUCT(--ISNUMBER(MATCH(_xlpm._platform_keywords,_xlpm._original_keywords,0)))&gt;0,
_xlfn.IFS(_xlpm._exists,1,NOT(_xlpm._exists),"")
)</f>
        <v/>
      </c>
      <c r="R63" s="33" t="str" cm="1">
        <f t="array" aca="1" ref="R6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($E63=CLASSIFICATION[[Keyword Aggr]:[Keyword Aggr]])*($D63=CLASSIFICATION[[Functional Scope Aggr]:[Functional Scope Aggr]])),
_xlpm._platform_keywords, _xlfn.TEXTSPLIT(SUBSTITUTE(SUBSTITUTE(VLOOKUP($D63,_xlpm._platform_range,3,FALSE),"+"&amp;CHAR(34),"+"),CHAR(34),""),", "),
_xlpm._exists, SUMPRODUCT(--ISNUMBER(MATCH(_xlpm._platform_keywords,_xlpm._original_keywords,0)))&gt;0,
_xlfn.IFS(_xlpm._exists,1,NOT(_xlpm._exists),"")
)</f>
        <v/>
      </c>
      <c r="S63" s="33" t="str" cm="1">
        <f t="array" aca="1" ref="S6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($E63=CLASSIFICATION[[Keyword Aggr]:[Keyword Aggr]])*($D63=CLASSIFICATION[[Functional Scope Aggr]:[Functional Scope Aggr]])),
_xlpm._platform_keywords, _xlfn.TEXTSPLIT(SUBSTITUTE(SUBSTITUTE(VLOOKUP($D63,_xlpm._platform_range,3,FALSE),"+"&amp;CHAR(34),"+"),CHAR(34),""),", "),
_xlpm._exists, SUMPRODUCT(--ISNUMBER(MATCH(_xlpm._platform_keywords,_xlpm._original_keywords,0)))&gt;0,
_xlfn.IFS(_xlpm._exists,1,NOT(_xlpm._exists),"")
)</f>
        <v/>
      </c>
      <c r="T63" s="33" t="str" cm="1">
        <f t="array" aca="1" ref="T6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($E63=CLASSIFICATION[[Keyword Aggr]:[Keyword Aggr]])*($D63=CLASSIFICATION[[Functional Scope Aggr]:[Functional Scope Aggr]])),
_xlpm._platform_keywords, _xlfn.TEXTSPLIT(SUBSTITUTE(SUBSTITUTE(VLOOKUP($D63,_xlpm._platform_range,3,FALSE),"+"&amp;CHAR(34),"+"),CHAR(34),""),", "),
_xlpm._exists, SUMPRODUCT(--ISNUMBER(MATCH(_xlpm._platform_keywords,_xlpm._original_keywords,0)))&gt;0,
_xlfn.IFS(_xlpm._exists,1,NOT(_xlpm._exists),"")
)</f>
        <v/>
      </c>
      <c r="U63" s="33" cm="1">
        <f t="array" aca="1" ref="U6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($E63=CLASSIFICATION[[Keyword Aggr]:[Keyword Aggr]])*($D63=CLASSIFICATION[[Functional Scope Aggr]:[Functional Scope Aggr]])),
_xlpm._platform_keywords, _xlfn.TEXTSPLIT(SUBSTITUTE(SUBSTITUTE(VLOOKUP($D63,_xlpm._platform_range,3,FALSE),"+"&amp;CHAR(34),"+"),CHAR(34),""),", "),
_xlpm._exists, SUMPRODUCT(--ISNUMBER(MATCH(_xlpm._platform_keywords,_xlpm._original_keywords,0)))&gt;0,
_xlfn.IFS(_xlpm._exists,1,NOT(_xlpm._exists),"")
)</f>
        <v>1</v>
      </c>
      <c r="V63" s="33" t="str" cm="1">
        <f t="array" aca="1" ref="V6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($E63=CLASSIFICATION[[Keyword Aggr]:[Keyword Aggr]])*($D63=CLASSIFICATION[[Functional Scope Aggr]:[Functional Scope Aggr]])),
_xlpm._platform_keywords, _xlfn.TEXTSPLIT(SUBSTITUTE(SUBSTITUTE(VLOOKUP($D63,_xlpm._platform_range,3,FALSE),"+"&amp;CHAR(34),"+"),CHAR(34),""),", "),
_xlpm._exists, SUMPRODUCT(--ISNUMBER(MATCH(_xlpm._platform_keywords,_xlpm._original_keywords,0)))&gt;0,
_xlfn.IFS(_xlpm._exists,1,NOT(_xlpm._exists),"")
)</f>
        <v/>
      </c>
      <c r="X63" s="33" t="str">
        <f t="shared" si="4"/>
        <v/>
      </c>
      <c r="Y63" s="33" t="str">
        <f t="shared" si="5"/>
        <v/>
      </c>
      <c r="Z63" s="33" t="str">
        <f t="shared" si="6"/>
        <v/>
      </c>
      <c r="AA63" s="33" t="str">
        <f t="shared" si="7"/>
        <v/>
      </c>
      <c r="AB63" s="33" t="str">
        <f t="shared" si="8"/>
        <v/>
      </c>
      <c r="AC63" s="33" t="str">
        <f t="shared" si="9"/>
        <v/>
      </c>
    </row>
    <row r="64" spans="1:29" x14ac:dyDescent="0.25">
      <c r="A64" s="19" t="str">
        <v>Development,Workflow design and development,Triggers</v>
      </c>
      <c r="B64" t="s">
        <v>377</v>
      </c>
      <c r="C64" s="19" t="str" cm="1">
        <f t="array" ref="C64:E64">_xlfn.TEXTSPLIT(A64,",")</f>
        <v>Development</v>
      </c>
      <c r="D64" s="19" t="str">
        <v>Workflow design and development</v>
      </c>
      <c r="E64" s="19" t="str">
        <v>Triggers</v>
      </c>
      <c r="F64" s="36" t="str" cm="1">
        <f t="array" ref="F64">_xlfn.TEXTJOIN(",",TRUE,_xlfn._xlws.FILTER(CLASSIFICATION[Keyword], ($E64=CLASSIFICATION[Keyword Aggr])*($D64=CLASSIFICATION[Functional Scope Aggr])))</f>
        <v>Triggers</v>
      </c>
      <c r="G64" s="32" t="str">
        <f t="shared" si="2"/>
        <v/>
      </c>
      <c r="H64" s="32" t="str">
        <f t="shared" si="3"/>
        <v/>
      </c>
      <c r="I64" s="32" t="str">
        <f t="shared" si="10"/>
        <v>Triggers</v>
      </c>
      <c r="J64" s="33" t="str" cm="1">
        <f t="array" aca="1" ref="J6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($E64=CLASSIFICATION[[Keyword Aggr]:[Keyword Aggr]])*($D64=CLASSIFICATION[[Functional Scope Aggr]:[Functional Scope Aggr]])),
_xlpm._platform_keywords, _xlfn.TEXTSPLIT(SUBSTITUTE(SUBSTITUTE(VLOOKUP($D64,_xlpm._platform_range,3,FALSE),"+"&amp;CHAR(34),"+"),CHAR(34),""),", "),
_xlpm._exists, SUMPRODUCT(--ISNUMBER(MATCH(_xlpm._platform_keywords,_xlpm._original_keywords,0)))&gt;0,
_xlfn.IFS(AND(_xlpm._exists,LEFT($E64,1)="+"),"+",_xlpm._exists,"*",NOT(_xlpm._exists),"")
)</f>
        <v>*</v>
      </c>
      <c r="K64" s="33" t="str" cm="1">
        <f t="array" aca="1" ref="K6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($E64=CLASSIFICATION[[Keyword Aggr]:[Keyword Aggr]])*($D64=CLASSIFICATION[[Functional Scope Aggr]:[Functional Scope Aggr]])),
_xlpm._platform_keywords, _xlfn.TEXTSPLIT(SUBSTITUTE(SUBSTITUTE(VLOOKUP($D64,_xlpm._platform_range,3,FALSE),"+"&amp;CHAR(34),"+"),CHAR(34),""),", "),
_xlpm._exists, SUMPRODUCT(--ISNUMBER(MATCH(_xlpm._platform_keywords,_xlpm._original_keywords,0)))&gt;0,
_xlfn.IFS(AND(_xlpm._exists,LEFT($E64,1)="+"),"+",_xlpm._exists,"*",NOT(_xlpm._exists),"")
)</f>
        <v/>
      </c>
      <c r="L64" s="33" t="str" cm="1">
        <f t="array" aca="1" ref="L6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($E64=CLASSIFICATION[[Keyword Aggr]:[Keyword Aggr]])*($D64=CLASSIFICATION[[Functional Scope Aggr]:[Functional Scope Aggr]])),
_xlpm._platform_keywords, _xlfn.TEXTSPLIT(SUBSTITUTE(SUBSTITUTE(VLOOKUP($D64,_xlpm._platform_range,3,FALSE),"+"&amp;CHAR(34),"+"),CHAR(34),""),", "),
_xlpm._exists, SUMPRODUCT(--ISNUMBER(MATCH(_xlpm._platform_keywords,_xlpm._original_keywords,0)))&gt;0,
_xlfn.IFS(AND(_xlpm._exists,LEFT($E64,1)="+"),"+",_xlpm._exists,"*",NOT(_xlpm._exists),"")
)</f>
        <v/>
      </c>
      <c r="M64" s="33" t="str" cm="1">
        <f t="array" aca="1" ref="M6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($E64=CLASSIFICATION[[Keyword Aggr]:[Keyword Aggr]])*($D64=CLASSIFICATION[[Functional Scope Aggr]:[Functional Scope Aggr]])),
_xlpm._platform_keywords, _xlfn.TEXTSPLIT(SUBSTITUTE(SUBSTITUTE(VLOOKUP($D64,_xlpm._platform_range,3,FALSE),"+"&amp;CHAR(34),"+"),CHAR(34),""),", "),
_xlpm._exists, SUMPRODUCT(--ISNUMBER(MATCH(_xlpm._platform_keywords,_xlpm._original_keywords,0)))&gt;0,
_xlfn.IFS(AND(_xlpm._exists,LEFT($E64,1)="+"),"+",_xlpm._exists,"*",NOT(_xlpm._exists),"")
)</f>
        <v/>
      </c>
      <c r="N64" s="33" t="str" cm="1">
        <f t="array" aca="1" ref="N6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($E64=CLASSIFICATION[[Keyword Aggr]:[Keyword Aggr]])*($D64=CLASSIFICATION[[Functional Scope Aggr]:[Functional Scope Aggr]])),
_xlpm._platform_keywords, _xlfn.TEXTSPLIT(SUBSTITUTE(SUBSTITUTE(VLOOKUP($D64,_xlpm._platform_range,3,FALSE),"+"&amp;CHAR(34),"+"),CHAR(34),""),", "),
_xlpm._exists, SUMPRODUCT(--ISNUMBER(MATCH(_xlpm._platform_keywords,_xlpm._original_keywords,0)))&gt;0,
_xlfn.IFS(AND(_xlpm._exists,LEFT($E64,1)="+"),"+",_xlpm._exists,"*",NOT(_xlpm._exists),"")
)</f>
        <v/>
      </c>
      <c r="O64" s="33" t="str" cm="1">
        <f t="array" aca="1" ref="O6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($E64=CLASSIFICATION[[Keyword Aggr]:[Keyword Aggr]])*($D64=CLASSIFICATION[[Functional Scope Aggr]:[Functional Scope Aggr]])),
_xlpm._platform_keywords, _xlfn.TEXTSPLIT(SUBSTITUTE(SUBSTITUTE(VLOOKUP($D64,_xlpm._platform_range,3,FALSE),"+"&amp;CHAR(34),"+"),CHAR(34),""),", "),
_xlpm._exists, SUMPRODUCT(--ISNUMBER(MATCH(_xlpm._platform_keywords,_xlpm._original_keywords,0)))&gt;0,
_xlfn.IFS(AND(_xlpm._exists,LEFT($E64,1)="+"),"+",_xlpm._exists,"*",NOT(_xlpm._exists),"")
)</f>
        <v/>
      </c>
      <c r="Q64" s="33" cm="1">
        <f t="array" aca="1" ref="Q6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($E64=CLASSIFICATION[[Keyword Aggr]:[Keyword Aggr]])*($D64=CLASSIFICATION[[Functional Scope Aggr]:[Functional Scope Aggr]])),
_xlpm._platform_keywords, _xlfn.TEXTSPLIT(SUBSTITUTE(SUBSTITUTE(VLOOKUP($D64,_xlpm._platform_range,3,FALSE),"+"&amp;CHAR(34),"+"),CHAR(34),""),", "),
_xlpm._exists, SUMPRODUCT(--ISNUMBER(MATCH(_xlpm._platform_keywords,_xlpm._original_keywords,0)))&gt;0,
_xlfn.IFS(_xlpm._exists,1,NOT(_xlpm._exists),"")
)</f>
        <v>1</v>
      </c>
      <c r="R64" s="33" t="str" cm="1">
        <f t="array" aca="1" ref="R6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($E64=CLASSIFICATION[[Keyword Aggr]:[Keyword Aggr]])*($D64=CLASSIFICATION[[Functional Scope Aggr]:[Functional Scope Aggr]])),
_xlpm._platform_keywords, _xlfn.TEXTSPLIT(SUBSTITUTE(SUBSTITUTE(VLOOKUP($D64,_xlpm._platform_range,3,FALSE),"+"&amp;CHAR(34),"+"),CHAR(34),""),", "),
_xlpm._exists, SUMPRODUCT(--ISNUMBER(MATCH(_xlpm._platform_keywords,_xlpm._original_keywords,0)))&gt;0,
_xlfn.IFS(_xlpm._exists,1,NOT(_xlpm._exists),"")
)</f>
        <v/>
      </c>
      <c r="S64" s="33" t="str" cm="1">
        <f t="array" aca="1" ref="S6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($E64=CLASSIFICATION[[Keyword Aggr]:[Keyword Aggr]])*($D64=CLASSIFICATION[[Functional Scope Aggr]:[Functional Scope Aggr]])),
_xlpm._platform_keywords, _xlfn.TEXTSPLIT(SUBSTITUTE(SUBSTITUTE(VLOOKUP($D64,_xlpm._platform_range,3,FALSE),"+"&amp;CHAR(34),"+"),CHAR(34),""),", "),
_xlpm._exists, SUMPRODUCT(--ISNUMBER(MATCH(_xlpm._platform_keywords,_xlpm._original_keywords,0)))&gt;0,
_xlfn.IFS(_xlpm._exists,1,NOT(_xlpm._exists),"")
)</f>
        <v/>
      </c>
      <c r="T64" s="33" t="str" cm="1">
        <f t="array" aca="1" ref="T6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($E64=CLASSIFICATION[[Keyword Aggr]:[Keyword Aggr]])*($D64=CLASSIFICATION[[Functional Scope Aggr]:[Functional Scope Aggr]])),
_xlpm._platform_keywords, _xlfn.TEXTSPLIT(SUBSTITUTE(SUBSTITUTE(VLOOKUP($D64,_xlpm._platform_range,3,FALSE),"+"&amp;CHAR(34),"+"),CHAR(34),""),", "),
_xlpm._exists, SUMPRODUCT(--ISNUMBER(MATCH(_xlpm._platform_keywords,_xlpm._original_keywords,0)))&gt;0,
_xlfn.IFS(_xlpm._exists,1,NOT(_xlpm._exists),"")
)</f>
        <v/>
      </c>
      <c r="U64" s="33" t="str" cm="1">
        <f t="array" aca="1" ref="U6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($E64=CLASSIFICATION[[Keyword Aggr]:[Keyword Aggr]])*($D64=CLASSIFICATION[[Functional Scope Aggr]:[Functional Scope Aggr]])),
_xlpm._platform_keywords, _xlfn.TEXTSPLIT(SUBSTITUTE(SUBSTITUTE(VLOOKUP($D64,_xlpm._platform_range,3,FALSE),"+"&amp;CHAR(34),"+"),CHAR(34),""),", "),
_xlpm._exists, SUMPRODUCT(--ISNUMBER(MATCH(_xlpm._platform_keywords,_xlpm._original_keywords,0)))&gt;0,
_xlfn.IFS(_xlpm._exists,1,NOT(_xlpm._exists),"")
)</f>
        <v/>
      </c>
      <c r="V64" s="33" t="str" cm="1">
        <f t="array" aca="1" ref="V6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($E64=CLASSIFICATION[[Keyword Aggr]:[Keyword Aggr]])*($D64=CLASSIFICATION[[Functional Scope Aggr]:[Functional Scope Aggr]])),
_xlpm._platform_keywords, _xlfn.TEXTSPLIT(SUBSTITUTE(SUBSTITUTE(VLOOKUP($D64,_xlpm._platform_range,3,FALSE),"+"&amp;CHAR(34),"+"),CHAR(34),""),", "),
_xlpm._exists, SUMPRODUCT(--ISNUMBER(MATCH(_xlpm._platform_keywords,_xlpm._original_keywords,0)))&gt;0,
_xlfn.IFS(_xlpm._exists,1,NOT(_xlpm._exists),"")
)</f>
        <v/>
      </c>
      <c r="X64" s="33" t="str">
        <f t="shared" si="4"/>
        <v/>
      </c>
      <c r="Y64" s="33" t="str">
        <f t="shared" si="5"/>
        <v/>
      </c>
      <c r="Z64" s="33" t="str">
        <f t="shared" si="6"/>
        <v/>
      </c>
      <c r="AA64" s="33" t="str">
        <f t="shared" si="7"/>
        <v/>
      </c>
      <c r="AB64" s="33" t="str">
        <f t="shared" si="8"/>
        <v/>
      </c>
      <c r="AC64" s="33" t="str">
        <f t="shared" si="9"/>
        <v/>
      </c>
    </row>
    <row r="65" spans="1:29" x14ac:dyDescent="0.25">
      <c r="A65" s="19" t="str">
        <v>Development,Database design,+Business Data Types</v>
      </c>
      <c r="B65" t="s">
        <v>377</v>
      </c>
      <c r="C65" s="19" t="str" cm="1">
        <f t="array" ref="C65:E65">_xlfn.TEXTSPLIT(A65,",")</f>
        <v>Development</v>
      </c>
      <c r="D65" s="19" t="str">
        <v>Database design</v>
      </c>
      <c r="E65" s="19" t="str">
        <v>+Business Data Types</v>
      </c>
      <c r="F65" s="36" t="str" cm="1">
        <f t="array" ref="F65">_xlfn.TEXTJOIN(",",TRUE,_xlfn._xlws.FILTER(CLASSIFICATION[Keyword], ($E65=CLASSIFICATION[Keyword Aggr])*($D65=CLASSIFICATION[Functional Scope Aggr])))</f>
        <v>+Business Data Types</v>
      </c>
      <c r="G65" s="32" t="str">
        <f t="shared" si="2"/>
        <v/>
      </c>
      <c r="H65" s="32" t="str">
        <f t="shared" si="3"/>
        <v>Database design</v>
      </c>
      <c r="I65" s="32" t="str">
        <f t="shared" si="10"/>
        <v>+Business Data Types</v>
      </c>
      <c r="J65" s="33" t="str" cm="1">
        <f t="array" aca="1" ref="J6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($E65=CLASSIFICATION[[Keyword Aggr]:[Keyword Aggr]])*($D65=CLASSIFICATION[[Functional Scope Aggr]:[Functional Scope Aggr]])),
_xlpm._platform_keywords, _xlfn.TEXTSPLIT(SUBSTITUTE(SUBSTITUTE(VLOOKUP($D65,_xlpm._platform_range,3,FALSE),"+"&amp;CHAR(34),"+"),CHAR(34),""),", "),
_xlpm._exists, SUMPRODUCT(--ISNUMBER(MATCH(_xlpm._platform_keywords,_xlpm._original_keywords,0)))&gt;0,
_xlfn.IFS(AND(_xlpm._exists,LEFT($E65,1)="+"),"+",_xlpm._exists,"*",NOT(_xlpm._exists),"")
)</f>
        <v/>
      </c>
      <c r="K65" s="33" t="str" cm="1">
        <f t="array" aca="1" ref="K6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($E65=CLASSIFICATION[[Keyword Aggr]:[Keyword Aggr]])*($D65=CLASSIFICATION[[Functional Scope Aggr]:[Functional Scope Aggr]])),
_xlpm._platform_keywords, _xlfn.TEXTSPLIT(SUBSTITUTE(SUBSTITUTE(VLOOKUP($D65,_xlpm._platform_range,3,FALSE),"+"&amp;CHAR(34),"+"),CHAR(34),""),", "),
_xlpm._exists, SUMPRODUCT(--ISNUMBER(MATCH(_xlpm._platform_keywords,_xlpm._original_keywords,0)))&gt;0,
_xlfn.IFS(AND(_xlpm._exists,LEFT($E65,1)="+"),"+",_xlpm._exists,"*",NOT(_xlpm._exists),"")
)</f>
        <v/>
      </c>
      <c r="L65" s="33" t="str" cm="1">
        <f t="array" aca="1" ref="L6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($E65=CLASSIFICATION[[Keyword Aggr]:[Keyword Aggr]])*($D65=CLASSIFICATION[[Functional Scope Aggr]:[Functional Scope Aggr]])),
_xlpm._platform_keywords, _xlfn.TEXTSPLIT(SUBSTITUTE(SUBSTITUTE(VLOOKUP($D65,_xlpm._platform_range,3,FALSE),"+"&amp;CHAR(34),"+"),CHAR(34),""),", "),
_xlpm._exists, SUMPRODUCT(--ISNUMBER(MATCH(_xlpm._platform_keywords,_xlpm._original_keywords,0)))&gt;0,
_xlfn.IFS(AND(_xlpm._exists,LEFT($E65,1)="+"),"+",_xlpm._exists,"*",NOT(_xlpm._exists),"")
)</f>
        <v>+</v>
      </c>
      <c r="M65" s="33" t="str" cm="1">
        <f t="array" aca="1" ref="M6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($E65=CLASSIFICATION[[Keyword Aggr]:[Keyword Aggr]])*($D65=CLASSIFICATION[[Functional Scope Aggr]:[Functional Scope Aggr]])),
_xlpm._platform_keywords, _xlfn.TEXTSPLIT(SUBSTITUTE(SUBSTITUTE(VLOOKUP($D65,_xlpm._platform_range,3,FALSE),"+"&amp;CHAR(34),"+"),CHAR(34),""),", "),
_xlpm._exists, SUMPRODUCT(--ISNUMBER(MATCH(_xlpm._platform_keywords,_xlpm._original_keywords,0)))&gt;0,
_xlfn.IFS(AND(_xlpm._exists,LEFT($E65,1)="+"),"+",_xlpm._exists,"*",NOT(_xlpm._exists),"")
)</f>
        <v>+</v>
      </c>
      <c r="N65" s="33" t="str" cm="1">
        <f t="array" aca="1" ref="N6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($E65=CLASSIFICATION[[Keyword Aggr]:[Keyword Aggr]])*($D65=CLASSIFICATION[[Functional Scope Aggr]:[Functional Scope Aggr]])),
_xlpm._platform_keywords, _xlfn.TEXTSPLIT(SUBSTITUTE(SUBSTITUTE(VLOOKUP($D65,_xlpm._platform_range,3,FALSE),"+"&amp;CHAR(34),"+"),CHAR(34),""),", "),
_xlpm._exists, SUMPRODUCT(--ISNUMBER(MATCH(_xlpm._platform_keywords,_xlpm._original_keywords,0)))&gt;0,
_xlfn.IFS(AND(_xlpm._exists,LEFT($E65,1)="+"),"+",_xlpm._exists,"*",NOT(_xlpm._exists),"")
)</f>
        <v>+</v>
      </c>
      <c r="O65" s="33" t="str" cm="1">
        <f t="array" aca="1" ref="O6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($E65=CLASSIFICATION[[Keyword Aggr]:[Keyword Aggr]])*($D65=CLASSIFICATION[[Functional Scope Aggr]:[Functional Scope Aggr]])),
_xlpm._platform_keywords, _xlfn.TEXTSPLIT(SUBSTITUTE(SUBSTITUTE(VLOOKUP($D65,_xlpm._platform_range,3,FALSE),"+"&amp;CHAR(34),"+"),CHAR(34),""),", "),
_xlpm._exists, SUMPRODUCT(--ISNUMBER(MATCH(_xlpm._platform_keywords,_xlpm._original_keywords,0)))&gt;0,
_xlfn.IFS(AND(_xlpm._exists,LEFT($E65,1)="+"),"+",_xlpm._exists,"*",NOT(_xlpm._exists),"")
)</f>
        <v>+</v>
      </c>
      <c r="Q65" s="33" t="str" cm="1">
        <f t="array" aca="1" ref="Q6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($E65=CLASSIFICATION[[Keyword Aggr]:[Keyword Aggr]])*($D65=CLASSIFICATION[[Functional Scope Aggr]:[Functional Scope Aggr]])),
_xlpm._platform_keywords, _xlfn.TEXTSPLIT(SUBSTITUTE(SUBSTITUTE(VLOOKUP($D65,_xlpm._platform_range,3,FALSE),"+"&amp;CHAR(34),"+"),CHAR(34),""),", "),
_xlpm._exists, SUMPRODUCT(--ISNUMBER(MATCH(_xlpm._platform_keywords,_xlpm._original_keywords,0)))&gt;0,
_xlfn.IFS(_xlpm._exists,1,NOT(_xlpm._exists),"")
)</f>
        <v/>
      </c>
      <c r="R65" s="33" t="str" cm="1">
        <f t="array" aca="1" ref="R6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($E65=CLASSIFICATION[[Keyword Aggr]:[Keyword Aggr]])*($D65=CLASSIFICATION[[Functional Scope Aggr]:[Functional Scope Aggr]])),
_xlpm._platform_keywords, _xlfn.TEXTSPLIT(SUBSTITUTE(SUBSTITUTE(VLOOKUP($D65,_xlpm._platform_range,3,FALSE),"+"&amp;CHAR(34),"+"),CHAR(34),""),", "),
_xlpm._exists, SUMPRODUCT(--ISNUMBER(MATCH(_xlpm._platform_keywords,_xlpm._original_keywords,0)))&gt;0,
_xlfn.IFS(_xlpm._exists,1,NOT(_xlpm._exists),"")
)</f>
        <v/>
      </c>
      <c r="S65" s="33" cm="1">
        <f t="array" aca="1" ref="S6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($E65=CLASSIFICATION[[Keyword Aggr]:[Keyword Aggr]])*($D65=CLASSIFICATION[[Functional Scope Aggr]:[Functional Scope Aggr]])),
_xlpm._platform_keywords, _xlfn.TEXTSPLIT(SUBSTITUTE(SUBSTITUTE(VLOOKUP($D65,_xlpm._platform_range,3,FALSE),"+"&amp;CHAR(34),"+"),CHAR(34),""),", "),
_xlpm._exists, SUMPRODUCT(--ISNUMBER(MATCH(_xlpm._platform_keywords,_xlpm._original_keywords,0)))&gt;0,
_xlfn.IFS(_xlpm._exists,1,NOT(_xlpm._exists),"")
)</f>
        <v>1</v>
      </c>
      <c r="T65" s="33" cm="1">
        <f t="array" aca="1" ref="T6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($E65=CLASSIFICATION[[Keyword Aggr]:[Keyword Aggr]])*($D65=CLASSIFICATION[[Functional Scope Aggr]:[Functional Scope Aggr]])),
_xlpm._platform_keywords, _xlfn.TEXTSPLIT(SUBSTITUTE(SUBSTITUTE(VLOOKUP($D65,_xlpm._platform_range,3,FALSE),"+"&amp;CHAR(34),"+"),CHAR(34),""),", "),
_xlpm._exists, SUMPRODUCT(--ISNUMBER(MATCH(_xlpm._platform_keywords,_xlpm._original_keywords,0)))&gt;0,
_xlfn.IFS(_xlpm._exists,1,NOT(_xlpm._exists),"")
)</f>
        <v>1</v>
      </c>
      <c r="U65" s="33" cm="1">
        <f t="array" aca="1" ref="U6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($E65=CLASSIFICATION[[Keyword Aggr]:[Keyword Aggr]])*($D65=CLASSIFICATION[[Functional Scope Aggr]:[Functional Scope Aggr]])),
_xlpm._platform_keywords, _xlfn.TEXTSPLIT(SUBSTITUTE(SUBSTITUTE(VLOOKUP($D65,_xlpm._platform_range,3,FALSE),"+"&amp;CHAR(34),"+"),CHAR(34),""),", "),
_xlpm._exists, SUMPRODUCT(--ISNUMBER(MATCH(_xlpm._platform_keywords,_xlpm._original_keywords,0)))&gt;0,
_xlfn.IFS(_xlpm._exists,1,NOT(_xlpm._exists),"")
)</f>
        <v>1</v>
      </c>
      <c r="V65" s="33" cm="1">
        <f t="array" aca="1" ref="V6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($E65=CLASSIFICATION[[Keyword Aggr]:[Keyword Aggr]])*($D65=CLASSIFICATION[[Functional Scope Aggr]:[Functional Scope Aggr]])),
_xlpm._platform_keywords, _xlfn.TEXTSPLIT(SUBSTITUTE(SUBSTITUTE(VLOOKUP($D65,_xlpm._platform_range,3,FALSE),"+"&amp;CHAR(34),"+"),CHAR(34),""),", "),
_xlpm._exists, SUMPRODUCT(--ISNUMBER(MATCH(_xlpm._platform_keywords,_xlpm._original_keywords,0)))&gt;0,
_xlfn.IFS(_xlpm._exists,1,NOT(_xlpm._exists),"")
)</f>
        <v>1</v>
      </c>
      <c r="X65" s="33">
        <f t="shared" ca="1" si="4"/>
        <v>2</v>
      </c>
      <c r="Y65" s="33">
        <f t="shared" ca="1" si="5"/>
        <v>2</v>
      </c>
      <c r="Z65" s="33">
        <f t="shared" ca="1" si="6"/>
        <v>2</v>
      </c>
      <c r="AA65" s="33">
        <f t="shared" ca="1" si="7"/>
        <v>5</v>
      </c>
      <c r="AB65" s="33">
        <f t="shared" ca="1" si="8"/>
        <v>4</v>
      </c>
      <c r="AC65" s="33">
        <f t="shared" ca="1" si="9"/>
        <v>1</v>
      </c>
    </row>
    <row r="66" spans="1:29" x14ac:dyDescent="0.25">
      <c r="A66" s="19" t="str">
        <v>Development,Database design,+Custom Database Model</v>
      </c>
      <c r="B66" t="s">
        <v>377</v>
      </c>
      <c r="C66" s="19" t="str" cm="1">
        <f t="array" ref="C66:E66">_xlfn.TEXTSPLIT(A66,",")</f>
        <v>Development</v>
      </c>
      <c r="D66" s="19" t="str">
        <v>Database design</v>
      </c>
      <c r="E66" s="19" t="str">
        <v>+Custom Database Model</v>
      </c>
      <c r="F66" s="36" t="str" cm="1">
        <f t="array" ref="F66">_xlfn.TEXTJOIN(",",TRUE,_xlfn._xlws.FILTER(CLASSIFICATION[Keyword], ($E66=CLASSIFICATION[Keyword Aggr])*($D66=CLASSIFICATION[Functional Scope Aggr])))</f>
        <v>+Custom Database Model</v>
      </c>
      <c r="G66" s="32" t="str">
        <f t="shared" si="2"/>
        <v/>
      </c>
      <c r="H66" s="32" t="str">
        <f t="shared" si="3"/>
        <v/>
      </c>
      <c r="I66" s="32" t="str">
        <f t="shared" si="10"/>
        <v>+Custom Database Model</v>
      </c>
      <c r="J66" s="33" t="str" cm="1">
        <f t="array" aca="1" ref="J6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($E66=CLASSIFICATION[[Keyword Aggr]:[Keyword Aggr]])*($D66=CLASSIFICATION[[Functional Scope Aggr]:[Functional Scope Aggr]])),
_xlpm._platform_keywords, _xlfn.TEXTSPLIT(SUBSTITUTE(SUBSTITUTE(VLOOKUP($D66,_xlpm._platform_range,3,FALSE),"+"&amp;CHAR(34),"+"),CHAR(34),""),", "),
_xlpm._exists, SUMPRODUCT(--ISNUMBER(MATCH(_xlpm._platform_keywords,_xlpm._original_keywords,0)))&gt;0,
_xlfn.IFS(AND(_xlpm._exists,LEFT($E66,1)="+"),"+",_xlpm._exists,"*",NOT(_xlpm._exists),"")
)</f>
        <v/>
      </c>
      <c r="K66" s="33" t="str" cm="1">
        <f t="array" aca="1" ref="K6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($E66=CLASSIFICATION[[Keyword Aggr]:[Keyword Aggr]])*($D66=CLASSIFICATION[[Functional Scope Aggr]:[Functional Scope Aggr]])),
_xlpm._platform_keywords, _xlfn.TEXTSPLIT(SUBSTITUTE(SUBSTITUTE(VLOOKUP($D66,_xlpm._platform_range,3,FALSE),"+"&amp;CHAR(34),"+"),CHAR(34),""),", "),
_xlpm._exists, SUMPRODUCT(--ISNUMBER(MATCH(_xlpm._platform_keywords,_xlpm._original_keywords,0)))&gt;0,
_xlfn.IFS(AND(_xlpm._exists,LEFT($E66,1)="+"),"+",_xlpm._exists,"*",NOT(_xlpm._exists),"")
)</f>
        <v/>
      </c>
      <c r="L66" s="33" t="str" cm="1">
        <f t="array" aca="1" ref="L6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($E66=CLASSIFICATION[[Keyword Aggr]:[Keyword Aggr]])*($D66=CLASSIFICATION[[Functional Scope Aggr]:[Functional Scope Aggr]])),
_xlpm._platform_keywords, _xlfn.TEXTSPLIT(SUBSTITUTE(SUBSTITUTE(VLOOKUP($D66,_xlpm._platform_range,3,FALSE),"+"&amp;CHAR(34),"+"),CHAR(34),""),", "),
_xlpm._exists, SUMPRODUCT(--ISNUMBER(MATCH(_xlpm._platform_keywords,_xlpm._original_keywords,0)))&gt;0,
_xlfn.IFS(AND(_xlpm._exists,LEFT($E66,1)="+"),"+",_xlpm._exists,"*",NOT(_xlpm._exists),"")
)</f>
        <v>+</v>
      </c>
      <c r="M66" s="33" t="str" cm="1">
        <f t="array" aca="1" ref="M6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($E66=CLASSIFICATION[[Keyword Aggr]:[Keyword Aggr]])*($D66=CLASSIFICATION[[Functional Scope Aggr]:[Functional Scope Aggr]])),
_xlpm._platform_keywords, _xlfn.TEXTSPLIT(SUBSTITUTE(SUBSTITUTE(VLOOKUP($D66,_xlpm._platform_range,3,FALSE),"+"&amp;CHAR(34),"+"),CHAR(34),""),", "),
_xlpm._exists, SUMPRODUCT(--ISNUMBER(MATCH(_xlpm._platform_keywords,_xlpm._original_keywords,0)))&gt;0,
_xlfn.IFS(AND(_xlpm._exists,LEFT($E66,1)="+"),"+",_xlpm._exists,"*",NOT(_xlpm._exists),"")
)</f>
        <v/>
      </c>
      <c r="N66" s="33" t="str" cm="1">
        <f t="array" aca="1" ref="N6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($E66=CLASSIFICATION[[Keyword Aggr]:[Keyword Aggr]])*($D66=CLASSIFICATION[[Functional Scope Aggr]:[Functional Scope Aggr]])),
_xlpm._platform_keywords, _xlfn.TEXTSPLIT(SUBSTITUTE(SUBSTITUTE(VLOOKUP($D66,_xlpm._platform_range,3,FALSE),"+"&amp;CHAR(34),"+"),CHAR(34),""),", "),
_xlpm._exists, SUMPRODUCT(--ISNUMBER(MATCH(_xlpm._platform_keywords,_xlpm._original_keywords,0)))&gt;0,
_xlfn.IFS(AND(_xlpm._exists,LEFT($E66,1)="+"),"+",_xlpm._exists,"*",NOT(_xlpm._exists),"")
)</f>
        <v/>
      </c>
      <c r="O66" s="33" t="str" cm="1">
        <f t="array" aca="1" ref="O6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($E66=CLASSIFICATION[[Keyword Aggr]:[Keyword Aggr]])*($D66=CLASSIFICATION[[Functional Scope Aggr]:[Functional Scope Aggr]])),
_xlpm._platform_keywords, _xlfn.TEXTSPLIT(SUBSTITUTE(SUBSTITUTE(VLOOKUP($D66,_xlpm._platform_range,3,FALSE),"+"&amp;CHAR(34),"+"),CHAR(34),""),", "),
_xlpm._exists, SUMPRODUCT(--ISNUMBER(MATCH(_xlpm._platform_keywords,_xlpm._original_keywords,0)))&gt;0,
_xlfn.IFS(AND(_xlpm._exists,LEFT($E66,1)="+"),"+",_xlpm._exists,"*",NOT(_xlpm._exists),"")
)</f>
        <v/>
      </c>
      <c r="Q66" s="33" t="str" cm="1">
        <f t="array" aca="1" ref="Q6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($E66=CLASSIFICATION[[Keyword Aggr]:[Keyword Aggr]])*($D66=CLASSIFICATION[[Functional Scope Aggr]:[Functional Scope Aggr]])),
_xlpm._platform_keywords, _xlfn.TEXTSPLIT(SUBSTITUTE(SUBSTITUTE(VLOOKUP($D66,_xlpm._platform_range,3,FALSE),"+"&amp;CHAR(34),"+"),CHAR(34),""),", "),
_xlpm._exists, SUMPRODUCT(--ISNUMBER(MATCH(_xlpm._platform_keywords,_xlpm._original_keywords,0)))&gt;0,
_xlfn.IFS(_xlpm._exists,1,NOT(_xlpm._exists),"")
)</f>
        <v/>
      </c>
      <c r="R66" s="33" t="str" cm="1">
        <f t="array" aca="1" ref="R6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($E66=CLASSIFICATION[[Keyword Aggr]:[Keyword Aggr]])*($D66=CLASSIFICATION[[Functional Scope Aggr]:[Functional Scope Aggr]])),
_xlpm._platform_keywords, _xlfn.TEXTSPLIT(SUBSTITUTE(SUBSTITUTE(VLOOKUP($D66,_xlpm._platform_range,3,FALSE),"+"&amp;CHAR(34),"+"),CHAR(34),""),", "),
_xlpm._exists, SUMPRODUCT(--ISNUMBER(MATCH(_xlpm._platform_keywords,_xlpm._original_keywords,0)))&gt;0,
_xlfn.IFS(_xlpm._exists,1,NOT(_xlpm._exists),"")
)</f>
        <v/>
      </c>
      <c r="S66" s="33" cm="1">
        <f t="array" aca="1" ref="S6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($E66=CLASSIFICATION[[Keyword Aggr]:[Keyword Aggr]])*($D66=CLASSIFICATION[[Functional Scope Aggr]:[Functional Scope Aggr]])),
_xlpm._platform_keywords, _xlfn.TEXTSPLIT(SUBSTITUTE(SUBSTITUTE(VLOOKUP($D66,_xlpm._platform_range,3,FALSE),"+"&amp;CHAR(34),"+"),CHAR(34),""),", "),
_xlpm._exists, SUMPRODUCT(--ISNUMBER(MATCH(_xlpm._platform_keywords,_xlpm._original_keywords,0)))&gt;0,
_xlfn.IFS(_xlpm._exists,1,NOT(_xlpm._exists),"")
)</f>
        <v>1</v>
      </c>
      <c r="T66" s="33" t="str" cm="1">
        <f t="array" aca="1" ref="T6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($E66=CLASSIFICATION[[Keyword Aggr]:[Keyword Aggr]])*($D66=CLASSIFICATION[[Functional Scope Aggr]:[Functional Scope Aggr]])),
_xlpm._platform_keywords, _xlfn.TEXTSPLIT(SUBSTITUTE(SUBSTITUTE(VLOOKUP($D66,_xlpm._platform_range,3,FALSE),"+"&amp;CHAR(34),"+"),CHAR(34),""),", "),
_xlpm._exists, SUMPRODUCT(--ISNUMBER(MATCH(_xlpm._platform_keywords,_xlpm._original_keywords,0)))&gt;0,
_xlfn.IFS(_xlpm._exists,1,NOT(_xlpm._exists),"")
)</f>
        <v/>
      </c>
      <c r="U66" s="33" t="str" cm="1">
        <f t="array" aca="1" ref="U6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($E66=CLASSIFICATION[[Keyword Aggr]:[Keyword Aggr]])*($D66=CLASSIFICATION[[Functional Scope Aggr]:[Functional Scope Aggr]])),
_xlpm._platform_keywords, _xlfn.TEXTSPLIT(SUBSTITUTE(SUBSTITUTE(VLOOKUP($D66,_xlpm._platform_range,3,FALSE),"+"&amp;CHAR(34),"+"),CHAR(34),""),", "),
_xlpm._exists, SUMPRODUCT(--ISNUMBER(MATCH(_xlpm._platform_keywords,_xlpm._original_keywords,0)))&gt;0,
_xlfn.IFS(_xlpm._exists,1,NOT(_xlpm._exists),"")
)</f>
        <v/>
      </c>
      <c r="V66" s="33" t="str" cm="1">
        <f t="array" aca="1" ref="V6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($E66=CLASSIFICATION[[Keyword Aggr]:[Keyword Aggr]])*($D66=CLASSIFICATION[[Functional Scope Aggr]:[Functional Scope Aggr]])),
_xlpm._platform_keywords, _xlfn.TEXTSPLIT(SUBSTITUTE(SUBSTITUTE(VLOOKUP($D66,_xlpm._platform_range,3,FALSE),"+"&amp;CHAR(34),"+"),CHAR(34),""),", "),
_xlpm._exists, SUMPRODUCT(--ISNUMBER(MATCH(_xlpm._platform_keywords,_xlpm._original_keywords,0)))&gt;0,
_xlfn.IFS(_xlpm._exists,1,NOT(_xlpm._exists),"")
)</f>
        <v/>
      </c>
      <c r="X66" s="33" t="str">
        <f t="shared" si="4"/>
        <v/>
      </c>
      <c r="Y66" s="33" t="str">
        <f t="shared" si="5"/>
        <v/>
      </c>
      <c r="Z66" s="33" t="str">
        <f t="shared" si="6"/>
        <v/>
      </c>
      <c r="AA66" s="33" t="str">
        <f t="shared" si="7"/>
        <v/>
      </c>
      <c r="AB66" s="33" t="str">
        <f t="shared" si="8"/>
        <v/>
      </c>
      <c r="AC66" s="33" t="str">
        <f t="shared" si="9"/>
        <v/>
      </c>
    </row>
    <row r="67" spans="1:29" x14ac:dyDescent="0.25">
      <c r="A67" s="19" t="str">
        <v>Development,Database design,+References</v>
      </c>
      <c r="B67" t="s">
        <v>377</v>
      </c>
      <c r="C67" s="19" t="str" cm="1">
        <f t="array" ref="C67:E67">_xlfn.TEXTSPLIT(A67,",")</f>
        <v>Development</v>
      </c>
      <c r="D67" s="19" t="str">
        <v>Database design</v>
      </c>
      <c r="E67" s="19" t="str">
        <v>+References</v>
      </c>
      <c r="F67" s="36" t="str" cm="1">
        <f t="array" ref="F67">_xlfn.TEXTJOIN(",",TRUE,_xlfn._xlws.FILTER(CLASSIFICATION[Keyword], ($E67=CLASSIFICATION[Keyword Aggr])*($D67=CLASSIFICATION[Functional Scope Aggr])))</f>
        <v>+Lookup Column,+Reference Column,+References</v>
      </c>
      <c r="G67" s="32" t="str">
        <f t="shared" ref="G67:G130" si="11">IF(C67&lt;&gt;C66,C67,"")</f>
        <v/>
      </c>
      <c r="H67" s="32" t="str">
        <f t="shared" ref="H67:H130" si="12">IF(D67&lt;&gt;D66,D67,"")</f>
        <v/>
      </c>
      <c r="I67" s="32" t="str">
        <f t="shared" ref="I67:I130" si="13">E67</f>
        <v>+References</v>
      </c>
      <c r="J67" s="33" t="str" cm="1">
        <f t="array" aca="1" ref="J6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($E67=CLASSIFICATION[[Keyword Aggr]:[Keyword Aggr]])*($D67=CLASSIFICATION[[Functional Scope Aggr]:[Functional Scope Aggr]])),
_xlpm._platform_keywords, _xlfn.TEXTSPLIT(SUBSTITUTE(SUBSTITUTE(VLOOKUP($D67,_xlpm._platform_range,3,FALSE),"+"&amp;CHAR(34),"+"),CHAR(34),""),", "),
_xlpm._exists, SUMPRODUCT(--ISNUMBER(MATCH(_xlpm._platform_keywords,_xlpm._original_keywords,0)))&gt;0,
_xlfn.IFS(AND(_xlpm._exists,LEFT($E67,1)="+"),"+",_xlpm._exists,"*",NOT(_xlpm._exists),"")
)</f>
        <v/>
      </c>
      <c r="K67" s="33" t="str" cm="1">
        <f t="array" aca="1" ref="K6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($E67=CLASSIFICATION[[Keyword Aggr]:[Keyword Aggr]])*($D67=CLASSIFICATION[[Functional Scope Aggr]:[Functional Scope Aggr]])),
_xlpm._platform_keywords, _xlfn.TEXTSPLIT(SUBSTITUTE(SUBSTITUTE(VLOOKUP($D67,_xlpm._platform_range,3,FALSE),"+"&amp;CHAR(34),"+"),CHAR(34),""),", "),
_xlpm._exists, SUMPRODUCT(--ISNUMBER(MATCH(_xlpm._platform_keywords,_xlpm._original_keywords,0)))&gt;0,
_xlfn.IFS(AND(_xlpm._exists,LEFT($E67,1)="+"),"+",_xlpm._exists,"*",NOT(_xlpm._exists),"")
)</f>
        <v/>
      </c>
      <c r="L67" s="33" t="str" cm="1">
        <f t="array" aca="1" ref="L6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($E67=CLASSIFICATION[[Keyword Aggr]:[Keyword Aggr]])*($D67=CLASSIFICATION[[Functional Scope Aggr]:[Functional Scope Aggr]])),
_xlpm._platform_keywords, _xlfn.TEXTSPLIT(SUBSTITUTE(SUBSTITUTE(VLOOKUP($D67,_xlpm._platform_range,3,FALSE),"+"&amp;CHAR(34),"+"),CHAR(34),""),", "),
_xlpm._exists, SUMPRODUCT(--ISNUMBER(MATCH(_xlpm._platform_keywords,_xlpm._original_keywords,0)))&gt;0,
_xlfn.IFS(AND(_xlpm._exists,LEFT($E67,1)="+"),"+",_xlpm._exists,"*",NOT(_xlpm._exists),"")
)</f>
        <v/>
      </c>
      <c r="M67" s="33" t="str" cm="1">
        <f t="array" aca="1" ref="M6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($E67=CLASSIFICATION[[Keyword Aggr]:[Keyword Aggr]])*($D67=CLASSIFICATION[[Functional Scope Aggr]:[Functional Scope Aggr]])),
_xlpm._platform_keywords, _xlfn.TEXTSPLIT(SUBSTITUTE(SUBSTITUTE(VLOOKUP($D67,_xlpm._platform_range,3,FALSE),"+"&amp;CHAR(34),"+"),CHAR(34),""),", "),
_xlpm._exists, SUMPRODUCT(--ISNUMBER(MATCH(_xlpm._platform_keywords,_xlpm._original_keywords,0)))&gt;0,
_xlfn.IFS(AND(_xlpm._exists,LEFT($E67,1)="+"),"+",_xlpm._exists,"*",NOT(_xlpm._exists),"")
)</f>
        <v/>
      </c>
      <c r="N67" s="33" t="str" cm="1">
        <f t="array" aca="1" ref="N6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($E67=CLASSIFICATION[[Keyword Aggr]:[Keyword Aggr]])*($D67=CLASSIFICATION[[Functional Scope Aggr]:[Functional Scope Aggr]])),
_xlpm._platform_keywords, _xlfn.TEXTSPLIT(SUBSTITUTE(SUBSTITUTE(VLOOKUP($D67,_xlpm._platform_range,3,FALSE),"+"&amp;CHAR(34),"+"),CHAR(34),""),", "),
_xlpm._exists, SUMPRODUCT(--ISNUMBER(MATCH(_xlpm._platform_keywords,_xlpm._original_keywords,0)))&gt;0,
_xlfn.IFS(AND(_xlpm._exists,LEFT($E67,1)="+"),"+",_xlpm._exists,"*",NOT(_xlpm._exists),"")
)</f>
        <v>+</v>
      </c>
      <c r="O67" s="33" t="str" cm="1">
        <f t="array" aca="1" ref="O6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($E67=CLASSIFICATION[[Keyword Aggr]:[Keyword Aggr]])*($D67=CLASSIFICATION[[Functional Scope Aggr]:[Functional Scope Aggr]])),
_xlpm._platform_keywords, _xlfn.TEXTSPLIT(SUBSTITUTE(SUBSTITUTE(VLOOKUP($D67,_xlpm._platform_range,3,FALSE),"+"&amp;CHAR(34),"+"),CHAR(34),""),", "),
_xlpm._exists, SUMPRODUCT(--ISNUMBER(MATCH(_xlpm._platform_keywords,_xlpm._original_keywords,0)))&gt;0,
_xlfn.IFS(AND(_xlpm._exists,LEFT($E67,1)="+"),"+",_xlpm._exists,"*",NOT(_xlpm._exists),"")
)</f>
        <v>+</v>
      </c>
      <c r="Q67" s="33" t="str" cm="1">
        <f t="array" aca="1" ref="Q6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($E67=CLASSIFICATION[[Keyword Aggr]:[Keyword Aggr]])*($D67=CLASSIFICATION[[Functional Scope Aggr]:[Functional Scope Aggr]])),
_xlpm._platform_keywords, _xlfn.TEXTSPLIT(SUBSTITUTE(SUBSTITUTE(VLOOKUP($D67,_xlpm._platform_range,3,FALSE),"+"&amp;CHAR(34),"+"),CHAR(34),""),", "),
_xlpm._exists, SUMPRODUCT(--ISNUMBER(MATCH(_xlpm._platform_keywords,_xlpm._original_keywords,0)))&gt;0,
_xlfn.IFS(_xlpm._exists,1,NOT(_xlpm._exists),"")
)</f>
        <v/>
      </c>
      <c r="R67" s="33" t="str" cm="1">
        <f t="array" aca="1" ref="R6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($E67=CLASSIFICATION[[Keyword Aggr]:[Keyword Aggr]])*($D67=CLASSIFICATION[[Functional Scope Aggr]:[Functional Scope Aggr]])),
_xlpm._platform_keywords, _xlfn.TEXTSPLIT(SUBSTITUTE(SUBSTITUTE(VLOOKUP($D67,_xlpm._platform_range,3,FALSE),"+"&amp;CHAR(34),"+"),CHAR(34),""),", "),
_xlpm._exists, SUMPRODUCT(--ISNUMBER(MATCH(_xlpm._platform_keywords,_xlpm._original_keywords,0)))&gt;0,
_xlfn.IFS(_xlpm._exists,1,NOT(_xlpm._exists),"")
)</f>
        <v/>
      </c>
      <c r="S67" s="33" t="str" cm="1">
        <f t="array" aca="1" ref="S6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($E67=CLASSIFICATION[[Keyword Aggr]:[Keyword Aggr]])*($D67=CLASSIFICATION[[Functional Scope Aggr]:[Functional Scope Aggr]])),
_xlpm._platform_keywords, _xlfn.TEXTSPLIT(SUBSTITUTE(SUBSTITUTE(VLOOKUP($D67,_xlpm._platform_range,3,FALSE),"+"&amp;CHAR(34),"+"),CHAR(34),""),", "),
_xlpm._exists, SUMPRODUCT(--ISNUMBER(MATCH(_xlpm._platform_keywords,_xlpm._original_keywords,0)))&gt;0,
_xlfn.IFS(_xlpm._exists,1,NOT(_xlpm._exists),"")
)</f>
        <v/>
      </c>
      <c r="T67" s="33" t="str" cm="1">
        <f t="array" aca="1" ref="T6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($E67=CLASSIFICATION[[Keyword Aggr]:[Keyword Aggr]])*($D67=CLASSIFICATION[[Functional Scope Aggr]:[Functional Scope Aggr]])),
_xlpm._platform_keywords, _xlfn.TEXTSPLIT(SUBSTITUTE(SUBSTITUTE(VLOOKUP($D67,_xlpm._platform_range,3,FALSE),"+"&amp;CHAR(34),"+"),CHAR(34),""),", "),
_xlpm._exists, SUMPRODUCT(--ISNUMBER(MATCH(_xlpm._platform_keywords,_xlpm._original_keywords,0)))&gt;0,
_xlfn.IFS(_xlpm._exists,1,NOT(_xlpm._exists),"")
)</f>
        <v/>
      </c>
      <c r="U67" s="33" cm="1">
        <f t="array" aca="1" ref="U6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($E67=CLASSIFICATION[[Keyword Aggr]:[Keyword Aggr]])*($D67=CLASSIFICATION[[Functional Scope Aggr]:[Functional Scope Aggr]])),
_xlpm._platform_keywords, _xlfn.TEXTSPLIT(SUBSTITUTE(SUBSTITUTE(VLOOKUP($D67,_xlpm._platform_range,3,FALSE),"+"&amp;CHAR(34),"+"),CHAR(34),""),", "),
_xlpm._exists, SUMPRODUCT(--ISNUMBER(MATCH(_xlpm._platform_keywords,_xlpm._original_keywords,0)))&gt;0,
_xlfn.IFS(_xlpm._exists,1,NOT(_xlpm._exists),"")
)</f>
        <v>1</v>
      </c>
      <c r="V67" s="33" cm="1">
        <f t="array" aca="1" ref="V6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($E67=CLASSIFICATION[[Keyword Aggr]:[Keyword Aggr]])*($D67=CLASSIFICATION[[Functional Scope Aggr]:[Functional Scope Aggr]])),
_xlpm._platform_keywords, _xlfn.TEXTSPLIT(SUBSTITUTE(SUBSTITUTE(VLOOKUP($D67,_xlpm._platform_range,3,FALSE),"+"&amp;CHAR(34),"+"),CHAR(34),""),", "),
_xlpm._exists, SUMPRODUCT(--ISNUMBER(MATCH(_xlpm._platform_keywords,_xlpm._original_keywords,0)))&gt;0,
_xlfn.IFS(_xlpm._exists,1,NOT(_xlpm._exists),"")
)</f>
        <v>1</v>
      </c>
      <c r="X67" s="33" t="str">
        <f t="shared" ref="X67:X130" si="14">IF($H67&lt;&gt;"",COUNTIFS(J$2:J$500,"~*",$D$2:$D$500,$H67),"")</f>
        <v/>
      </c>
      <c r="Y67" s="33" t="str">
        <f t="shared" ref="Y67:Y130" si="15">IF($H67&lt;&gt;"",COUNTIFS(K$2:K$500,"~*",$D$2:$D$500,$H67),"")</f>
        <v/>
      </c>
      <c r="Z67" s="33" t="str">
        <f t="shared" ref="Z67:Z130" si="16">IF($H67&lt;&gt;"",COUNTIFS(L$2:L$500,"~*",$D$2:$D$500,$H67),"")</f>
        <v/>
      </c>
      <c r="AA67" s="33" t="str">
        <f t="shared" ref="AA67:AA130" si="17">IF($H67&lt;&gt;"",COUNTIFS(M$2:M$500,"~*",$D$2:$D$500,$H67),"")</f>
        <v/>
      </c>
      <c r="AB67" s="33" t="str">
        <f t="shared" ref="AB67:AB130" si="18">IF($H67&lt;&gt;"",COUNTIFS(N$2:N$500,"~*",$D$2:$D$500,$H67),"")</f>
        <v/>
      </c>
      <c r="AC67" s="33" t="str">
        <f t="shared" ref="AC67:AC130" si="19">IF($H67&lt;&gt;"",COUNTIFS(O$2:O$500,"~*",$D$2:$D$500,$H67),"")</f>
        <v/>
      </c>
    </row>
    <row r="68" spans="1:29" x14ac:dyDescent="0.25">
      <c r="A68" s="19" t="str">
        <v>Development,Database design,+Slices</v>
      </c>
      <c r="B68" t="s">
        <v>377</v>
      </c>
      <c r="C68" s="19" t="str" cm="1">
        <f t="array" ref="C68:E68">_xlfn.TEXTSPLIT(A68,",")</f>
        <v>Development</v>
      </c>
      <c r="D68" s="19" t="str">
        <v>Database design</v>
      </c>
      <c r="E68" s="19" t="str">
        <v>+Slices</v>
      </c>
      <c r="F68" s="36" t="str" cm="1">
        <f t="array" ref="F68">_xlfn.TEXTJOIN(",",TRUE,_xlfn._xlws.FILTER(CLASSIFICATION[Keyword], ($E68=CLASSIFICATION[Keyword Aggr])*($D68=CLASSIFICATION[Functional Scope Aggr])))</f>
        <v>+Slices (Subset od data; columns and actions)</v>
      </c>
      <c r="G68" s="32" t="str">
        <f t="shared" si="11"/>
        <v/>
      </c>
      <c r="H68" s="32" t="str">
        <f t="shared" si="12"/>
        <v/>
      </c>
      <c r="I68" s="32" t="str">
        <f t="shared" si="13"/>
        <v>+Slices</v>
      </c>
      <c r="J68" s="33" t="str" cm="1">
        <f t="array" aca="1" ref="J6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($E68=CLASSIFICATION[[Keyword Aggr]:[Keyword Aggr]])*($D68=CLASSIFICATION[[Functional Scope Aggr]:[Functional Scope Aggr]])),
_xlpm._platform_keywords, _xlfn.TEXTSPLIT(SUBSTITUTE(SUBSTITUTE(VLOOKUP($D68,_xlpm._platform_range,3,FALSE),"+"&amp;CHAR(34),"+"),CHAR(34),""),", "),
_xlpm._exists, SUMPRODUCT(--ISNUMBER(MATCH(_xlpm._platform_keywords,_xlpm._original_keywords,0)))&gt;0,
_xlfn.IFS(AND(_xlpm._exists,LEFT($E68,1)="+"),"+",_xlpm._exists,"*",NOT(_xlpm._exists),"")
)</f>
        <v/>
      </c>
      <c r="K68" s="33" t="str" cm="1">
        <f t="array" aca="1" ref="K6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($E68=CLASSIFICATION[[Keyword Aggr]:[Keyword Aggr]])*($D68=CLASSIFICATION[[Functional Scope Aggr]:[Functional Scope Aggr]])),
_xlpm._platform_keywords, _xlfn.TEXTSPLIT(SUBSTITUTE(SUBSTITUTE(VLOOKUP($D68,_xlpm._platform_range,3,FALSE),"+"&amp;CHAR(34),"+"),CHAR(34),""),", "),
_xlpm._exists, SUMPRODUCT(--ISNUMBER(MATCH(_xlpm._platform_keywords,_xlpm._original_keywords,0)))&gt;0,
_xlfn.IFS(AND(_xlpm._exists,LEFT($E68,1)="+"),"+",_xlpm._exists,"*",NOT(_xlpm._exists),"")
)</f>
        <v/>
      </c>
      <c r="L68" s="33" t="str" cm="1">
        <f t="array" aca="1" ref="L6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($E68=CLASSIFICATION[[Keyword Aggr]:[Keyword Aggr]])*($D68=CLASSIFICATION[[Functional Scope Aggr]:[Functional Scope Aggr]])),
_xlpm._platform_keywords, _xlfn.TEXTSPLIT(SUBSTITUTE(SUBSTITUTE(VLOOKUP($D68,_xlpm._platform_range,3,FALSE),"+"&amp;CHAR(34),"+"),CHAR(34),""),", "),
_xlpm._exists, SUMPRODUCT(--ISNUMBER(MATCH(_xlpm._platform_keywords,_xlpm._original_keywords,0)))&gt;0,
_xlfn.IFS(AND(_xlpm._exists,LEFT($E68,1)="+"),"+",_xlpm._exists,"*",NOT(_xlpm._exists),"")
)</f>
        <v/>
      </c>
      <c r="M68" s="33" t="str" cm="1">
        <f t="array" aca="1" ref="M6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($E68=CLASSIFICATION[[Keyword Aggr]:[Keyword Aggr]])*($D68=CLASSIFICATION[[Functional Scope Aggr]:[Functional Scope Aggr]])),
_xlpm._platform_keywords, _xlfn.TEXTSPLIT(SUBSTITUTE(SUBSTITUTE(VLOOKUP($D68,_xlpm._platform_range,3,FALSE),"+"&amp;CHAR(34),"+"),CHAR(34),""),", "),
_xlpm._exists, SUMPRODUCT(--ISNUMBER(MATCH(_xlpm._platform_keywords,_xlpm._original_keywords,0)))&gt;0,
_xlfn.IFS(AND(_xlpm._exists,LEFT($E68,1)="+"),"+",_xlpm._exists,"*",NOT(_xlpm._exists),"")
)</f>
        <v/>
      </c>
      <c r="N68" s="33" t="str" cm="1">
        <f t="array" aca="1" ref="N6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($E68=CLASSIFICATION[[Keyword Aggr]:[Keyword Aggr]])*($D68=CLASSIFICATION[[Functional Scope Aggr]:[Functional Scope Aggr]])),
_xlpm._platform_keywords, _xlfn.TEXTSPLIT(SUBSTITUTE(SUBSTITUTE(VLOOKUP($D68,_xlpm._platform_range,3,FALSE),"+"&amp;CHAR(34),"+"),CHAR(34),""),", "),
_xlpm._exists, SUMPRODUCT(--ISNUMBER(MATCH(_xlpm._platform_keywords,_xlpm._original_keywords,0)))&gt;0,
_xlfn.IFS(AND(_xlpm._exists,LEFT($E68,1)="+"),"+",_xlpm._exists,"*",NOT(_xlpm._exists),"")
)</f>
        <v>+</v>
      </c>
      <c r="O68" s="33" t="str" cm="1">
        <f t="array" aca="1" ref="O6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($E68=CLASSIFICATION[[Keyword Aggr]:[Keyword Aggr]])*($D68=CLASSIFICATION[[Functional Scope Aggr]:[Functional Scope Aggr]])),
_xlpm._platform_keywords, _xlfn.TEXTSPLIT(SUBSTITUTE(SUBSTITUTE(VLOOKUP($D68,_xlpm._platform_range,3,FALSE),"+"&amp;CHAR(34),"+"),CHAR(34),""),", "),
_xlpm._exists, SUMPRODUCT(--ISNUMBER(MATCH(_xlpm._platform_keywords,_xlpm._original_keywords,0)))&gt;0,
_xlfn.IFS(AND(_xlpm._exists,LEFT($E68,1)="+"),"+",_xlpm._exists,"*",NOT(_xlpm._exists),"")
)</f>
        <v/>
      </c>
      <c r="Q68" s="33" t="str" cm="1">
        <f t="array" aca="1" ref="Q6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($E68=CLASSIFICATION[[Keyword Aggr]:[Keyword Aggr]])*($D68=CLASSIFICATION[[Functional Scope Aggr]:[Functional Scope Aggr]])),
_xlpm._platform_keywords, _xlfn.TEXTSPLIT(SUBSTITUTE(SUBSTITUTE(VLOOKUP($D68,_xlpm._platform_range,3,FALSE),"+"&amp;CHAR(34),"+"),CHAR(34),""),", "),
_xlpm._exists, SUMPRODUCT(--ISNUMBER(MATCH(_xlpm._platform_keywords,_xlpm._original_keywords,0)))&gt;0,
_xlfn.IFS(_xlpm._exists,1,NOT(_xlpm._exists),"")
)</f>
        <v/>
      </c>
      <c r="R68" s="33" t="str" cm="1">
        <f t="array" aca="1" ref="R6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($E68=CLASSIFICATION[[Keyword Aggr]:[Keyword Aggr]])*($D68=CLASSIFICATION[[Functional Scope Aggr]:[Functional Scope Aggr]])),
_xlpm._platform_keywords, _xlfn.TEXTSPLIT(SUBSTITUTE(SUBSTITUTE(VLOOKUP($D68,_xlpm._platform_range,3,FALSE),"+"&amp;CHAR(34),"+"),CHAR(34),""),", "),
_xlpm._exists, SUMPRODUCT(--ISNUMBER(MATCH(_xlpm._platform_keywords,_xlpm._original_keywords,0)))&gt;0,
_xlfn.IFS(_xlpm._exists,1,NOT(_xlpm._exists),"")
)</f>
        <v/>
      </c>
      <c r="S68" s="33" t="str" cm="1">
        <f t="array" aca="1" ref="S6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($E68=CLASSIFICATION[[Keyword Aggr]:[Keyword Aggr]])*($D68=CLASSIFICATION[[Functional Scope Aggr]:[Functional Scope Aggr]])),
_xlpm._platform_keywords, _xlfn.TEXTSPLIT(SUBSTITUTE(SUBSTITUTE(VLOOKUP($D68,_xlpm._platform_range,3,FALSE),"+"&amp;CHAR(34),"+"),CHAR(34),""),", "),
_xlpm._exists, SUMPRODUCT(--ISNUMBER(MATCH(_xlpm._platform_keywords,_xlpm._original_keywords,0)))&gt;0,
_xlfn.IFS(_xlpm._exists,1,NOT(_xlpm._exists),"")
)</f>
        <v/>
      </c>
      <c r="T68" s="33" t="str" cm="1">
        <f t="array" aca="1" ref="T6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($E68=CLASSIFICATION[[Keyword Aggr]:[Keyword Aggr]])*($D68=CLASSIFICATION[[Functional Scope Aggr]:[Functional Scope Aggr]])),
_xlpm._platform_keywords, _xlfn.TEXTSPLIT(SUBSTITUTE(SUBSTITUTE(VLOOKUP($D68,_xlpm._platform_range,3,FALSE),"+"&amp;CHAR(34),"+"),CHAR(34),""),", "),
_xlpm._exists, SUMPRODUCT(--ISNUMBER(MATCH(_xlpm._platform_keywords,_xlpm._original_keywords,0)))&gt;0,
_xlfn.IFS(_xlpm._exists,1,NOT(_xlpm._exists),"")
)</f>
        <v/>
      </c>
      <c r="U68" s="33" cm="1">
        <f t="array" aca="1" ref="U6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($E68=CLASSIFICATION[[Keyword Aggr]:[Keyword Aggr]])*($D68=CLASSIFICATION[[Functional Scope Aggr]:[Functional Scope Aggr]])),
_xlpm._platform_keywords, _xlfn.TEXTSPLIT(SUBSTITUTE(SUBSTITUTE(VLOOKUP($D68,_xlpm._platform_range,3,FALSE),"+"&amp;CHAR(34),"+"),CHAR(34),""),", "),
_xlpm._exists, SUMPRODUCT(--ISNUMBER(MATCH(_xlpm._platform_keywords,_xlpm._original_keywords,0)))&gt;0,
_xlfn.IFS(_xlpm._exists,1,NOT(_xlpm._exists),"")
)</f>
        <v>1</v>
      </c>
      <c r="V68" s="33" t="str" cm="1">
        <f t="array" aca="1" ref="V6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($E68=CLASSIFICATION[[Keyword Aggr]:[Keyword Aggr]])*($D68=CLASSIFICATION[[Functional Scope Aggr]:[Functional Scope Aggr]])),
_xlpm._platform_keywords, _xlfn.TEXTSPLIT(SUBSTITUTE(SUBSTITUTE(VLOOKUP($D68,_xlpm._platform_range,3,FALSE),"+"&amp;CHAR(34),"+"),CHAR(34),""),", "),
_xlpm._exists, SUMPRODUCT(--ISNUMBER(MATCH(_xlpm._platform_keywords,_xlpm._original_keywords,0)))&gt;0,
_xlfn.IFS(_xlpm._exists,1,NOT(_xlpm._exists),"")
)</f>
        <v/>
      </c>
      <c r="X68" s="33" t="str">
        <f t="shared" si="14"/>
        <v/>
      </c>
      <c r="Y68" s="33" t="str">
        <f t="shared" si="15"/>
        <v/>
      </c>
      <c r="Z68" s="33" t="str">
        <f t="shared" si="16"/>
        <v/>
      </c>
      <c r="AA68" s="33" t="str">
        <f t="shared" si="17"/>
        <v/>
      </c>
      <c r="AB68" s="33" t="str">
        <f t="shared" si="18"/>
        <v/>
      </c>
      <c r="AC68" s="33" t="str">
        <f t="shared" si="19"/>
        <v/>
      </c>
    </row>
    <row r="69" spans="1:29" x14ac:dyDescent="0.25">
      <c r="A69" s="19" t="str">
        <v>Development,Database design,Actions</v>
      </c>
      <c r="B69" t="s">
        <v>377</v>
      </c>
      <c r="C69" s="19" t="str" cm="1">
        <f t="array" ref="C69:E69">_xlfn.TEXTSPLIT(A69,",")</f>
        <v>Development</v>
      </c>
      <c r="D69" s="19" t="str">
        <v>Database design</v>
      </c>
      <c r="E69" s="19" t="str">
        <v>Actions</v>
      </c>
      <c r="F69" s="36" t="str" cm="1">
        <f t="array" ref="F69">_xlfn.TEXTJOIN(",",TRUE,_xlfn._xlws.FILTER(CLASSIFICATION[Keyword], ($E69=CLASSIFICATION[Keyword Aggr])*($D69=CLASSIFICATION[Functional Scope Aggr])))</f>
        <v>Actions</v>
      </c>
      <c r="G69" s="32" t="str">
        <f t="shared" si="11"/>
        <v/>
      </c>
      <c r="H69" s="32" t="str">
        <f t="shared" si="12"/>
        <v/>
      </c>
      <c r="I69" s="32" t="str">
        <f t="shared" si="13"/>
        <v>Actions</v>
      </c>
      <c r="J69" s="33" t="str" cm="1">
        <f t="array" aca="1" ref="J6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($E69=CLASSIFICATION[[Keyword Aggr]:[Keyword Aggr]])*($D69=CLASSIFICATION[[Functional Scope Aggr]:[Functional Scope Aggr]])),
_xlpm._platform_keywords, _xlfn.TEXTSPLIT(SUBSTITUTE(SUBSTITUTE(VLOOKUP($D69,_xlpm._platform_range,3,FALSE),"+"&amp;CHAR(34),"+"),CHAR(34),""),", "),
_xlpm._exists, SUMPRODUCT(--ISNUMBER(MATCH(_xlpm._platform_keywords,_xlpm._original_keywords,0)))&gt;0,
_xlfn.IFS(AND(_xlpm._exists,LEFT($E69,1)="+"),"+",_xlpm._exists,"*",NOT(_xlpm._exists),"")
)</f>
        <v/>
      </c>
      <c r="K69" s="33" t="str" cm="1">
        <f t="array" aca="1" ref="K6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($E69=CLASSIFICATION[[Keyword Aggr]:[Keyword Aggr]])*($D69=CLASSIFICATION[[Functional Scope Aggr]:[Functional Scope Aggr]])),
_xlpm._platform_keywords, _xlfn.TEXTSPLIT(SUBSTITUTE(SUBSTITUTE(VLOOKUP($D69,_xlpm._platform_range,3,FALSE),"+"&amp;CHAR(34),"+"),CHAR(34),""),", "),
_xlpm._exists, SUMPRODUCT(--ISNUMBER(MATCH(_xlpm._platform_keywords,_xlpm._original_keywords,0)))&gt;0,
_xlfn.IFS(AND(_xlpm._exists,LEFT($E69,1)="+"),"+",_xlpm._exists,"*",NOT(_xlpm._exists),"")
)</f>
        <v/>
      </c>
      <c r="L69" s="33" t="str" cm="1">
        <f t="array" aca="1" ref="L6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($E69=CLASSIFICATION[[Keyword Aggr]:[Keyword Aggr]])*($D69=CLASSIFICATION[[Functional Scope Aggr]:[Functional Scope Aggr]])),
_xlpm._platform_keywords, _xlfn.TEXTSPLIT(SUBSTITUTE(SUBSTITUTE(VLOOKUP($D69,_xlpm._platform_range,3,FALSE),"+"&amp;CHAR(34),"+"),CHAR(34),""),", "),
_xlpm._exists, SUMPRODUCT(--ISNUMBER(MATCH(_xlpm._platform_keywords,_xlpm._original_keywords,0)))&gt;0,
_xlfn.IFS(AND(_xlpm._exists,LEFT($E69,1)="+"),"+",_xlpm._exists,"*",NOT(_xlpm._exists),"")
)</f>
        <v/>
      </c>
      <c r="M69" s="33" t="str" cm="1">
        <f t="array" aca="1" ref="M6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($E69=CLASSIFICATION[[Keyword Aggr]:[Keyword Aggr]])*($D69=CLASSIFICATION[[Functional Scope Aggr]:[Functional Scope Aggr]])),
_xlpm._platform_keywords, _xlfn.TEXTSPLIT(SUBSTITUTE(SUBSTITUTE(VLOOKUP($D69,_xlpm._platform_range,3,FALSE),"+"&amp;CHAR(34),"+"),CHAR(34),""),", "),
_xlpm._exists, SUMPRODUCT(--ISNUMBER(MATCH(_xlpm._platform_keywords,_xlpm._original_keywords,0)))&gt;0,
_xlfn.IFS(AND(_xlpm._exists,LEFT($E69,1)="+"),"+",_xlpm._exists,"*",NOT(_xlpm._exists),"")
)</f>
        <v>*</v>
      </c>
      <c r="N69" s="33" t="str" cm="1">
        <f t="array" aca="1" ref="N6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($E69=CLASSIFICATION[[Keyword Aggr]:[Keyword Aggr]])*($D69=CLASSIFICATION[[Functional Scope Aggr]:[Functional Scope Aggr]])),
_xlpm._platform_keywords, _xlfn.TEXTSPLIT(SUBSTITUTE(SUBSTITUTE(VLOOKUP($D69,_xlpm._platform_range,3,FALSE),"+"&amp;CHAR(34),"+"),CHAR(34),""),", "),
_xlpm._exists, SUMPRODUCT(--ISNUMBER(MATCH(_xlpm._platform_keywords,_xlpm._original_keywords,0)))&gt;0,
_xlfn.IFS(AND(_xlpm._exists,LEFT($E69,1)="+"),"+",_xlpm._exists,"*",NOT(_xlpm._exists),"")
)</f>
        <v/>
      </c>
      <c r="O69" s="33" t="str" cm="1">
        <f t="array" aca="1" ref="O6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($E69=CLASSIFICATION[[Keyword Aggr]:[Keyword Aggr]])*($D69=CLASSIFICATION[[Functional Scope Aggr]:[Functional Scope Aggr]])),
_xlpm._platform_keywords, _xlfn.TEXTSPLIT(SUBSTITUTE(SUBSTITUTE(VLOOKUP($D69,_xlpm._platform_range,3,FALSE),"+"&amp;CHAR(34),"+"),CHAR(34),""),", "),
_xlpm._exists, SUMPRODUCT(--ISNUMBER(MATCH(_xlpm._platform_keywords,_xlpm._original_keywords,0)))&gt;0,
_xlfn.IFS(AND(_xlpm._exists,LEFT($E69,1)="+"),"+",_xlpm._exists,"*",NOT(_xlpm._exists),"")
)</f>
        <v/>
      </c>
      <c r="Q69" s="33" t="str" cm="1">
        <f t="array" aca="1" ref="Q6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($E69=CLASSIFICATION[[Keyword Aggr]:[Keyword Aggr]])*($D69=CLASSIFICATION[[Functional Scope Aggr]:[Functional Scope Aggr]])),
_xlpm._platform_keywords, _xlfn.TEXTSPLIT(SUBSTITUTE(SUBSTITUTE(VLOOKUP($D69,_xlpm._platform_range,3,FALSE),"+"&amp;CHAR(34),"+"),CHAR(34),""),", "),
_xlpm._exists, SUMPRODUCT(--ISNUMBER(MATCH(_xlpm._platform_keywords,_xlpm._original_keywords,0)))&gt;0,
_xlfn.IFS(_xlpm._exists,1,NOT(_xlpm._exists),"")
)</f>
        <v/>
      </c>
      <c r="R69" s="33" t="str" cm="1">
        <f t="array" aca="1" ref="R6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($E69=CLASSIFICATION[[Keyword Aggr]:[Keyword Aggr]])*($D69=CLASSIFICATION[[Functional Scope Aggr]:[Functional Scope Aggr]])),
_xlpm._platform_keywords, _xlfn.TEXTSPLIT(SUBSTITUTE(SUBSTITUTE(VLOOKUP($D69,_xlpm._platform_range,3,FALSE),"+"&amp;CHAR(34),"+"),CHAR(34),""),", "),
_xlpm._exists, SUMPRODUCT(--ISNUMBER(MATCH(_xlpm._platform_keywords,_xlpm._original_keywords,0)))&gt;0,
_xlfn.IFS(_xlpm._exists,1,NOT(_xlpm._exists),"")
)</f>
        <v/>
      </c>
      <c r="S69" s="33" t="str" cm="1">
        <f t="array" aca="1" ref="S6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($E69=CLASSIFICATION[[Keyword Aggr]:[Keyword Aggr]])*($D69=CLASSIFICATION[[Functional Scope Aggr]:[Functional Scope Aggr]])),
_xlpm._platform_keywords, _xlfn.TEXTSPLIT(SUBSTITUTE(SUBSTITUTE(VLOOKUP($D69,_xlpm._platform_range,3,FALSE),"+"&amp;CHAR(34),"+"),CHAR(34),""),", "),
_xlpm._exists, SUMPRODUCT(--ISNUMBER(MATCH(_xlpm._platform_keywords,_xlpm._original_keywords,0)))&gt;0,
_xlfn.IFS(_xlpm._exists,1,NOT(_xlpm._exists),"")
)</f>
        <v/>
      </c>
      <c r="T69" s="33" cm="1">
        <f t="array" aca="1" ref="T6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($E69=CLASSIFICATION[[Keyword Aggr]:[Keyword Aggr]])*($D69=CLASSIFICATION[[Functional Scope Aggr]:[Functional Scope Aggr]])),
_xlpm._platform_keywords, _xlfn.TEXTSPLIT(SUBSTITUTE(SUBSTITUTE(VLOOKUP($D69,_xlpm._platform_range,3,FALSE),"+"&amp;CHAR(34),"+"),CHAR(34),""),", "),
_xlpm._exists, SUMPRODUCT(--ISNUMBER(MATCH(_xlpm._platform_keywords,_xlpm._original_keywords,0)))&gt;0,
_xlfn.IFS(_xlpm._exists,1,NOT(_xlpm._exists),"")
)</f>
        <v>1</v>
      </c>
      <c r="U69" s="33" t="str" cm="1">
        <f t="array" aca="1" ref="U6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($E69=CLASSIFICATION[[Keyword Aggr]:[Keyword Aggr]])*($D69=CLASSIFICATION[[Functional Scope Aggr]:[Functional Scope Aggr]])),
_xlpm._platform_keywords, _xlfn.TEXTSPLIT(SUBSTITUTE(SUBSTITUTE(VLOOKUP($D69,_xlpm._platform_range,3,FALSE),"+"&amp;CHAR(34),"+"),CHAR(34),""),", "),
_xlpm._exists, SUMPRODUCT(--ISNUMBER(MATCH(_xlpm._platform_keywords,_xlpm._original_keywords,0)))&gt;0,
_xlfn.IFS(_xlpm._exists,1,NOT(_xlpm._exists),"")
)</f>
        <v/>
      </c>
      <c r="V69" s="33" t="str" cm="1">
        <f t="array" aca="1" ref="V6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($E69=CLASSIFICATION[[Keyword Aggr]:[Keyword Aggr]])*($D69=CLASSIFICATION[[Functional Scope Aggr]:[Functional Scope Aggr]])),
_xlpm._platform_keywords, _xlfn.TEXTSPLIT(SUBSTITUTE(SUBSTITUTE(VLOOKUP($D69,_xlpm._platform_range,3,FALSE),"+"&amp;CHAR(34),"+"),CHAR(34),""),", "),
_xlpm._exists, SUMPRODUCT(--ISNUMBER(MATCH(_xlpm._platform_keywords,_xlpm._original_keywords,0)))&gt;0,
_xlfn.IFS(_xlpm._exists,1,NOT(_xlpm._exists),"")
)</f>
        <v/>
      </c>
      <c r="X69" s="33" t="str">
        <f t="shared" si="14"/>
        <v/>
      </c>
      <c r="Y69" s="33" t="str">
        <f t="shared" si="15"/>
        <v/>
      </c>
      <c r="Z69" s="33" t="str">
        <f t="shared" si="16"/>
        <v/>
      </c>
      <c r="AA69" s="33" t="str">
        <f t="shared" si="17"/>
        <v/>
      </c>
      <c r="AB69" s="33" t="str">
        <f t="shared" si="18"/>
        <v/>
      </c>
      <c r="AC69" s="33" t="str">
        <f t="shared" si="19"/>
        <v/>
      </c>
    </row>
    <row r="70" spans="1:29" x14ac:dyDescent="0.25">
      <c r="A70" s="19" t="str">
        <v>Development,Database design,Expressions</v>
      </c>
      <c r="B70" t="s">
        <v>377</v>
      </c>
      <c r="C70" s="19" t="str" cm="1">
        <f t="array" ref="C70:E70">_xlfn.TEXTSPLIT(A70,",")</f>
        <v>Development</v>
      </c>
      <c r="D70" s="19" t="str">
        <v>Database design</v>
      </c>
      <c r="E70" s="19" t="str">
        <v>Expressions</v>
      </c>
      <c r="F70" s="36" t="str" cm="1">
        <f t="array" ref="F70">_xlfn.TEXTJOIN(",",TRUE,_xlfn._xlws.FILTER(CLASSIFICATION[Keyword], ($E70=CLASSIFICATION[Keyword Aggr])*($D70=CLASSIFICATION[Functional Scope Aggr])))</f>
        <v>Conditional Expressions,Expressions (App Formula Expression; Initial Value Expression)</v>
      </c>
      <c r="G70" s="32" t="str">
        <f t="shared" si="11"/>
        <v/>
      </c>
      <c r="H70" s="32" t="str">
        <f t="shared" si="12"/>
        <v/>
      </c>
      <c r="I70" s="32" t="str">
        <f t="shared" si="13"/>
        <v>Expressions</v>
      </c>
      <c r="J70" s="33" t="str" cm="1">
        <f t="array" aca="1" ref="J7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($E70=CLASSIFICATION[[Keyword Aggr]:[Keyword Aggr]])*($D70=CLASSIFICATION[[Functional Scope Aggr]:[Functional Scope Aggr]])),
_xlpm._platform_keywords, _xlfn.TEXTSPLIT(SUBSTITUTE(SUBSTITUTE(VLOOKUP($D70,_xlpm._platform_range,3,FALSE),"+"&amp;CHAR(34),"+"),CHAR(34),""),", "),
_xlpm._exists, SUMPRODUCT(--ISNUMBER(MATCH(_xlpm._platform_keywords,_xlpm._original_keywords,0)))&gt;0,
_xlfn.IFS(AND(_xlpm._exists,LEFT($E70,1)="+"),"+",_xlpm._exists,"*",NOT(_xlpm._exists),"")
)</f>
        <v/>
      </c>
      <c r="K70" s="33" t="str" cm="1">
        <f t="array" aca="1" ref="K7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($E70=CLASSIFICATION[[Keyword Aggr]:[Keyword Aggr]])*($D70=CLASSIFICATION[[Functional Scope Aggr]:[Functional Scope Aggr]])),
_xlpm._platform_keywords, _xlfn.TEXTSPLIT(SUBSTITUTE(SUBSTITUTE(VLOOKUP($D70,_xlpm._platform_range,3,FALSE),"+"&amp;CHAR(34),"+"),CHAR(34),""),", "),
_xlpm._exists, SUMPRODUCT(--ISNUMBER(MATCH(_xlpm._platform_keywords,_xlpm._original_keywords,0)))&gt;0,
_xlfn.IFS(AND(_xlpm._exists,LEFT($E70,1)="+"),"+",_xlpm._exists,"*",NOT(_xlpm._exists),"")
)</f>
        <v/>
      </c>
      <c r="L70" s="33" t="str" cm="1">
        <f t="array" aca="1" ref="L7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($E70=CLASSIFICATION[[Keyword Aggr]:[Keyword Aggr]])*($D70=CLASSIFICATION[[Functional Scope Aggr]:[Functional Scope Aggr]])),
_xlpm._platform_keywords, _xlfn.TEXTSPLIT(SUBSTITUTE(SUBSTITUTE(VLOOKUP($D70,_xlpm._platform_range,3,FALSE),"+"&amp;CHAR(34),"+"),CHAR(34),""),", "),
_xlpm._exists, SUMPRODUCT(--ISNUMBER(MATCH(_xlpm._platform_keywords,_xlpm._original_keywords,0)))&gt;0,
_xlfn.IFS(AND(_xlpm._exists,LEFT($E70,1)="+"),"+",_xlpm._exists,"*",NOT(_xlpm._exists),"")
)</f>
        <v/>
      </c>
      <c r="M70" s="33" t="str" cm="1">
        <f t="array" aca="1" ref="M7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($E70=CLASSIFICATION[[Keyword Aggr]:[Keyword Aggr]])*($D70=CLASSIFICATION[[Functional Scope Aggr]:[Functional Scope Aggr]])),
_xlpm._platform_keywords, _xlfn.TEXTSPLIT(SUBSTITUTE(SUBSTITUTE(VLOOKUP($D70,_xlpm._platform_range,3,FALSE),"+"&amp;CHAR(34),"+"),CHAR(34),""),", "),
_xlpm._exists, SUMPRODUCT(--ISNUMBER(MATCH(_xlpm._platform_keywords,_xlpm._original_keywords,0)))&gt;0,
_xlfn.IFS(AND(_xlpm._exists,LEFT($E70,1)="+"),"+",_xlpm._exists,"*",NOT(_xlpm._exists),"")
)</f>
        <v/>
      </c>
      <c r="N70" s="33" t="str" cm="1">
        <f t="array" aca="1" ref="N7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($E70=CLASSIFICATION[[Keyword Aggr]:[Keyword Aggr]])*($D70=CLASSIFICATION[[Functional Scope Aggr]:[Functional Scope Aggr]])),
_xlpm._platform_keywords, _xlfn.TEXTSPLIT(SUBSTITUTE(SUBSTITUTE(VLOOKUP($D70,_xlpm._platform_range,3,FALSE),"+"&amp;CHAR(34),"+"),CHAR(34),""),", "),
_xlpm._exists, SUMPRODUCT(--ISNUMBER(MATCH(_xlpm._platform_keywords,_xlpm._original_keywords,0)))&gt;0,
_xlfn.IFS(AND(_xlpm._exists,LEFT($E70,1)="+"),"+",_xlpm._exists,"*",NOT(_xlpm._exists),"")
)</f>
        <v>*</v>
      </c>
      <c r="O70" s="33" t="str" cm="1">
        <f t="array" aca="1" ref="O7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($E70=CLASSIFICATION[[Keyword Aggr]:[Keyword Aggr]])*($D70=CLASSIFICATION[[Functional Scope Aggr]:[Functional Scope Aggr]])),
_xlpm._platform_keywords, _xlfn.TEXTSPLIT(SUBSTITUTE(SUBSTITUTE(VLOOKUP($D70,_xlpm._platform_range,3,FALSE),"+"&amp;CHAR(34),"+"),CHAR(34),""),", "),
_xlpm._exists, SUMPRODUCT(--ISNUMBER(MATCH(_xlpm._platform_keywords,_xlpm._original_keywords,0)))&gt;0,
_xlfn.IFS(AND(_xlpm._exists,LEFT($E70,1)="+"),"+",_xlpm._exists,"*",NOT(_xlpm._exists),"")
)</f>
        <v/>
      </c>
      <c r="Q70" s="33" t="str" cm="1">
        <f t="array" aca="1" ref="Q7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($E70=CLASSIFICATION[[Keyword Aggr]:[Keyword Aggr]])*($D70=CLASSIFICATION[[Functional Scope Aggr]:[Functional Scope Aggr]])),
_xlpm._platform_keywords, _xlfn.TEXTSPLIT(SUBSTITUTE(SUBSTITUTE(VLOOKUP($D70,_xlpm._platform_range,3,FALSE),"+"&amp;CHAR(34),"+"),CHAR(34),""),", "),
_xlpm._exists, SUMPRODUCT(--ISNUMBER(MATCH(_xlpm._platform_keywords,_xlpm._original_keywords,0)))&gt;0,
_xlfn.IFS(_xlpm._exists,1,NOT(_xlpm._exists),"")
)</f>
        <v/>
      </c>
      <c r="R70" s="33" t="str" cm="1">
        <f t="array" aca="1" ref="R7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($E70=CLASSIFICATION[[Keyword Aggr]:[Keyword Aggr]])*($D70=CLASSIFICATION[[Functional Scope Aggr]:[Functional Scope Aggr]])),
_xlpm._platform_keywords, _xlfn.TEXTSPLIT(SUBSTITUTE(SUBSTITUTE(VLOOKUP($D70,_xlpm._platform_range,3,FALSE),"+"&amp;CHAR(34),"+"),CHAR(34),""),", "),
_xlpm._exists, SUMPRODUCT(--ISNUMBER(MATCH(_xlpm._platform_keywords,_xlpm._original_keywords,0)))&gt;0,
_xlfn.IFS(_xlpm._exists,1,NOT(_xlpm._exists),"")
)</f>
        <v/>
      </c>
      <c r="S70" s="33" t="str" cm="1">
        <f t="array" aca="1" ref="S7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($E70=CLASSIFICATION[[Keyword Aggr]:[Keyword Aggr]])*($D70=CLASSIFICATION[[Functional Scope Aggr]:[Functional Scope Aggr]])),
_xlpm._platform_keywords, _xlfn.TEXTSPLIT(SUBSTITUTE(SUBSTITUTE(VLOOKUP($D70,_xlpm._platform_range,3,FALSE),"+"&amp;CHAR(34),"+"),CHAR(34),""),", "),
_xlpm._exists, SUMPRODUCT(--ISNUMBER(MATCH(_xlpm._platform_keywords,_xlpm._original_keywords,0)))&gt;0,
_xlfn.IFS(_xlpm._exists,1,NOT(_xlpm._exists),"")
)</f>
        <v/>
      </c>
      <c r="T70" s="33" t="str" cm="1">
        <f t="array" aca="1" ref="T7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($E70=CLASSIFICATION[[Keyword Aggr]:[Keyword Aggr]])*($D70=CLASSIFICATION[[Functional Scope Aggr]:[Functional Scope Aggr]])),
_xlpm._platform_keywords, _xlfn.TEXTSPLIT(SUBSTITUTE(SUBSTITUTE(VLOOKUP($D70,_xlpm._platform_range,3,FALSE),"+"&amp;CHAR(34),"+"),CHAR(34),""),", "),
_xlpm._exists, SUMPRODUCT(--ISNUMBER(MATCH(_xlpm._platform_keywords,_xlpm._original_keywords,0)))&gt;0,
_xlfn.IFS(_xlpm._exists,1,NOT(_xlpm._exists),"")
)</f>
        <v/>
      </c>
      <c r="U70" s="33" cm="1">
        <f t="array" aca="1" ref="U7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($E70=CLASSIFICATION[[Keyword Aggr]:[Keyword Aggr]])*($D70=CLASSIFICATION[[Functional Scope Aggr]:[Functional Scope Aggr]])),
_xlpm._platform_keywords, _xlfn.TEXTSPLIT(SUBSTITUTE(SUBSTITUTE(VLOOKUP($D70,_xlpm._platform_range,3,FALSE),"+"&amp;CHAR(34),"+"),CHAR(34),""),", "),
_xlpm._exists, SUMPRODUCT(--ISNUMBER(MATCH(_xlpm._platform_keywords,_xlpm._original_keywords,0)))&gt;0,
_xlfn.IFS(_xlpm._exists,1,NOT(_xlpm._exists),"")
)</f>
        <v>1</v>
      </c>
      <c r="V70" s="33" t="str" cm="1">
        <f t="array" aca="1" ref="V7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($E70=CLASSIFICATION[[Keyword Aggr]:[Keyword Aggr]])*($D70=CLASSIFICATION[[Functional Scope Aggr]:[Functional Scope Aggr]])),
_xlpm._platform_keywords, _xlfn.TEXTSPLIT(SUBSTITUTE(SUBSTITUTE(VLOOKUP($D70,_xlpm._platform_range,3,FALSE),"+"&amp;CHAR(34),"+"),CHAR(34),""),", "),
_xlpm._exists, SUMPRODUCT(--ISNUMBER(MATCH(_xlpm._platform_keywords,_xlpm._original_keywords,0)))&gt;0,
_xlfn.IFS(_xlpm._exists,1,NOT(_xlpm._exists),"")
)</f>
        <v/>
      </c>
      <c r="X70" s="33" t="str">
        <f t="shared" si="14"/>
        <v/>
      </c>
      <c r="Y70" s="33" t="str">
        <f t="shared" si="15"/>
        <v/>
      </c>
      <c r="Z70" s="33" t="str">
        <f t="shared" si="16"/>
        <v/>
      </c>
      <c r="AA70" s="33" t="str">
        <f t="shared" si="17"/>
        <v/>
      </c>
      <c r="AB70" s="33" t="str">
        <f t="shared" si="18"/>
        <v/>
      </c>
      <c r="AC70" s="33" t="str">
        <f t="shared" si="19"/>
        <v/>
      </c>
    </row>
    <row r="71" spans="1:29" x14ac:dyDescent="0.25">
      <c r="A71" s="19" t="str">
        <v>Development,Database design,Relational Database</v>
      </c>
      <c r="B71" t="s">
        <v>377</v>
      </c>
      <c r="C71" s="19" t="str" cm="1">
        <f t="array" ref="C71:E71">_xlfn.TEXTSPLIT(A71,",")</f>
        <v>Development</v>
      </c>
      <c r="D71" s="19" t="str">
        <v>Database design</v>
      </c>
      <c r="E71" s="19" t="str">
        <v>Relational Database</v>
      </c>
      <c r="F71" s="36" t="str" cm="1">
        <f t="array" ref="F71">_xlfn.TEXTJOIN(",",TRUE,_xlfn._xlws.FILTER(CLASSIFICATION[Keyword], ($E71=CLASSIFICATION[Keyword Aggr])*($D71=CLASSIFICATION[Functional Scope Aggr])))</f>
        <v>Denormalization,Keys,Many-to-Many,One-to-Many,One-to-One,Relational Database Concept,Relational Database</v>
      </c>
      <c r="G71" s="32" t="str">
        <f t="shared" si="11"/>
        <v/>
      </c>
      <c r="H71" s="32" t="str">
        <f t="shared" si="12"/>
        <v/>
      </c>
      <c r="I71" s="32" t="str">
        <f t="shared" si="13"/>
        <v>Relational Database</v>
      </c>
      <c r="J71" s="33" t="str" cm="1">
        <f t="array" aca="1" ref="J7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($E71=CLASSIFICATION[[Keyword Aggr]:[Keyword Aggr]])*($D71=CLASSIFICATION[[Functional Scope Aggr]:[Functional Scope Aggr]])),
_xlpm._platform_keywords, _xlfn.TEXTSPLIT(SUBSTITUTE(SUBSTITUTE(VLOOKUP($D71,_xlpm._platform_range,3,FALSE),"+"&amp;CHAR(34),"+"),CHAR(34),""),", "),
_xlpm._exists, SUMPRODUCT(--ISNUMBER(MATCH(_xlpm._platform_keywords,_xlpm._original_keywords,0)))&gt;0,
_xlfn.IFS(AND(_xlpm._exists,LEFT($E71,1)="+"),"+",_xlpm._exists,"*",NOT(_xlpm._exists),"")
)</f>
        <v>*</v>
      </c>
      <c r="K71" s="33" t="str" cm="1">
        <f t="array" aca="1" ref="K7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($E71=CLASSIFICATION[[Keyword Aggr]:[Keyword Aggr]])*($D71=CLASSIFICATION[[Functional Scope Aggr]:[Functional Scope Aggr]])),
_xlpm._platform_keywords, _xlfn.TEXTSPLIT(SUBSTITUTE(SUBSTITUTE(VLOOKUP($D71,_xlpm._platform_range,3,FALSE),"+"&amp;CHAR(34),"+"),CHAR(34),""),", "),
_xlpm._exists, SUMPRODUCT(--ISNUMBER(MATCH(_xlpm._platform_keywords,_xlpm._original_keywords,0)))&gt;0,
_xlfn.IFS(AND(_xlpm._exists,LEFT($E71,1)="+"),"+",_xlpm._exists,"*",NOT(_xlpm._exists),"")
)</f>
        <v>*</v>
      </c>
      <c r="L71" s="33" t="str" cm="1">
        <f t="array" aca="1" ref="L7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($E71=CLASSIFICATION[[Keyword Aggr]:[Keyword Aggr]])*($D71=CLASSIFICATION[[Functional Scope Aggr]:[Functional Scope Aggr]])),
_xlpm._platform_keywords, _xlfn.TEXTSPLIT(SUBSTITUTE(SUBSTITUTE(VLOOKUP($D71,_xlpm._platform_range,3,FALSE),"+"&amp;CHAR(34),"+"),CHAR(34),""),", "),
_xlpm._exists, SUMPRODUCT(--ISNUMBER(MATCH(_xlpm._platform_keywords,_xlpm._original_keywords,0)))&gt;0,
_xlfn.IFS(AND(_xlpm._exists,LEFT($E71,1)="+"),"+",_xlpm._exists,"*",NOT(_xlpm._exists),"")
)</f>
        <v>*</v>
      </c>
      <c r="M71" s="33" t="str" cm="1">
        <f t="array" aca="1" ref="M7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($E71=CLASSIFICATION[[Keyword Aggr]:[Keyword Aggr]])*($D71=CLASSIFICATION[[Functional Scope Aggr]:[Functional Scope Aggr]])),
_xlpm._platform_keywords, _xlfn.TEXTSPLIT(SUBSTITUTE(SUBSTITUTE(VLOOKUP($D71,_xlpm._platform_range,3,FALSE),"+"&amp;CHAR(34),"+"),CHAR(34),""),", "),
_xlpm._exists, SUMPRODUCT(--ISNUMBER(MATCH(_xlpm._platform_keywords,_xlpm._original_keywords,0)))&gt;0,
_xlfn.IFS(AND(_xlpm._exists,LEFT($E71,1)="+"),"+",_xlpm._exists,"*",NOT(_xlpm._exists),"")
)</f>
        <v>*</v>
      </c>
      <c r="N71" s="33" t="str" cm="1">
        <f t="array" aca="1" ref="N7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($E71=CLASSIFICATION[[Keyword Aggr]:[Keyword Aggr]])*($D71=CLASSIFICATION[[Functional Scope Aggr]:[Functional Scope Aggr]])),
_xlpm._platform_keywords, _xlfn.TEXTSPLIT(SUBSTITUTE(SUBSTITUTE(VLOOKUP($D71,_xlpm._platform_range,3,FALSE),"+"&amp;CHAR(34),"+"),CHAR(34),""),", "),
_xlpm._exists, SUMPRODUCT(--ISNUMBER(MATCH(_xlpm._platform_keywords,_xlpm._original_keywords,0)))&gt;0,
_xlfn.IFS(AND(_xlpm._exists,LEFT($E71,1)="+"),"+",_xlpm._exists,"*",NOT(_xlpm._exists),"")
)</f>
        <v>*</v>
      </c>
      <c r="O71" s="33" t="str" cm="1">
        <f t="array" aca="1" ref="O7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($E71=CLASSIFICATION[[Keyword Aggr]:[Keyword Aggr]])*($D71=CLASSIFICATION[[Functional Scope Aggr]:[Functional Scope Aggr]])),
_xlpm._platform_keywords, _xlfn.TEXTSPLIT(SUBSTITUTE(SUBSTITUTE(VLOOKUP($D71,_xlpm._platform_range,3,FALSE),"+"&amp;CHAR(34),"+"),CHAR(34),""),", "),
_xlpm._exists, SUMPRODUCT(--ISNUMBER(MATCH(_xlpm._platform_keywords,_xlpm._original_keywords,0)))&gt;0,
_xlfn.IFS(AND(_xlpm._exists,LEFT($E71,1)="+"),"+",_xlpm._exists,"*",NOT(_xlpm._exists),"")
)</f>
        <v/>
      </c>
      <c r="Q71" s="33" cm="1">
        <f t="array" aca="1" ref="Q7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($E71=CLASSIFICATION[[Keyword Aggr]:[Keyword Aggr]])*($D71=CLASSIFICATION[[Functional Scope Aggr]:[Functional Scope Aggr]])),
_xlpm._platform_keywords, _xlfn.TEXTSPLIT(SUBSTITUTE(SUBSTITUTE(VLOOKUP($D71,_xlpm._platform_range,3,FALSE),"+"&amp;CHAR(34),"+"),CHAR(34),""),", "),
_xlpm._exists, SUMPRODUCT(--ISNUMBER(MATCH(_xlpm._platform_keywords,_xlpm._original_keywords,0)))&gt;0,
_xlfn.IFS(_xlpm._exists,1,NOT(_xlpm._exists),"")
)</f>
        <v>1</v>
      </c>
      <c r="R71" s="33" cm="1">
        <f t="array" aca="1" ref="R7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($E71=CLASSIFICATION[[Keyword Aggr]:[Keyword Aggr]])*($D71=CLASSIFICATION[[Functional Scope Aggr]:[Functional Scope Aggr]])),
_xlpm._platform_keywords, _xlfn.TEXTSPLIT(SUBSTITUTE(SUBSTITUTE(VLOOKUP($D71,_xlpm._platform_range,3,FALSE),"+"&amp;CHAR(34),"+"),CHAR(34),""),", "),
_xlpm._exists, SUMPRODUCT(--ISNUMBER(MATCH(_xlpm._platform_keywords,_xlpm._original_keywords,0)))&gt;0,
_xlfn.IFS(_xlpm._exists,1,NOT(_xlpm._exists),"")
)</f>
        <v>1</v>
      </c>
      <c r="S71" s="33" cm="1">
        <f t="array" aca="1" ref="S7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($E71=CLASSIFICATION[[Keyword Aggr]:[Keyword Aggr]])*($D71=CLASSIFICATION[[Functional Scope Aggr]:[Functional Scope Aggr]])),
_xlpm._platform_keywords, _xlfn.TEXTSPLIT(SUBSTITUTE(SUBSTITUTE(VLOOKUP($D71,_xlpm._platform_range,3,FALSE),"+"&amp;CHAR(34),"+"),CHAR(34),""),", "),
_xlpm._exists, SUMPRODUCT(--ISNUMBER(MATCH(_xlpm._platform_keywords,_xlpm._original_keywords,0)))&gt;0,
_xlfn.IFS(_xlpm._exists,1,NOT(_xlpm._exists),"")
)</f>
        <v>1</v>
      </c>
      <c r="T71" s="33" cm="1">
        <f t="array" aca="1" ref="T7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($E71=CLASSIFICATION[[Keyword Aggr]:[Keyword Aggr]])*($D71=CLASSIFICATION[[Functional Scope Aggr]:[Functional Scope Aggr]])),
_xlpm._platform_keywords, _xlfn.TEXTSPLIT(SUBSTITUTE(SUBSTITUTE(VLOOKUP($D71,_xlpm._platform_range,3,FALSE),"+"&amp;CHAR(34),"+"),CHAR(34),""),", "),
_xlpm._exists, SUMPRODUCT(--ISNUMBER(MATCH(_xlpm._platform_keywords,_xlpm._original_keywords,0)))&gt;0,
_xlfn.IFS(_xlpm._exists,1,NOT(_xlpm._exists),"")
)</f>
        <v>1</v>
      </c>
      <c r="U71" s="33" cm="1">
        <f t="array" aca="1" ref="U7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($E71=CLASSIFICATION[[Keyword Aggr]:[Keyword Aggr]])*($D71=CLASSIFICATION[[Functional Scope Aggr]:[Functional Scope Aggr]])),
_xlpm._platform_keywords, _xlfn.TEXTSPLIT(SUBSTITUTE(SUBSTITUTE(VLOOKUP($D71,_xlpm._platform_range,3,FALSE),"+"&amp;CHAR(34),"+"),CHAR(34),""),", "),
_xlpm._exists, SUMPRODUCT(--ISNUMBER(MATCH(_xlpm._platform_keywords,_xlpm._original_keywords,0)))&gt;0,
_xlfn.IFS(_xlpm._exists,1,NOT(_xlpm._exists),"")
)</f>
        <v>1</v>
      </c>
      <c r="V71" s="33" t="str" cm="1">
        <f t="array" aca="1" ref="V7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($E71=CLASSIFICATION[[Keyword Aggr]:[Keyword Aggr]])*($D71=CLASSIFICATION[[Functional Scope Aggr]:[Functional Scope Aggr]])),
_xlpm._platform_keywords, _xlfn.TEXTSPLIT(SUBSTITUTE(SUBSTITUTE(VLOOKUP($D71,_xlpm._platform_range,3,FALSE),"+"&amp;CHAR(34),"+"),CHAR(34),""),", "),
_xlpm._exists, SUMPRODUCT(--ISNUMBER(MATCH(_xlpm._platform_keywords,_xlpm._original_keywords,0)))&gt;0,
_xlfn.IFS(_xlpm._exists,1,NOT(_xlpm._exists),"")
)</f>
        <v/>
      </c>
      <c r="X71" s="33" t="str">
        <f t="shared" si="14"/>
        <v/>
      </c>
      <c r="Y71" s="33" t="str">
        <f t="shared" si="15"/>
        <v/>
      </c>
      <c r="Z71" s="33" t="str">
        <f t="shared" si="16"/>
        <v/>
      </c>
      <c r="AA71" s="33" t="str">
        <f t="shared" si="17"/>
        <v/>
      </c>
      <c r="AB71" s="33" t="str">
        <f t="shared" si="18"/>
        <v/>
      </c>
      <c r="AC71" s="33" t="str">
        <f t="shared" si="19"/>
        <v/>
      </c>
    </row>
    <row r="72" spans="1:29" x14ac:dyDescent="0.25">
      <c r="A72" s="19" t="str">
        <v>Development,Database design,Entity Diagrams</v>
      </c>
      <c r="B72" t="s">
        <v>377</v>
      </c>
      <c r="C72" s="19" t="str" cm="1">
        <f t="array" ref="C72:E72">_xlfn.TEXTSPLIT(A72,",")</f>
        <v>Development</v>
      </c>
      <c r="D72" s="19" t="str">
        <v>Database design</v>
      </c>
      <c r="E72" s="19" t="str">
        <v>Entity Diagrams</v>
      </c>
      <c r="F72" s="36" t="str" cm="1">
        <f t="array" ref="F72">_xlfn.TEXTJOIN(",",TRUE,_xlfn._xlws.FILTER(CLASSIFICATION[Keyword], ($E72=CLASSIFICATION[Keyword Aggr])*($D72=CLASSIFICATION[Functional Scope Aggr])))</f>
        <v>Entity Diagrams</v>
      </c>
      <c r="G72" s="32" t="str">
        <f t="shared" si="11"/>
        <v/>
      </c>
      <c r="H72" s="32" t="str">
        <f t="shared" si="12"/>
        <v/>
      </c>
      <c r="I72" s="32" t="str">
        <f t="shared" si="13"/>
        <v>Entity Diagrams</v>
      </c>
      <c r="J72" s="33" t="str" cm="1">
        <f t="array" aca="1" ref="J7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($E72=CLASSIFICATION[[Keyword Aggr]:[Keyword Aggr]])*($D72=CLASSIFICATION[[Functional Scope Aggr]:[Functional Scope Aggr]])),
_xlpm._platform_keywords, _xlfn.TEXTSPLIT(SUBSTITUTE(SUBSTITUTE(VLOOKUP($D72,_xlpm._platform_range,3,FALSE),"+"&amp;CHAR(34),"+"),CHAR(34),""),", "),
_xlpm._exists, SUMPRODUCT(--ISNUMBER(MATCH(_xlpm._platform_keywords,_xlpm._original_keywords,0)))&gt;0,
_xlfn.IFS(AND(_xlpm._exists,LEFT($E72,1)="+"),"+",_xlpm._exists,"*",NOT(_xlpm._exists),"")
)</f>
        <v/>
      </c>
      <c r="K72" s="33" t="str" cm="1">
        <f t="array" aca="1" ref="K7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($E72=CLASSIFICATION[[Keyword Aggr]:[Keyword Aggr]])*($D72=CLASSIFICATION[[Functional Scope Aggr]:[Functional Scope Aggr]])),
_xlpm._platform_keywords, _xlfn.TEXTSPLIT(SUBSTITUTE(SUBSTITUTE(VLOOKUP($D72,_xlpm._platform_range,3,FALSE),"+"&amp;CHAR(34),"+"),CHAR(34),""),", "),
_xlpm._exists, SUMPRODUCT(--ISNUMBER(MATCH(_xlpm._platform_keywords,_xlpm._original_keywords,0)))&gt;0,
_xlfn.IFS(AND(_xlpm._exists,LEFT($E72,1)="+"),"+",_xlpm._exists,"*",NOT(_xlpm._exists),"")
)</f>
        <v/>
      </c>
      <c r="L72" s="33" t="str" cm="1">
        <f t="array" aca="1" ref="L7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($E72=CLASSIFICATION[[Keyword Aggr]:[Keyword Aggr]])*($D72=CLASSIFICATION[[Functional Scope Aggr]:[Functional Scope Aggr]])),
_xlpm._platform_keywords, _xlfn.TEXTSPLIT(SUBSTITUTE(SUBSTITUTE(VLOOKUP($D72,_xlpm._platform_range,3,FALSE),"+"&amp;CHAR(34),"+"),CHAR(34),""),", "),
_xlpm._exists, SUMPRODUCT(--ISNUMBER(MATCH(_xlpm._platform_keywords,_xlpm._original_keywords,0)))&gt;0,
_xlfn.IFS(AND(_xlpm._exists,LEFT($E72,1)="+"),"+",_xlpm._exists,"*",NOT(_xlpm._exists),"")
)</f>
        <v>*</v>
      </c>
      <c r="M72" s="33" t="str" cm="1">
        <f t="array" aca="1" ref="M7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($E72=CLASSIFICATION[[Keyword Aggr]:[Keyword Aggr]])*($D72=CLASSIFICATION[[Functional Scope Aggr]:[Functional Scope Aggr]])),
_xlpm._platform_keywords, _xlfn.TEXTSPLIT(SUBSTITUTE(SUBSTITUTE(VLOOKUP($D72,_xlpm._platform_range,3,FALSE),"+"&amp;CHAR(34),"+"),CHAR(34),""),", "),
_xlpm._exists, SUMPRODUCT(--ISNUMBER(MATCH(_xlpm._platform_keywords,_xlpm._original_keywords,0)))&gt;0,
_xlfn.IFS(AND(_xlpm._exists,LEFT($E72,1)="+"),"+",_xlpm._exists,"*",NOT(_xlpm._exists),"")
)</f>
        <v/>
      </c>
      <c r="N72" s="33" t="str" cm="1">
        <f t="array" aca="1" ref="N7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($E72=CLASSIFICATION[[Keyword Aggr]:[Keyword Aggr]])*($D72=CLASSIFICATION[[Functional Scope Aggr]:[Functional Scope Aggr]])),
_xlpm._platform_keywords, _xlfn.TEXTSPLIT(SUBSTITUTE(SUBSTITUTE(VLOOKUP($D72,_xlpm._platform_range,3,FALSE),"+"&amp;CHAR(34),"+"),CHAR(34),""),", "),
_xlpm._exists, SUMPRODUCT(--ISNUMBER(MATCH(_xlpm._platform_keywords,_xlpm._original_keywords,0)))&gt;0,
_xlfn.IFS(AND(_xlpm._exists,LEFT($E72,1)="+"),"+",_xlpm._exists,"*",NOT(_xlpm._exists),"")
)</f>
        <v/>
      </c>
      <c r="O72" s="33" t="str" cm="1">
        <f t="array" aca="1" ref="O7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($E72=CLASSIFICATION[[Keyword Aggr]:[Keyword Aggr]])*($D72=CLASSIFICATION[[Functional Scope Aggr]:[Functional Scope Aggr]])),
_xlpm._platform_keywords, _xlfn.TEXTSPLIT(SUBSTITUTE(SUBSTITUTE(VLOOKUP($D72,_xlpm._platform_range,3,FALSE),"+"&amp;CHAR(34),"+"),CHAR(34),""),", "),
_xlpm._exists, SUMPRODUCT(--ISNUMBER(MATCH(_xlpm._platform_keywords,_xlpm._original_keywords,0)))&gt;0,
_xlfn.IFS(AND(_xlpm._exists,LEFT($E72,1)="+"),"+",_xlpm._exists,"*",NOT(_xlpm._exists),"")
)</f>
        <v/>
      </c>
      <c r="Q72" s="33" t="str" cm="1">
        <f t="array" aca="1" ref="Q7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($E72=CLASSIFICATION[[Keyword Aggr]:[Keyword Aggr]])*($D72=CLASSIFICATION[[Functional Scope Aggr]:[Functional Scope Aggr]])),
_xlpm._platform_keywords, _xlfn.TEXTSPLIT(SUBSTITUTE(SUBSTITUTE(VLOOKUP($D72,_xlpm._platform_range,3,FALSE),"+"&amp;CHAR(34),"+"),CHAR(34),""),", "),
_xlpm._exists, SUMPRODUCT(--ISNUMBER(MATCH(_xlpm._platform_keywords,_xlpm._original_keywords,0)))&gt;0,
_xlfn.IFS(_xlpm._exists,1,NOT(_xlpm._exists),"")
)</f>
        <v/>
      </c>
      <c r="R72" s="33" t="str" cm="1">
        <f t="array" aca="1" ref="R7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($E72=CLASSIFICATION[[Keyword Aggr]:[Keyword Aggr]])*($D72=CLASSIFICATION[[Functional Scope Aggr]:[Functional Scope Aggr]])),
_xlpm._platform_keywords, _xlfn.TEXTSPLIT(SUBSTITUTE(SUBSTITUTE(VLOOKUP($D72,_xlpm._platform_range,3,FALSE),"+"&amp;CHAR(34),"+"),CHAR(34),""),", "),
_xlpm._exists, SUMPRODUCT(--ISNUMBER(MATCH(_xlpm._platform_keywords,_xlpm._original_keywords,0)))&gt;0,
_xlfn.IFS(_xlpm._exists,1,NOT(_xlpm._exists),"")
)</f>
        <v/>
      </c>
      <c r="S72" s="33" cm="1">
        <f t="array" aca="1" ref="S7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($E72=CLASSIFICATION[[Keyword Aggr]:[Keyword Aggr]])*($D72=CLASSIFICATION[[Functional Scope Aggr]:[Functional Scope Aggr]])),
_xlpm._platform_keywords, _xlfn.TEXTSPLIT(SUBSTITUTE(SUBSTITUTE(VLOOKUP($D72,_xlpm._platform_range,3,FALSE),"+"&amp;CHAR(34),"+"),CHAR(34),""),", "),
_xlpm._exists, SUMPRODUCT(--ISNUMBER(MATCH(_xlpm._platform_keywords,_xlpm._original_keywords,0)))&gt;0,
_xlfn.IFS(_xlpm._exists,1,NOT(_xlpm._exists),"")
)</f>
        <v>1</v>
      </c>
      <c r="T72" s="33" t="str" cm="1">
        <f t="array" aca="1" ref="T7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($E72=CLASSIFICATION[[Keyword Aggr]:[Keyword Aggr]])*($D72=CLASSIFICATION[[Functional Scope Aggr]:[Functional Scope Aggr]])),
_xlpm._platform_keywords, _xlfn.TEXTSPLIT(SUBSTITUTE(SUBSTITUTE(VLOOKUP($D72,_xlpm._platform_range,3,FALSE),"+"&amp;CHAR(34),"+"),CHAR(34),""),", "),
_xlpm._exists, SUMPRODUCT(--ISNUMBER(MATCH(_xlpm._platform_keywords,_xlpm._original_keywords,0)))&gt;0,
_xlfn.IFS(_xlpm._exists,1,NOT(_xlpm._exists),"")
)</f>
        <v/>
      </c>
      <c r="U72" s="33" t="str" cm="1">
        <f t="array" aca="1" ref="U7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($E72=CLASSIFICATION[[Keyword Aggr]:[Keyword Aggr]])*($D72=CLASSIFICATION[[Functional Scope Aggr]:[Functional Scope Aggr]])),
_xlpm._platform_keywords, _xlfn.TEXTSPLIT(SUBSTITUTE(SUBSTITUTE(VLOOKUP($D72,_xlpm._platform_range,3,FALSE),"+"&amp;CHAR(34),"+"),CHAR(34),""),", "),
_xlpm._exists, SUMPRODUCT(--ISNUMBER(MATCH(_xlpm._platform_keywords,_xlpm._original_keywords,0)))&gt;0,
_xlfn.IFS(_xlpm._exists,1,NOT(_xlpm._exists),"")
)</f>
        <v/>
      </c>
      <c r="V72" s="33" t="str" cm="1">
        <f t="array" aca="1" ref="V7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($E72=CLASSIFICATION[[Keyword Aggr]:[Keyword Aggr]])*($D72=CLASSIFICATION[[Functional Scope Aggr]:[Functional Scope Aggr]])),
_xlpm._platform_keywords, _xlfn.TEXTSPLIT(SUBSTITUTE(SUBSTITUTE(VLOOKUP($D72,_xlpm._platform_range,3,FALSE),"+"&amp;CHAR(34),"+"),CHAR(34),""),", "),
_xlpm._exists, SUMPRODUCT(--ISNUMBER(MATCH(_xlpm._platform_keywords,_xlpm._original_keywords,0)))&gt;0,
_xlfn.IFS(_xlpm._exists,1,NOT(_xlpm._exists),"")
)</f>
        <v/>
      </c>
      <c r="X72" s="33" t="str">
        <f t="shared" si="14"/>
        <v/>
      </c>
      <c r="Y72" s="33" t="str">
        <f t="shared" si="15"/>
        <v/>
      </c>
      <c r="Z72" s="33" t="str">
        <f t="shared" si="16"/>
        <v/>
      </c>
      <c r="AA72" s="33" t="str">
        <f t="shared" si="17"/>
        <v/>
      </c>
      <c r="AB72" s="33" t="str">
        <f t="shared" si="18"/>
        <v/>
      </c>
      <c r="AC72" s="33" t="str">
        <f t="shared" si="19"/>
        <v/>
      </c>
    </row>
    <row r="73" spans="1:29" x14ac:dyDescent="0.25">
      <c r="A73" s="19" t="str">
        <v>Development,Database design,Functions</v>
      </c>
      <c r="B73" t="s">
        <v>377</v>
      </c>
      <c r="C73" s="19" t="str" cm="1">
        <f t="array" ref="C73:E73">_xlfn.TEXTSPLIT(A73,",")</f>
        <v>Development</v>
      </c>
      <c r="D73" s="19" t="str">
        <v>Database design</v>
      </c>
      <c r="E73" s="19" t="str">
        <v>Functions</v>
      </c>
      <c r="F73" s="36" t="str" cm="1">
        <f t="array" ref="F73">_xlfn.TEXTJOIN(",",TRUE,_xlfn._xlws.FILTER(CLASSIFICATION[Keyword], ($E73=CLASSIFICATION[Keyword Aggr])*($D73=CLASSIFICATION[Functional Scope Aggr])))</f>
        <v>Functions,Functions (Deep Link)</v>
      </c>
      <c r="G73" s="32" t="str">
        <f t="shared" si="11"/>
        <v/>
      </c>
      <c r="H73" s="32" t="str">
        <f t="shared" si="12"/>
        <v/>
      </c>
      <c r="I73" s="32" t="str">
        <f t="shared" si="13"/>
        <v>Functions</v>
      </c>
      <c r="J73" s="33" t="str" cm="1">
        <f t="array" aca="1" ref="J7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($E73=CLASSIFICATION[[Keyword Aggr]:[Keyword Aggr]])*($D73=CLASSIFICATION[[Functional Scope Aggr]:[Functional Scope Aggr]])),
_xlpm._platform_keywords, _xlfn.TEXTSPLIT(SUBSTITUTE(SUBSTITUTE(VLOOKUP($D73,_xlpm._platform_range,3,FALSE),"+"&amp;CHAR(34),"+"),CHAR(34),""),", "),
_xlpm._exists, SUMPRODUCT(--ISNUMBER(MATCH(_xlpm._platform_keywords,_xlpm._original_keywords,0)))&gt;0,
_xlfn.IFS(AND(_xlpm._exists,LEFT($E73,1)="+"),"+",_xlpm._exists,"*",NOT(_xlpm._exists),"")
)</f>
        <v/>
      </c>
      <c r="K73" s="33" t="str" cm="1">
        <f t="array" aca="1" ref="K7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($E73=CLASSIFICATION[[Keyword Aggr]:[Keyword Aggr]])*($D73=CLASSIFICATION[[Functional Scope Aggr]:[Functional Scope Aggr]])),
_xlpm._platform_keywords, _xlfn.TEXTSPLIT(SUBSTITUTE(SUBSTITUTE(VLOOKUP($D73,_xlpm._platform_range,3,FALSE),"+"&amp;CHAR(34),"+"),CHAR(34),""),", "),
_xlpm._exists, SUMPRODUCT(--ISNUMBER(MATCH(_xlpm._platform_keywords,_xlpm._original_keywords,0)))&gt;0,
_xlfn.IFS(AND(_xlpm._exists,LEFT($E73,1)="+"),"+",_xlpm._exists,"*",NOT(_xlpm._exists),"")
)</f>
        <v/>
      </c>
      <c r="L73" s="33" t="str" cm="1">
        <f t="array" aca="1" ref="L7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($E73=CLASSIFICATION[[Keyword Aggr]:[Keyword Aggr]])*($D73=CLASSIFICATION[[Functional Scope Aggr]:[Functional Scope Aggr]])),
_xlpm._platform_keywords, _xlfn.TEXTSPLIT(SUBSTITUTE(SUBSTITUTE(VLOOKUP($D73,_xlpm._platform_range,3,FALSE),"+"&amp;CHAR(34),"+"),CHAR(34),""),", "),
_xlpm._exists, SUMPRODUCT(--ISNUMBER(MATCH(_xlpm._platform_keywords,_xlpm._original_keywords,0)))&gt;0,
_xlfn.IFS(AND(_xlpm._exists,LEFT($E73,1)="+"),"+",_xlpm._exists,"*",NOT(_xlpm._exists),"")
)</f>
        <v/>
      </c>
      <c r="M73" s="33" t="str" cm="1">
        <f t="array" aca="1" ref="M7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($E73=CLASSIFICATION[[Keyword Aggr]:[Keyword Aggr]])*($D73=CLASSIFICATION[[Functional Scope Aggr]:[Functional Scope Aggr]])),
_xlpm._platform_keywords, _xlfn.TEXTSPLIT(SUBSTITUTE(SUBSTITUTE(VLOOKUP($D73,_xlpm._platform_range,3,FALSE),"+"&amp;CHAR(34),"+"),CHAR(34),""),", "),
_xlpm._exists, SUMPRODUCT(--ISNUMBER(MATCH(_xlpm._platform_keywords,_xlpm._original_keywords,0)))&gt;0,
_xlfn.IFS(AND(_xlpm._exists,LEFT($E73,1)="+"),"+",_xlpm._exists,"*",NOT(_xlpm._exists),"")
)</f>
        <v>*</v>
      </c>
      <c r="N73" s="33" t="str" cm="1">
        <f t="array" aca="1" ref="N7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($E73=CLASSIFICATION[[Keyword Aggr]:[Keyword Aggr]])*($D73=CLASSIFICATION[[Functional Scope Aggr]:[Functional Scope Aggr]])),
_xlpm._platform_keywords, _xlfn.TEXTSPLIT(SUBSTITUTE(SUBSTITUTE(VLOOKUP($D73,_xlpm._platform_range,3,FALSE),"+"&amp;CHAR(34),"+"),CHAR(34),""),", "),
_xlpm._exists, SUMPRODUCT(--ISNUMBER(MATCH(_xlpm._platform_keywords,_xlpm._original_keywords,0)))&gt;0,
_xlfn.IFS(AND(_xlpm._exists,LEFT($E73,1)="+"),"+",_xlpm._exists,"*",NOT(_xlpm._exists),"")
)</f>
        <v>*</v>
      </c>
      <c r="O73" s="33" t="str" cm="1">
        <f t="array" aca="1" ref="O7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($E73=CLASSIFICATION[[Keyword Aggr]:[Keyword Aggr]])*($D73=CLASSIFICATION[[Functional Scope Aggr]:[Functional Scope Aggr]])),
_xlpm._platform_keywords, _xlfn.TEXTSPLIT(SUBSTITUTE(SUBSTITUTE(VLOOKUP($D73,_xlpm._platform_range,3,FALSE),"+"&amp;CHAR(34),"+"),CHAR(34),""),", "),
_xlpm._exists, SUMPRODUCT(--ISNUMBER(MATCH(_xlpm._platform_keywords,_xlpm._original_keywords,0)))&gt;0,
_xlfn.IFS(AND(_xlpm._exists,LEFT($E73,1)="+"),"+",_xlpm._exists,"*",NOT(_xlpm._exists),"")
)</f>
        <v/>
      </c>
      <c r="Q73" s="33" t="str" cm="1">
        <f t="array" aca="1" ref="Q7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($E73=CLASSIFICATION[[Keyword Aggr]:[Keyword Aggr]])*($D73=CLASSIFICATION[[Functional Scope Aggr]:[Functional Scope Aggr]])),
_xlpm._platform_keywords, _xlfn.TEXTSPLIT(SUBSTITUTE(SUBSTITUTE(VLOOKUP($D73,_xlpm._platform_range,3,FALSE),"+"&amp;CHAR(34),"+"),CHAR(34),""),", "),
_xlpm._exists, SUMPRODUCT(--ISNUMBER(MATCH(_xlpm._platform_keywords,_xlpm._original_keywords,0)))&gt;0,
_xlfn.IFS(_xlpm._exists,1,NOT(_xlpm._exists),"")
)</f>
        <v/>
      </c>
      <c r="R73" s="33" t="str" cm="1">
        <f t="array" aca="1" ref="R7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($E73=CLASSIFICATION[[Keyword Aggr]:[Keyword Aggr]])*($D73=CLASSIFICATION[[Functional Scope Aggr]:[Functional Scope Aggr]])),
_xlpm._platform_keywords, _xlfn.TEXTSPLIT(SUBSTITUTE(SUBSTITUTE(VLOOKUP($D73,_xlpm._platform_range,3,FALSE),"+"&amp;CHAR(34),"+"),CHAR(34),""),", "),
_xlpm._exists, SUMPRODUCT(--ISNUMBER(MATCH(_xlpm._platform_keywords,_xlpm._original_keywords,0)))&gt;0,
_xlfn.IFS(_xlpm._exists,1,NOT(_xlpm._exists),"")
)</f>
        <v/>
      </c>
      <c r="S73" s="33" t="str" cm="1">
        <f t="array" aca="1" ref="S7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($E73=CLASSIFICATION[[Keyword Aggr]:[Keyword Aggr]])*($D73=CLASSIFICATION[[Functional Scope Aggr]:[Functional Scope Aggr]])),
_xlpm._platform_keywords, _xlfn.TEXTSPLIT(SUBSTITUTE(SUBSTITUTE(VLOOKUP($D73,_xlpm._platform_range,3,FALSE),"+"&amp;CHAR(34),"+"),CHAR(34),""),", "),
_xlpm._exists, SUMPRODUCT(--ISNUMBER(MATCH(_xlpm._platform_keywords,_xlpm._original_keywords,0)))&gt;0,
_xlfn.IFS(_xlpm._exists,1,NOT(_xlpm._exists),"")
)</f>
        <v/>
      </c>
      <c r="T73" s="33" cm="1">
        <f t="array" aca="1" ref="T7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($E73=CLASSIFICATION[[Keyword Aggr]:[Keyword Aggr]])*($D73=CLASSIFICATION[[Functional Scope Aggr]:[Functional Scope Aggr]])),
_xlpm._platform_keywords, _xlfn.TEXTSPLIT(SUBSTITUTE(SUBSTITUTE(VLOOKUP($D73,_xlpm._platform_range,3,FALSE),"+"&amp;CHAR(34),"+"),CHAR(34),""),", "),
_xlpm._exists, SUMPRODUCT(--ISNUMBER(MATCH(_xlpm._platform_keywords,_xlpm._original_keywords,0)))&gt;0,
_xlfn.IFS(_xlpm._exists,1,NOT(_xlpm._exists),"")
)</f>
        <v>1</v>
      </c>
      <c r="U73" s="33" cm="1">
        <f t="array" aca="1" ref="U7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($E73=CLASSIFICATION[[Keyword Aggr]:[Keyword Aggr]])*($D73=CLASSIFICATION[[Functional Scope Aggr]:[Functional Scope Aggr]])),
_xlpm._platform_keywords, _xlfn.TEXTSPLIT(SUBSTITUTE(SUBSTITUTE(VLOOKUP($D73,_xlpm._platform_range,3,FALSE),"+"&amp;CHAR(34),"+"),CHAR(34),""),", "),
_xlpm._exists, SUMPRODUCT(--ISNUMBER(MATCH(_xlpm._platform_keywords,_xlpm._original_keywords,0)))&gt;0,
_xlfn.IFS(_xlpm._exists,1,NOT(_xlpm._exists),"")
)</f>
        <v>1</v>
      </c>
      <c r="V73" s="33" t="str" cm="1">
        <f t="array" aca="1" ref="V7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($E73=CLASSIFICATION[[Keyword Aggr]:[Keyword Aggr]])*($D73=CLASSIFICATION[[Functional Scope Aggr]:[Functional Scope Aggr]])),
_xlpm._platform_keywords, _xlfn.TEXTSPLIT(SUBSTITUTE(SUBSTITUTE(VLOOKUP($D73,_xlpm._platform_range,3,FALSE),"+"&amp;CHAR(34),"+"),CHAR(34),""),", "),
_xlpm._exists, SUMPRODUCT(--ISNUMBER(MATCH(_xlpm._platform_keywords,_xlpm._original_keywords,0)))&gt;0,
_xlfn.IFS(_xlpm._exists,1,NOT(_xlpm._exists),"")
)</f>
        <v/>
      </c>
      <c r="X73" s="33" t="str">
        <f t="shared" si="14"/>
        <v/>
      </c>
      <c r="Y73" s="33" t="str">
        <f t="shared" si="15"/>
        <v/>
      </c>
      <c r="Z73" s="33" t="str">
        <f t="shared" si="16"/>
        <v/>
      </c>
      <c r="AA73" s="33" t="str">
        <f t="shared" si="17"/>
        <v/>
      </c>
      <c r="AB73" s="33" t="str">
        <f t="shared" si="18"/>
        <v/>
      </c>
      <c r="AC73" s="33" t="str">
        <f t="shared" si="19"/>
        <v/>
      </c>
    </row>
    <row r="74" spans="1:29" x14ac:dyDescent="0.25">
      <c r="A74" s="19" t="str">
        <v>Development,Database design,SQL</v>
      </c>
      <c r="B74" t="s">
        <v>377</v>
      </c>
      <c r="C74" s="19" t="str" cm="1">
        <f t="array" ref="C74:E74">_xlfn.TEXTSPLIT(A74,",")</f>
        <v>Development</v>
      </c>
      <c r="D74" s="19" t="str">
        <v>Database design</v>
      </c>
      <c r="E74" s="19" t="str">
        <v>SQL</v>
      </c>
      <c r="F74" s="36" t="str" cm="1">
        <f t="array" ref="F74">_xlfn.TEXTJOIN(",",TRUE,_xlfn._xlws.FILTER(CLASSIFICATION[Keyword], ($E74=CLASSIFICATION[Keyword Aggr])*($D74=CLASSIFICATION[Functional Scope Aggr])))</f>
        <v>SQL</v>
      </c>
      <c r="G74" s="32" t="str">
        <f t="shared" si="11"/>
        <v/>
      </c>
      <c r="H74" s="32" t="str">
        <f t="shared" si="12"/>
        <v/>
      </c>
      <c r="I74" s="32" t="str">
        <f t="shared" si="13"/>
        <v>SQL</v>
      </c>
      <c r="J74" s="33" t="str" cm="1">
        <f t="array" aca="1" ref="J7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($E74=CLASSIFICATION[[Keyword Aggr]:[Keyword Aggr]])*($D74=CLASSIFICATION[[Functional Scope Aggr]:[Functional Scope Aggr]])),
_xlpm._platform_keywords, _xlfn.TEXTSPLIT(SUBSTITUTE(SUBSTITUTE(VLOOKUP($D74,_xlpm._platform_range,3,FALSE),"+"&amp;CHAR(34),"+"),CHAR(34),""),", "),
_xlpm._exists, SUMPRODUCT(--ISNUMBER(MATCH(_xlpm._platform_keywords,_xlpm._original_keywords,0)))&gt;0,
_xlfn.IFS(AND(_xlpm._exists,LEFT($E74,1)="+"),"+",_xlpm._exists,"*",NOT(_xlpm._exists),"")
)</f>
        <v>*</v>
      </c>
      <c r="K74" s="33" t="str" cm="1">
        <f t="array" aca="1" ref="K7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($E74=CLASSIFICATION[[Keyword Aggr]:[Keyword Aggr]])*($D74=CLASSIFICATION[[Functional Scope Aggr]:[Functional Scope Aggr]])),
_xlpm._platform_keywords, _xlfn.TEXTSPLIT(SUBSTITUTE(SUBSTITUTE(VLOOKUP($D74,_xlpm._platform_range,3,FALSE),"+"&amp;CHAR(34),"+"),CHAR(34),""),", "),
_xlpm._exists, SUMPRODUCT(--ISNUMBER(MATCH(_xlpm._platform_keywords,_xlpm._original_keywords,0)))&gt;0,
_xlfn.IFS(AND(_xlpm._exists,LEFT($E74,1)="+"),"+",_xlpm._exists,"*",NOT(_xlpm._exists),"")
)</f>
        <v>*</v>
      </c>
      <c r="L74" s="33" t="str" cm="1">
        <f t="array" aca="1" ref="L7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($E74=CLASSIFICATION[[Keyword Aggr]:[Keyword Aggr]])*($D74=CLASSIFICATION[[Functional Scope Aggr]:[Functional Scope Aggr]])),
_xlpm._platform_keywords, _xlfn.TEXTSPLIT(SUBSTITUTE(SUBSTITUTE(VLOOKUP($D74,_xlpm._platform_range,3,FALSE),"+"&amp;CHAR(34),"+"),CHAR(34),""),", "),
_xlpm._exists, SUMPRODUCT(--ISNUMBER(MATCH(_xlpm._platform_keywords,_xlpm._original_keywords,0)))&gt;0,
_xlfn.IFS(AND(_xlpm._exists,LEFT($E74,1)="+"),"+",_xlpm._exists,"*",NOT(_xlpm._exists),"")
)</f>
        <v/>
      </c>
      <c r="M74" s="33" t="str" cm="1">
        <f t="array" aca="1" ref="M7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($E74=CLASSIFICATION[[Keyword Aggr]:[Keyword Aggr]])*($D74=CLASSIFICATION[[Functional Scope Aggr]:[Functional Scope Aggr]])),
_xlpm._platform_keywords, _xlfn.TEXTSPLIT(SUBSTITUTE(SUBSTITUTE(VLOOKUP($D74,_xlpm._platform_range,3,FALSE),"+"&amp;CHAR(34),"+"),CHAR(34),""),", "),
_xlpm._exists, SUMPRODUCT(--ISNUMBER(MATCH(_xlpm._platform_keywords,_xlpm._original_keywords,0)))&gt;0,
_xlfn.IFS(AND(_xlpm._exists,LEFT($E74,1)="+"),"+",_xlpm._exists,"*",NOT(_xlpm._exists),"")
)</f>
        <v/>
      </c>
      <c r="N74" s="33" t="str" cm="1">
        <f t="array" aca="1" ref="N7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($E74=CLASSIFICATION[[Keyword Aggr]:[Keyword Aggr]])*($D74=CLASSIFICATION[[Functional Scope Aggr]:[Functional Scope Aggr]])),
_xlpm._platform_keywords, _xlfn.TEXTSPLIT(SUBSTITUTE(SUBSTITUTE(VLOOKUP($D74,_xlpm._platform_range,3,FALSE),"+"&amp;CHAR(34),"+"),CHAR(34),""),", "),
_xlpm._exists, SUMPRODUCT(--ISNUMBER(MATCH(_xlpm._platform_keywords,_xlpm._original_keywords,0)))&gt;0,
_xlfn.IFS(AND(_xlpm._exists,LEFT($E74,1)="+"),"+",_xlpm._exists,"*",NOT(_xlpm._exists),"")
)</f>
        <v/>
      </c>
      <c r="O74" s="33" t="str" cm="1">
        <f t="array" aca="1" ref="O7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($E74=CLASSIFICATION[[Keyword Aggr]:[Keyword Aggr]])*($D74=CLASSIFICATION[[Functional Scope Aggr]:[Functional Scope Aggr]])),
_xlpm._platform_keywords, _xlfn.TEXTSPLIT(SUBSTITUTE(SUBSTITUTE(VLOOKUP($D74,_xlpm._platform_range,3,FALSE),"+"&amp;CHAR(34),"+"),CHAR(34),""),", "),
_xlpm._exists, SUMPRODUCT(--ISNUMBER(MATCH(_xlpm._platform_keywords,_xlpm._original_keywords,0)))&gt;0,
_xlfn.IFS(AND(_xlpm._exists,LEFT($E74,1)="+"),"+",_xlpm._exists,"*",NOT(_xlpm._exists),"")
)</f>
        <v/>
      </c>
      <c r="Q74" s="33" cm="1">
        <f t="array" aca="1" ref="Q7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($E74=CLASSIFICATION[[Keyword Aggr]:[Keyword Aggr]])*($D74=CLASSIFICATION[[Functional Scope Aggr]:[Functional Scope Aggr]])),
_xlpm._platform_keywords, _xlfn.TEXTSPLIT(SUBSTITUTE(SUBSTITUTE(VLOOKUP($D74,_xlpm._platform_range,3,FALSE),"+"&amp;CHAR(34),"+"),CHAR(34),""),", "),
_xlpm._exists, SUMPRODUCT(--ISNUMBER(MATCH(_xlpm._platform_keywords,_xlpm._original_keywords,0)))&gt;0,
_xlfn.IFS(_xlpm._exists,1,NOT(_xlpm._exists),"")
)</f>
        <v>1</v>
      </c>
      <c r="R74" s="33" cm="1">
        <f t="array" aca="1" ref="R7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($E74=CLASSIFICATION[[Keyword Aggr]:[Keyword Aggr]])*($D74=CLASSIFICATION[[Functional Scope Aggr]:[Functional Scope Aggr]])),
_xlpm._platform_keywords, _xlfn.TEXTSPLIT(SUBSTITUTE(SUBSTITUTE(VLOOKUP($D74,_xlpm._platform_range,3,FALSE),"+"&amp;CHAR(34),"+"),CHAR(34),""),", "),
_xlpm._exists, SUMPRODUCT(--ISNUMBER(MATCH(_xlpm._platform_keywords,_xlpm._original_keywords,0)))&gt;0,
_xlfn.IFS(_xlpm._exists,1,NOT(_xlpm._exists),"")
)</f>
        <v>1</v>
      </c>
      <c r="S74" s="33" t="str" cm="1">
        <f t="array" aca="1" ref="S7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($E74=CLASSIFICATION[[Keyword Aggr]:[Keyword Aggr]])*($D74=CLASSIFICATION[[Functional Scope Aggr]:[Functional Scope Aggr]])),
_xlpm._platform_keywords, _xlfn.TEXTSPLIT(SUBSTITUTE(SUBSTITUTE(VLOOKUP($D74,_xlpm._platform_range,3,FALSE),"+"&amp;CHAR(34),"+"),CHAR(34),""),", "),
_xlpm._exists, SUMPRODUCT(--ISNUMBER(MATCH(_xlpm._platform_keywords,_xlpm._original_keywords,0)))&gt;0,
_xlfn.IFS(_xlpm._exists,1,NOT(_xlpm._exists),"")
)</f>
        <v/>
      </c>
      <c r="T74" s="33" t="str" cm="1">
        <f t="array" aca="1" ref="T7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($E74=CLASSIFICATION[[Keyword Aggr]:[Keyword Aggr]])*($D74=CLASSIFICATION[[Functional Scope Aggr]:[Functional Scope Aggr]])),
_xlpm._platform_keywords, _xlfn.TEXTSPLIT(SUBSTITUTE(SUBSTITUTE(VLOOKUP($D74,_xlpm._platform_range,3,FALSE),"+"&amp;CHAR(34),"+"),CHAR(34),""),", "),
_xlpm._exists, SUMPRODUCT(--ISNUMBER(MATCH(_xlpm._platform_keywords,_xlpm._original_keywords,0)))&gt;0,
_xlfn.IFS(_xlpm._exists,1,NOT(_xlpm._exists),"")
)</f>
        <v/>
      </c>
      <c r="U74" s="33" t="str" cm="1">
        <f t="array" aca="1" ref="U7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($E74=CLASSIFICATION[[Keyword Aggr]:[Keyword Aggr]])*($D74=CLASSIFICATION[[Functional Scope Aggr]:[Functional Scope Aggr]])),
_xlpm._platform_keywords, _xlfn.TEXTSPLIT(SUBSTITUTE(SUBSTITUTE(VLOOKUP($D74,_xlpm._platform_range,3,FALSE),"+"&amp;CHAR(34),"+"),CHAR(34),""),", "),
_xlpm._exists, SUMPRODUCT(--ISNUMBER(MATCH(_xlpm._platform_keywords,_xlpm._original_keywords,0)))&gt;0,
_xlfn.IFS(_xlpm._exists,1,NOT(_xlpm._exists),"")
)</f>
        <v/>
      </c>
      <c r="V74" s="33" t="str" cm="1">
        <f t="array" aca="1" ref="V7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($E74=CLASSIFICATION[[Keyword Aggr]:[Keyword Aggr]])*($D74=CLASSIFICATION[[Functional Scope Aggr]:[Functional Scope Aggr]])),
_xlpm._platform_keywords, _xlfn.TEXTSPLIT(SUBSTITUTE(SUBSTITUTE(VLOOKUP($D74,_xlpm._platform_range,3,FALSE),"+"&amp;CHAR(34),"+"),CHAR(34),""),", "),
_xlpm._exists, SUMPRODUCT(--ISNUMBER(MATCH(_xlpm._platform_keywords,_xlpm._original_keywords,0)))&gt;0,
_xlfn.IFS(_xlpm._exists,1,NOT(_xlpm._exists),"")
)</f>
        <v/>
      </c>
      <c r="X74" s="33" t="str">
        <f t="shared" si="14"/>
        <v/>
      </c>
      <c r="Y74" s="33" t="str">
        <f t="shared" si="15"/>
        <v/>
      </c>
      <c r="Z74" s="33" t="str">
        <f t="shared" si="16"/>
        <v/>
      </c>
      <c r="AA74" s="33" t="str">
        <f t="shared" si="17"/>
        <v/>
      </c>
      <c r="AB74" s="33" t="str">
        <f t="shared" si="18"/>
        <v/>
      </c>
      <c r="AC74" s="33" t="str">
        <f t="shared" si="19"/>
        <v/>
      </c>
    </row>
    <row r="75" spans="1:29" x14ac:dyDescent="0.25">
      <c r="A75" s="19" t="str">
        <v>Development,Database design,IT Data Types</v>
      </c>
      <c r="B75" t="s">
        <v>377</v>
      </c>
      <c r="C75" s="19" t="str" cm="1">
        <f t="array" ref="C75:E75">_xlfn.TEXTSPLIT(A75,",")</f>
        <v>Development</v>
      </c>
      <c r="D75" s="19" t="str">
        <v>Database design</v>
      </c>
      <c r="E75" s="19" t="str">
        <v>IT Data Types</v>
      </c>
      <c r="F75" s="36" t="str" cm="1">
        <f t="array" ref="F75">_xlfn.TEXTJOIN(",",TRUE,_xlfn._xlws.FILTER(CLASSIFICATION[Keyword], ($E75=CLASSIFICATION[Keyword Aggr])*($D75=CLASSIFICATION[Functional Scope Aggr])))</f>
        <v>Types</v>
      </c>
      <c r="G75" s="32" t="str">
        <f t="shared" si="11"/>
        <v/>
      </c>
      <c r="H75" s="32" t="str">
        <f t="shared" si="12"/>
        <v/>
      </c>
      <c r="I75" s="32" t="str">
        <f t="shared" si="13"/>
        <v>IT Data Types</v>
      </c>
      <c r="J75" s="33" t="str" cm="1">
        <f t="array" aca="1" ref="J7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($E75=CLASSIFICATION[[Keyword Aggr]:[Keyword Aggr]])*($D75=CLASSIFICATION[[Functional Scope Aggr]:[Functional Scope Aggr]])),
_xlpm._platform_keywords, _xlfn.TEXTSPLIT(SUBSTITUTE(SUBSTITUTE(VLOOKUP($D75,_xlpm._platform_range,3,FALSE),"+"&amp;CHAR(34),"+"),CHAR(34),""),", "),
_xlpm._exists, SUMPRODUCT(--ISNUMBER(MATCH(_xlpm._platform_keywords,_xlpm._original_keywords,0)))&gt;0,
_xlfn.IFS(AND(_xlpm._exists,LEFT($E75,1)="+"),"+",_xlpm._exists,"*",NOT(_xlpm._exists),"")
)</f>
        <v/>
      </c>
      <c r="K75" s="33" t="str" cm="1">
        <f t="array" aca="1" ref="K7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($E75=CLASSIFICATION[[Keyword Aggr]:[Keyword Aggr]])*($D75=CLASSIFICATION[[Functional Scope Aggr]:[Functional Scope Aggr]])),
_xlpm._platform_keywords, _xlfn.TEXTSPLIT(SUBSTITUTE(SUBSTITUTE(VLOOKUP($D75,_xlpm._platform_range,3,FALSE),"+"&amp;CHAR(34),"+"),CHAR(34),""),", "),
_xlpm._exists, SUMPRODUCT(--ISNUMBER(MATCH(_xlpm._platform_keywords,_xlpm._original_keywords,0)))&gt;0,
_xlfn.IFS(AND(_xlpm._exists,LEFT($E75,1)="+"),"+",_xlpm._exists,"*",NOT(_xlpm._exists),"")
)</f>
        <v/>
      </c>
      <c r="L75" s="33" t="str" cm="1">
        <f t="array" aca="1" ref="L7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($E75=CLASSIFICATION[[Keyword Aggr]:[Keyword Aggr]])*($D75=CLASSIFICATION[[Functional Scope Aggr]:[Functional Scope Aggr]])),
_xlpm._platform_keywords, _xlfn.TEXTSPLIT(SUBSTITUTE(SUBSTITUTE(VLOOKUP($D75,_xlpm._platform_range,3,FALSE),"+"&amp;CHAR(34),"+"),CHAR(34),""),", "),
_xlpm._exists, SUMPRODUCT(--ISNUMBER(MATCH(_xlpm._platform_keywords,_xlpm._original_keywords,0)))&gt;0,
_xlfn.IFS(AND(_xlpm._exists,LEFT($E75,1)="+"),"+",_xlpm._exists,"*",NOT(_xlpm._exists),"")
)</f>
        <v/>
      </c>
      <c r="M75" s="33" t="str" cm="1">
        <f t="array" aca="1" ref="M7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($E75=CLASSIFICATION[[Keyword Aggr]:[Keyword Aggr]])*($D75=CLASSIFICATION[[Functional Scope Aggr]:[Functional Scope Aggr]])),
_xlpm._platform_keywords, _xlfn.TEXTSPLIT(SUBSTITUTE(SUBSTITUTE(VLOOKUP($D75,_xlpm._platform_range,3,FALSE),"+"&amp;CHAR(34),"+"),CHAR(34),""),", "),
_xlpm._exists, SUMPRODUCT(--ISNUMBER(MATCH(_xlpm._platform_keywords,_xlpm._original_keywords,0)))&gt;0,
_xlfn.IFS(AND(_xlpm._exists,LEFT($E75,1)="+"),"+",_xlpm._exists,"*",NOT(_xlpm._exists),"")
)</f>
        <v>*</v>
      </c>
      <c r="N75" s="33" t="str" cm="1">
        <f t="array" aca="1" ref="N7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($E75=CLASSIFICATION[[Keyword Aggr]:[Keyword Aggr]])*($D75=CLASSIFICATION[[Functional Scope Aggr]:[Functional Scope Aggr]])),
_xlpm._platform_keywords, _xlfn.TEXTSPLIT(SUBSTITUTE(SUBSTITUTE(VLOOKUP($D75,_xlpm._platform_range,3,FALSE),"+"&amp;CHAR(34),"+"),CHAR(34),""),", "),
_xlpm._exists, SUMPRODUCT(--ISNUMBER(MATCH(_xlpm._platform_keywords,_xlpm._original_keywords,0)))&gt;0,
_xlfn.IFS(AND(_xlpm._exists,LEFT($E75,1)="+"),"+",_xlpm._exists,"*",NOT(_xlpm._exists),"")
)</f>
        <v>*</v>
      </c>
      <c r="O75" s="33" t="str" cm="1">
        <f t="array" aca="1" ref="O7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($E75=CLASSIFICATION[[Keyword Aggr]:[Keyword Aggr]])*($D75=CLASSIFICATION[[Functional Scope Aggr]:[Functional Scope Aggr]])),
_xlpm._platform_keywords, _xlfn.TEXTSPLIT(SUBSTITUTE(SUBSTITUTE(VLOOKUP($D75,_xlpm._platform_range,3,FALSE),"+"&amp;CHAR(34),"+"),CHAR(34),""),", "),
_xlpm._exists, SUMPRODUCT(--ISNUMBER(MATCH(_xlpm._platform_keywords,_xlpm._original_keywords,0)))&gt;0,
_xlfn.IFS(AND(_xlpm._exists,LEFT($E75,1)="+"),"+",_xlpm._exists,"*",NOT(_xlpm._exists),"")
)</f>
        <v>*</v>
      </c>
      <c r="Q75" s="33" t="str" cm="1">
        <f t="array" aca="1" ref="Q7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($E75=CLASSIFICATION[[Keyword Aggr]:[Keyword Aggr]])*($D75=CLASSIFICATION[[Functional Scope Aggr]:[Functional Scope Aggr]])),
_xlpm._platform_keywords, _xlfn.TEXTSPLIT(SUBSTITUTE(SUBSTITUTE(VLOOKUP($D75,_xlpm._platform_range,3,FALSE),"+"&amp;CHAR(34),"+"),CHAR(34),""),", "),
_xlpm._exists, SUMPRODUCT(--ISNUMBER(MATCH(_xlpm._platform_keywords,_xlpm._original_keywords,0)))&gt;0,
_xlfn.IFS(_xlpm._exists,1,NOT(_xlpm._exists),"")
)</f>
        <v/>
      </c>
      <c r="R75" s="33" t="str" cm="1">
        <f t="array" aca="1" ref="R7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($E75=CLASSIFICATION[[Keyword Aggr]:[Keyword Aggr]])*($D75=CLASSIFICATION[[Functional Scope Aggr]:[Functional Scope Aggr]])),
_xlpm._platform_keywords, _xlfn.TEXTSPLIT(SUBSTITUTE(SUBSTITUTE(VLOOKUP($D75,_xlpm._platform_range,3,FALSE),"+"&amp;CHAR(34),"+"),CHAR(34),""),", "),
_xlpm._exists, SUMPRODUCT(--ISNUMBER(MATCH(_xlpm._platform_keywords,_xlpm._original_keywords,0)))&gt;0,
_xlfn.IFS(_xlpm._exists,1,NOT(_xlpm._exists),"")
)</f>
        <v/>
      </c>
      <c r="S75" s="33" t="str" cm="1">
        <f t="array" aca="1" ref="S7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($E75=CLASSIFICATION[[Keyword Aggr]:[Keyword Aggr]])*($D75=CLASSIFICATION[[Functional Scope Aggr]:[Functional Scope Aggr]])),
_xlpm._platform_keywords, _xlfn.TEXTSPLIT(SUBSTITUTE(SUBSTITUTE(VLOOKUP($D75,_xlpm._platform_range,3,FALSE),"+"&amp;CHAR(34),"+"),CHAR(34),""),", "),
_xlpm._exists, SUMPRODUCT(--ISNUMBER(MATCH(_xlpm._platform_keywords,_xlpm._original_keywords,0)))&gt;0,
_xlfn.IFS(_xlpm._exists,1,NOT(_xlpm._exists),"")
)</f>
        <v/>
      </c>
      <c r="T75" s="33" cm="1">
        <f t="array" aca="1" ref="T7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($E75=CLASSIFICATION[[Keyword Aggr]:[Keyword Aggr]])*($D75=CLASSIFICATION[[Functional Scope Aggr]:[Functional Scope Aggr]])),
_xlpm._platform_keywords, _xlfn.TEXTSPLIT(SUBSTITUTE(SUBSTITUTE(VLOOKUP($D75,_xlpm._platform_range,3,FALSE),"+"&amp;CHAR(34),"+"),CHAR(34),""),", "),
_xlpm._exists, SUMPRODUCT(--ISNUMBER(MATCH(_xlpm._platform_keywords,_xlpm._original_keywords,0)))&gt;0,
_xlfn.IFS(_xlpm._exists,1,NOT(_xlpm._exists),"")
)</f>
        <v>1</v>
      </c>
      <c r="U75" s="33" cm="1">
        <f t="array" aca="1" ref="U7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($E75=CLASSIFICATION[[Keyword Aggr]:[Keyword Aggr]])*($D75=CLASSIFICATION[[Functional Scope Aggr]:[Functional Scope Aggr]])),
_xlpm._platform_keywords, _xlfn.TEXTSPLIT(SUBSTITUTE(SUBSTITUTE(VLOOKUP($D75,_xlpm._platform_range,3,FALSE),"+"&amp;CHAR(34),"+"),CHAR(34),""),", "),
_xlpm._exists, SUMPRODUCT(--ISNUMBER(MATCH(_xlpm._platform_keywords,_xlpm._original_keywords,0)))&gt;0,
_xlfn.IFS(_xlpm._exists,1,NOT(_xlpm._exists),"")
)</f>
        <v>1</v>
      </c>
      <c r="V75" s="33" cm="1">
        <f t="array" aca="1" ref="V7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($E75=CLASSIFICATION[[Keyword Aggr]:[Keyword Aggr]])*($D75=CLASSIFICATION[[Functional Scope Aggr]:[Functional Scope Aggr]])),
_xlpm._platform_keywords, _xlfn.TEXTSPLIT(SUBSTITUTE(SUBSTITUTE(VLOOKUP($D75,_xlpm._platform_range,3,FALSE),"+"&amp;CHAR(34),"+"),CHAR(34),""),", "),
_xlpm._exists, SUMPRODUCT(--ISNUMBER(MATCH(_xlpm._platform_keywords,_xlpm._original_keywords,0)))&gt;0,
_xlfn.IFS(_xlpm._exists,1,NOT(_xlpm._exists),"")
)</f>
        <v>1</v>
      </c>
      <c r="X75" s="33" t="str">
        <f t="shared" si="14"/>
        <v/>
      </c>
      <c r="Y75" s="33" t="str">
        <f t="shared" si="15"/>
        <v/>
      </c>
      <c r="Z75" s="33" t="str">
        <f t="shared" si="16"/>
        <v/>
      </c>
      <c r="AA75" s="33" t="str">
        <f t="shared" si="17"/>
        <v/>
      </c>
      <c r="AB75" s="33" t="str">
        <f t="shared" si="18"/>
        <v/>
      </c>
      <c r="AC75" s="33" t="str">
        <f t="shared" si="19"/>
        <v/>
      </c>
    </row>
    <row r="76" spans="1:29" x14ac:dyDescent="0.25">
      <c r="A76" s="19" t="str">
        <v>Development,Database design,Web API</v>
      </c>
      <c r="B76" t="s">
        <v>377</v>
      </c>
      <c r="C76" s="19" t="str" cm="1">
        <f t="array" ref="C76:E76">_xlfn.TEXTSPLIT(A76,",")</f>
        <v>Development</v>
      </c>
      <c r="D76" s="19" t="str">
        <v>Database design</v>
      </c>
      <c r="E76" s="19" t="str">
        <v>Web API</v>
      </c>
      <c r="F76" s="36" t="str" cm="1">
        <f t="array" ref="F76">_xlfn.TEXTJOIN(",",TRUE,_xlfn._xlws.FILTER(CLASSIFICATION[Keyword], ($E76=CLASSIFICATION[Keyword Aggr])*($D76=CLASSIFICATION[Functional Scope Aggr])))</f>
        <v>Web API (Microsoft Dataverse)</v>
      </c>
      <c r="G76" s="32" t="str">
        <f t="shared" si="11"/>
        <v/>
      </c>
      <c r="H76" s="32" t="str">
        <f t="shared" si="12"/>
        <v/>
      </c>
      <c r="I76" s="32" t="str">
        <f t="shared" si="13"/>
        <v>Web API</v>
      </c>
      <c r="J76" s="33" t="str" cm="1">
        <f t="array" aca="1" ref="J7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($E76=CLASSIFICATION[[Keyword Aggr]:[Keyword Aggr]])*($D76=CLASSIFICATION[[Functional Scope Aggr]:[Functional Scope Aggr]])),
_xlpm._platform_keywords, _xlfn.TEXTSPLIT(SUBSTITUTE(SUBSTITUTE(VLOOKUP($D76,_xlpm._platform_range,3,FALSE),"+"&amp;CHAR(34),"+"),CHAR(34),""),", "),
_xlpm._exists, SUMPRODUCT(--ISNUMBER(MATCH(_xlpm._platform_keywords,_xlpm._original_keywords,0)))&gt;0,
_xlfn.IFS(AND(_xlpm._exists,LEFT($E76,1)="+"),"+",_xlpm._exists,"*",NOT(_xlpm._exists),"")
)</f>
        <v/>
      </c>
      <c r="K76" s="33" t="str" cm="1">
        <f t="array" aca="1" ref="K7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($E76=CLASSIFICATION[[Keyword Aggr]:[Keyword Aggr]])*($D76=CLASSIFICATION[[Functional Scope Aggr]:[Functional Scope Aggr]])),
_xlpm._platform_keywords, _xlfn.TEXTSPLIT(SUBSTITUTE(SUBSTITUTE(VLOOKUP($D76,_xlpm._platform_range,3,FALSE),"+"&amp;CHAR(34),"+"),CHAR(34),""),", "),
_xlpm._exists, SUMPRODUCT(--ISNUMBER(MATCH(_xlpm._platform_keywords,_xlpm._original_keywords,0)))&gt;0,
_xlfn.IFS(AND(_xlpm._exists,LEFT($E76,1)="+"),"+",_xlpm._exists,"*",NOT(_xlpm._exists),"")
)</f>
        <v/>
      </c>
      <c r="L76" s="33" t="str" cm="1">
        <f t="array" aca="1" ref="L7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($E76=CLASSIFICATION[[Keyword Aggr]:[Keyword Aggr]])*($D76=CLASSIFICATION[[Functional Scope Aggr]:[Functional Scope Aggr]])),
_xlpm._platform_keywords, _xlfn.TEXTSPLIT(SUBSTITUTE(SUBSTITUTE(VLOOKUP($D76,_xlpm._platform_range,3,FALSE),"+"&amp;CHAR(34),"+"),CHAR(34),""),", "),
_xlpm._exists, SUMPRODUCT(--ISNUMBER(MATCH(_xlpm._platform_keywords,_xlpm._original_keywords,0)))&gt;0,
_xlfn.IFS(AND(_xlpm._exists,LEFT($E76,1)="+"),"+",_xlpm._exists,"*",NOT(_xlpm._exists),"")
)</f>
        <v/>
      </c>
      <c r="M76" s="33" t="str" cm="1">
        <f t="array" aca="1" ref="M7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($E76=CLASSIFICATION[[Keyword Aggr]:[Keyword Aggr]])*($D76=CLASSIFICATION[[Functional Scope Aggr]:[Functional Scope Aggr]])),
_xlpm._platform_keywords, _xlfn.TEXTSPLIT(SUBSTITUTE(SUBSTITUTE(VLOOKUP($D76,_xlpm._platform_range,3,FALSE),"+"&amp;CHAR(34),"+"),CHAR(34),""),", "),
_xlpm._exists, SUMPRODUCT(--ISNUMBER(MATCH(_xlpm._platform_keywords,_xlpm._original_keywords,0)))&gt;0,
_xlfn.IFS(AND(_xlpm._exists,LEFT($E76,1)="+"),"+",_xlpm._exists,"*",NOT(_xlpm._exists),"")
)</f>
        <v>*</v>
      </c>
      <c r="N76" s="33" t="str" cm="1">
        <f t="array" aca="1" ref="N7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($E76=CLASSIFICATION[[Keyword Aggr]:[Keyword Aggr]])*($D76=CLASSIFICATION[[Functional Scope Aggr]:[Functional Scope Aggr]])),
_xlpm._platform_keywords, _xlfn.TEXTSPLIT(SUBSTITUTE(SUBSTITUTE(VLOOKUP($D76,_xlpm._platform_range,3,FALSE),"+"&amp;CHAR(34),"+"),CHAR(34),""),", "),
_xlpm._exists, SUMPRODUCT(--ISNUMBER(MATCH(_xlpm._platform_keywords,_xlpm._original_keywords,0)))&gt;0,
_xlfn.IFS(AND(_xlpm._exists,LEFT($E76,1)="+"),"+",_xlpm._exists,"*",NOT(_xlpm._exists),"")
)</f>
        <v/>
      </c>
      <c r="O76" s="33" t="str" cm="1">
        <f t="array" aca="1" ref="O7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($E76=CLASSIFICATION[[Keyword Aggr]:[Keyword Aggr]])*($D76=CLASSIFICATION[[Functional Scope Aggr]:[Functional Scope Aggr]])),
_xlpm._platform_keywords, _xlfn.TEXTSPLIT(SUBSTITUTE(SUBSTITUTE(VLOOKUP($D76,_xlpm._platform_range,3,FALSE),"+"&amp;CHAR(34),"+"),CHAR(34),""),", "),
_xlpm._exists, SUMPRODUCT(--ISNUMBER(MATCH(_xlpm._platform_keywords,_xlpm._original_keywords,0)))&gt;0,
_xlfn.IFS(AND(_xlpm._exists,LEFT($E76,1)="+"),"+",_xlpm._exists,"*",NOT(_xlpm._exists),"")
)</f>
        <v/>
      </c>
      <c r="Q76" s="33" t="str" cm="1">
        <f t="array" aca="1" ref="Q7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($E76=CLASSIFICATION[[Keyword Aggr]:[Keyword Aggr]])*($D76=CLASSIFICATION[[Functional Scope Aggr]:[Functional Scope Aggr]])),
_xlpm._platform_keywords, _xlfn.TEXTSPLIT(SUBSTITUTE(SUBSTITUTE(VLOOKUP($D76,_xlpm._platform_range,3,FALSE),"+"&amp;CHAR(34),"+"),CHAR(34),""),", "),
_xlpm._exists, SUMPRODUCT(--ISNUMBER(MATCH(_xlpm._platform_keywords,_xlpm._original_keywords,0)))&gt;0,
_xlfn.IFS(_xlpm._exists,1,NOT(_xlpm._exists),"")
)</f>
        <v/>
      </c>
      <c r="R76" s="33" t="str" cm="1">
        <f t="array" aca="1" ref="R7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($E76=CLASSIFICATION[[Keyword Aggr]:[Keyword Aggr]])*($D76=CLASSIFICATION[[Functional Scope Aggr]:[Functional Scope Aggr]])),
_xlpm._platform_keywords, _xlfn.TEXTSPLIT(SUBSTITUTE(SUBSTITUTE(VLOOKUP($D76,_xlpm._platform_range,3,FALSE),"+"&amp;CHAR(34),"+"),CHAR(34),""),", "),
_xlpm._exists, SUMPRODUCT(--ISNUMBER(MATCH(_xlpm._platform_keywords,_xlpm._original_keywords,0)))&gt;0,
_xlfn.IFS(_xlpm._exists,1,NOT(_xlpm._exists),"")
)</f>
        <v/>
      </c>
      <c r="S76" s="33" t="str" cm="1">
        <f t="array" aca="1" ref="S7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($E76=CLASSIFICATION[[Keyword Aggr]:[Keyword Aggr]])*($D76=CLASSIFICATION[[Functional Scope Aggr]:[Functional Scope Aggr]])),
_xlpm._platform_keywords, _xlfn.TEXTSPLIT(SUBSTITUTE(SUBSTITUTE(VLOOKUP($D76,_xlpm._platform_range,3,FALSE),"+"&amp;CHAR(34),"+"),CHAR(34),""),", "),
_xlpm._exists, SUMPRODUCT(--ISNUMBER(MATCH(_xlpm._platform_keywords,_xlpm._original_keywords,0)))&gt;0,
_xlfn.IFS(_xlpm._exists,1,NOT(_xlpm._exists),"")
)</f>
        <v/>
      </c>
      <c r="T76" s="33" cm="1">
        <f t="array" aca="1" ref="T7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($E76=CLASSIFICATION[[Keyword Aggr]:[Keyword Aggr]])*($D76=CLASSIFICATION[[Functional Scope Aggr]:[Functional Scope Aggr]])),
_xlpm._platform_keywords, _xlfn.TEXTSPLIT(SUBSTITUTE(SUBSTITUTE(VLOOKUP($D76,_xlpm._platform_range,3,FALSE),"+"&amp;CHAR(34),"+"),CHAR(34),""),", "),
_xlpm._exists, SUMPRODUCT(--ISNUMBER(MATCH(_xlpm._platform_keywords,_xlpm._original_keywords,0)))&gt;0,
_xlfn.IFS(_xlpm._exists,1,NOT(_xlpm._exists),"")
)</f>
        <v>1</v>
      </c>
      <c r="U76" s="33" t="str" cm="1">
        <f t="array" aca="1" ref="U7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($E76=CLASSIFICATION[[Keyword Aggr]:[Keyword Aggr]])*($D76=CLASSIFICATION[[Functional Scope Aggr]:[Functional Scope Aggr]])),
_xlpm._platform_keywords, _xlfn.TEXTSPLIT(SUBSTITUTE(SUBSTITUTE(VLOOKUP($D76,_xlpm._platform_range,3,FALSE),"+"&amp;CHAR(34),"+"),CHAR(34),""),", "),
_xlpm._exists, SUMPRODUCT(--ISNUMBER(MATCH(_xlpm._platform_keywords,_xlpm._original_keywords,0)))&gt;0,
_xlfn.IFS(_xlpm._exists,1,NOT(_xlpm._exists),"")
)</f>
        <v/>
      </c>
      <c r="V76" s="33" t="str" cm="1">
        <f t="array" aca="1" ref="V7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($E76=CLASSIFICATION[[Keyword Aggr]:[Keyword Aggr]])*($D76=CLASSIFICATION[[Functional Scope Aggr]:[Functional Scope Aggr]])),
_xlpm._platform_keywords, _xlfn.TEXTSPLIT(SUBSTITUTE(SUBSTITUTE(VLOOKUP($D76,_xlpm._platform_range,3,FALSE),"+"&amp;CHAR(34),"+"),CHAR(34),""),", "),
_xlpm._exists, SUMPRODUCT(--ISNUMBER(MATCH(_xlpm._platform_keywords,_xlpm._original_keywords,0)))&gt;0,
_xlfn.IFS(_xlpm._exists,1,NOT(_xlpm._exists),"")
)</f>
        <v/>
      </c>
      <c r="X76" s="33" t="str">
        <f t="shared" si="14"/>
        <v/>
      </c>
      <c r="Y76" s="33" t="str">
        <f t="shared" si="15"/>
        <v/>
      </c>
      <c r="Z76" s="33" t="str">
        <f t="shared" si="16"/>
        <v/>
      </c>
      <c r="AA76" s="33" t="str">
        <f t="shared" si="17"/>
        <v/>
      </c>
      <c r="AB76" s="33" t="str">
        <f t="shared" si="18"/>
        <v/>
      </c>
      <c r="AC76" s="33" t="str">
        <f t="shared" si="19"/>
        <v/>
      </c>
    </row>
    <row r="77" spans="1:29" x14ac:dyDescent="0.25">
      <c r="A77" s="19" t="str">
        <v>Development,Fetching data,.NET</v>
      </c>
      <c r="B77" t="s">
        <v>377</v>
      </c>
      <c r="C77" s="19" t="str" cm="1">
        <f t="array" ref="C77:E77">_xlfn.TEXTSPLIT(A77,",")</f>
        <v>Development</v>
      </c>
      <c r="D77" s="19" t="str">
        <v>Fetching data</v>
      </c>
      <c r="E77" s="19" t="str">
        <v>.NET</v>
      </c>
      <c r="F77" s="36" t="str" cm="1">
        <f t="array" ref="F77">_xlfn.TEXTJOIN(",",TRUE,_xlfn._xlws.FILTER(CLASSIFICATION[Keyword], ($E77=CLASSIFICATION[Keyword Aggr])*($D77=CLASSIFICATION[Functional Scope Aggr])))</f>
        <v>.NET</v>
      </c>
      <c r="G77" s="32" t="str">
        <f t="shared" si="11"/>
        <v/>
      </c>
      <c r="H77" s="32" t="str">
        <f t="shared" si="12"/>
        <v>Fetching data</v>
      </c>
      <c r="I77" s="32" t="str">
        <f t="shared" si="13"/>
        <v>.NET</v>
      </c>
      <c r="J77" s="33" t="str" cm="1">
        <f t="array" aca="1" ref="J7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($E77=CLASSIFICATION[[Keyword Aggr]:[Keyword Aggr]])*($D77=CLASSIFICATION[[Functional Scope Aggr]:[Functional Scope Aggr]])),
_xlpm._platform_keywords, _xlfn.TEXTSPLIT(SUBSTITUTE(SUBSTITUTE(VLOOKUP($D77,_xlpm._platform_range,3,FALSE),"+"&amp;CHAR(34),"+"),CHAR(34),""),", "),
_xlpm._exists, SUMPRODUCT(--ISNUMBER(MATCH(_xlpm._platform_keywords,_xlpm._original_keywords,0)))&gt;0,
_xlfn.IFS(AND(_xlpm._exists,LEFT($E77,1)="+"),"+",_xlpm._exists,"*",NOT(_xlpm._exists),"")
)</f>
        <v/>
      </c>
      <c r="K77" s="33" t="str" cm="1">
        <f t="array" aca="1" ref="K7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($E77=CLASSIFICATION[[Keyword Aggr]:[Keyword Aggr]])*($D77=CLASSIFICATION[[Functional Scope Aggr]:[Functional Scope Aggr]])),
_xlpm._platform_keywords, _xlfn.TEXTSPLIT(SUBSTITUTE(SUBSTITUTE(VLOOKUP($D77,_xlpm._platform_range,3,FALSE),"+"&amp;CHAR(34),"+"),CHAR(34),""),", "),
_xlpm._exists, SUMPRODUCT(--ISNUMBER(MATCH(_xlpm._platform_keywords,_xlpm._original_keywords,0)))&gt;0,
_xlfn.IFS(AND(_xlpm._exists,LEFT($E77,1)="+"),"+",_xlpm._exists,"*",NOT(_xlpm._exists),"")
)</f>
        <v/>
      </c>
      <c r="L77" s="33" t="str" cm="1">
        <f t="array" aca="1" ref="L7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($E77=CLASSIFICATION[[Keyword Aggr]:[Keyword Aggr]])*($D77=CLASSIFICATION[[Functional Scope Aggr]:[Functional Scope Aggr]])),
_xlpm._platform_keywords, _xlfn.TEXTSPLIT(SUBSTITUTE(SUBSTITUTE(VLOOKUP($D77,_xlpm._platform_range,3,FALSE),"+"&amp;CHAR(34),"+"),CHAR(34),""),", "),
_xlpm._exists, SUMPRODUCT(--ISNUMBER(MATCH(_xlpm._platform_keywords,_xlpm._original_keywords,0)))&gt;0,
_xlfn.IFS(AND(_xlpm._exists,LEFT($E77,1)="+"),"+",_xlpm._exists,"*",NOT(_xlpm._exists),"")
)</f>
        <v/>
      </c>
      <c r="M77" s="33" t="str" cm="1">
        <f t="array" aca="1" ref="M7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($E77=CLASSIFICATION[[Keyword Aggr]:[Keyword Aggr]])*($D77=CLASSIFICATION[[Functional Scope Aggr]:[Functional Scope Aggr]])),
_xlpm._platform_keywords, _xlfn.TEXTSPLIT(SUBSTITUTE(SUBSTITUTE(VLOOKUP($D77,_xlpm._platform_range,3,FALSE),"+"&amp;CHAR(34),"+"),CHAR(34),""),", "),
_xlpm._exists, SUMPRODUCT(--ISNUMBER(MATCH(_xlpm._platform_keywords,_xlpm._original_keywords,0)))&gt;0,
_xlfn.IFS(AND(_xlpm._exists,LEFT($E77,1)="+"),"+",_xlpm._exists,"*",NOT(_xlpm._exists),"")
)</f>
        <v>*</v>
      </c>
      <c r="N77" s="33" t="str" cm="1">
        <f t="array" aca="1" ref="N7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($E77=CLASSIFICATION[[Keyword Aggr]:[Keyword Aggr]])*($D77=CLASSIFICATION[[Functional Scope Aggr]:[Functional Scope Aggr]])),
_xlpm._platform_keywords, _xlfn.TEXTSPLIT(SUBSTITUTE(SUBSTITUTE(VLOOKUP($D77,_xlpm._platform_range,3,FALSE),"+"&amp;CHAR(34),"+"),CHAR(34),""),", "),
_xlpm._exists, SUMPRODUCT(--ISNUMBER(MATCH(_xlpm._platform_keywords,_xlpm._original_keywords,0)))&gt;0,
_xlfn.IFS(AND(_xlpm._exists,LEFT($E77,1)="+"),"+",_xlpm._exists,"*",NOT(_xlpm._exists),"")
)</f>
        <v/>
      </c>
      <c r="O77" s="33" t="str" cm="1">
        <f t="array" aca="1" ref="O7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($E77=CLASSIFICATION[[Keyword Aggr]:[Keyword Aggr]])*($D77=CLASSIFICATION[[Functional Scope Aggr]:[Functional Scope Aggr]])),
_xlpm._platform_keywords, _xlfn.TEXTSPLIT(SUBSTITUTE(SUBSTITUTE(VLOOKUP($D77,_xlpm._platform_range,3,FALSE),"+"&amp;CHAR(34),"+"),CHAR(34),""),", "),
_xlpm._exists, SUMPRODUCT(--ISNUMBER(MATCH(_xlpm._platform_keywords,_xlpm._original_keywords,0)))&gt;0,
_xlfn.IFS(AND(_xlpm._exists,LEFT($E77,1)="+"),"+",_xlpm._exists,"*",NOT(_xlpm._exists),"")
)</f>
        <v/>
      </c>
      <c r="Q77" s="33" t="str" cm="1">
        <f t="array" aca="1" ref="Q7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($E77=CLASSIFICATION[[Keyword Aggr]:[Keyword Aggr]])*($D77=CLASSIFICATION[[Functional Scope Aggr]:[Functional Scope Aggr]])),
_xlpm._platform_keywords, _xlfn.TEXTSPLIT(SUBSTITUTE(SUBSTITUTE(VLOOKUP($D77,_xlpm._platform_range,3,FALSE),"+"&amp;CHAR(34),"+"),CHAR(34),""),", "),
_xlpm._exists, SUMPRODUCT(--ISNUMBER(MATCH(_xlpm._platform_keywords,_xlpm._original_keywords,0)))&gt;0,
_xlfn.IFS(_xlpm._exists,1,NOT(_xlpm._exists),"")
)</f>
        <v/>
      </c>
      <c r="R77" s="33" t="str" cm="1">
        <f t="array" aca="1" ref="R7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($E77=CLASSIFICATION[[Keyword Aggr]:[Keyword Aggr]])*($D77=CLASSIFICATION[[Functional Scope Aggr]:[Functional Scope Aggr]])),
_xlpm._platform_keywords, _xlfn.TEXTSPLIT(SUBSTITUTE(SUBSTITUTE(VLOOKUP($D77,_xlpm._platform_range,3,FALSE),"+"&amp;CHAR(34),"+"),CHAR(34),""),", "),
_xlpm._exists, SUMPRODUCT(--ISNUMBER(MATCH(_xlpm._platform_keywords,_xlpm._original_keywords,0)))&gt;0,
_xlfn.IFS(_xlpm._exists,1,NOT(_xlpm._exists),"")
)</f>
        <v/>
      </c>
      <c r="S77" s="33" t="str" cm="1">
        <f t="array" aca="1" ref="S7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($E77=CLASSIFICATION[[Keyword Aggr]:[Keyword Aggr]])*($D77=CLASSIFICATION[[Functional Scope Aggr]:[Functional Scope Aggr]])),
_xlpm._platform_keywords, _xlfn.TEXTSPLIT(SUBSTITUTE(SUBSTITUTE(VLOOKUP($D77,_xlpm._platform_range,3,FALSE),"+"&amp;CHAR(34),"+"),CHAR(34),""),", "),
_xlpm._exists, SUMPRODUCT(--ISNUMBER(MATCH(_xlpm._platform_keywords,_xlpm._original_keywords,0)))&gt;0,
_xlfn.IFS(_xlpm._exists,1,NOT(_xlpm._exists),"")
)</f>
        <v/>
      </c>
      <c r="T77" s="33" cm="1">
        <f t="array" aca="1" ref="T7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($E77=CLASSIFICATION[[Keyword Aggr]:[Keyword Aggr]])*($D77=CLASSIFICATION[[Functional Scope Aggr]:[Functional Scope Aggr]])),
_xlpm._platform_keywords, _xlfn.TEXTSPLIT(SUBSTITUTE(SUBSTITUTE(VLOOKUP($D77,_xlpm._platform_range,3,FALSE),"+"&amp;CHAR(34),"+"),CHAR(34),""),", "),
_xlpm._exists, SUMPRODUCT(--ISNUMBER(MATCH(_xlpm._platform_keywords,_xlpm._original_keywords,0)))&gt;0,
_xlfn.IFS(_xlpm._exists,1,NOT(_xlpm._exists),"")
)</f>
        <v>1</v>
      </c>
      <c r="U77" s="33" t="str" cm="1">
        <f t="array" aca="1" ref="U7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($E77=CLASSIFICATION[[Keyword Aggr]:[Keyword Aggr]])*($D77=CLASSIFICATION[[Functional Scope Aggr]:[Functional Scope Aggr]])),
_xlpm._platform_keywords, _xlfn.TEXTSPLIT(SUBSTITUTE(SUBSTITUTE(VLOOKUP($D77,_xlpm._platform_range,3,FALSE),"+"&amp;CHAR(34),"+"),CHAR(34),""),", "),
_xlpm._exists, SUMPRODUCT(--ISNUMBER(MATCH(_xlpm._platform_keywords,_xlpm._original_keywords,0)))&gt;0,
_xlfn.IFS(_xlpm._exists,1,NOT(_xlpm._exists),"")
)</f>
        <v/>
      </c>
      <c r="V77" s="33" t="str" cm="1">
        <f t="array" aca="1" ref="V7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($E77=CLASSIFICATION[[Keyword Aggr]:[Keyword Aggr]])*($D77=CLASSIFICATION[[Functional Scope Aggr]:[Functional Scope Aggr]])),
_xlpm._platform_keywords, _xlfn.TEXTSPLIT(SUBSTITUTE(SUBSTITUTE(VLOOKUP($D77,_xlpm._platform_range,3,FALSE),"+"&amp;CHAR(34),"+"),CHAR(34),""),", "),
_xlpm._exists, SUMPRODUCT(--ISNUMBER(MATCH(_xlpm._platform_keywords,_xlpm._original_keywords,0)))&gt;0,
_xlfn.IFS(_xlpm._exists,1,NOT(_xlpm._exists),"")
)</f>
        <v/>
      </c>
      <c r="X77" s="33">
        <f t="shared" ca="1" si="14"/>
        <v>0</v>
      </c>
      <c r="Y77" s="33">
        <f t="shared" ca="1" si="15"/>
        <v>1</v>
      </c>
      <c r="Z77" s="33">
        <f t="shared" ca="1" si="16"/>
        <v>5</v>
      </c>
      <c r="AA77" s="33">
        <f t="shared" ca="1" si="17"/>
        <v>6</v>
      </c>
      <c r="AB77" s="33">
        <f t="shared" ca="1" si="18"/>
        <v>3</v>
      </c>
      <c r="AC77" s="33">
        <f t="shared" ca="1" si="19"/>
        <v>2</v>
      </c>
    </row>
    <row r="78" spans="1:29" x14ac:dyDescent="0.25">
      <c r="A78" s="19" t="str">
        <v>Development,Fetching data,+Cloud-based Spreadsheets</v>
      </c>
      <c r="B78" t="s">
        <v>377</v>
      </c>
      <c r="C78" s="19" t="str" cm="1">
        <f t="array" ref="C78:E78">_xlfn.TEXTSPLIT(A78,",")</f>
        <v>Development</v>
      </c>
      <c r="D78" s="19" t="str">
        <v>Fetching data</v>
      </c>
      <c r="E78" s="19" t="str">
        <v>+Cloud-based Spreadsheets</v>
      </c>
      <c r="F78" s="36" t="str" cm="1">
        <f t="array" ref="F78">_xlfn.TEXTJOIN(",",TRUE,_xlfn._xlws.FILTER(CLASSIFICATION[Keyword], ($E78=CLASSIFICATION[Keyword Aggr])*($D78=CLASSIFICATION[Functional Scope Aggr])))</f>
        <v>+Cloud-based Spreadsheets</v>
      </c>
      <c r="G78" s="32" t="str">
        <f t="shared" si="11"/>
        <v/>
      </c>
      <c r="H78" s="32" t="str">
        <f t="shared" si="12"/>
        <v/>
      </c>
      <c r="I78" s="32" t="str">
        <f t="shared" si="13"/>
        <v>+Cloud-based Spreadsheets</v>
      </c>
      <c r="J78" s="33" t="str" cm="1">
        <f t="array" aca="1" ref="J7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($E78=CLASSIFICATION[[Keyword Aggr]:[Keyword Aggr]])*($D78=CLASSIFICATION[[Functional Scope Aggr]:[Functional Scope Aggr]])),
_xlpm._platform_keywords, _xlfn.TEXTSPLIT(SUBSTITUTE(SUBSTITUTE(VLOOKUP($D78,_xlpm._platform_range,3,FALSE),"+"&amp;CHAR(34),"+"),CHAR(34),""),", "),
_xlpm._exists, SUMPRODUCT(--ISNUMBER(MATCH(_xlpm._platform_keywords,_xlpm._original_keywords,0)))&gt;0,
_xlfn.IFS(AND(_xlpm._exists,LEFT($E78,1)="+"),"+",_xlpm._exists,"*",NOT(_xlpm._exists),"")
)</f>
        <v/>
      </c>
      <c r="K78" s="33" t="str" cm="1">
        <f t="array" aca="1" ref="K7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($E78=CLASSIFICATION[[Keyword Aggr]:[Keyword Aggr]])*($D78=CLASSIFICATION[[Functional Scope Aggr]:[Functional Scope Aggr]])),
_xlpm._platform_keywords, _xlfn.TEXTSPLIT(SUBSTITUTE(SUBSTITUTE(VLOOKUP($D78,_xlpm._platform_range,3,FALSE),"+"&amp;CHAR(34),"+"),CHAR(34),""),", "),
_xlpm._exists, SUMPRODUCT(--ISNUMBER(MATCH(_xlpm._platform_keywords,_xlpm._original_keywords,0)))&gt;0,
_xlfn.IFS(AND(_xlpm._exists,LEFT($E78,1)="+"),"+",_xlpm._exists,"*",NOT(_xlpm._exists),"")
)</f>
        <v/>
      </c>
      <c r="L78" s="33" t="str" cm="1">
        <f t="array" aca="1" ref="L7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($E78=CLASSIFICATION[[Keyword Aggr]:[Keyword Aggr]])*($D78=CLASSIFICATION[[Functional Scope Aggr]:[Functional Scope Aggr]])),
_xlpm._platform_keywords, _xlfn.TEXTSPLIT(SUBSTITUTE(SUBSTITUTE(VLOOKUP($D78,_xlpm._platform_range,3,FALSE),"+"&amp;CHAR(34),"+"),CHAR(34),""),", "),
_xlpm._exists, SUMPRODUCT(--ISNUMBER(MATCH(_xlpm._platform_keywords,_xlpm._original_keywords,0)))&gt;0,
_xlfn.IFS(AND(_xlpm._exists,LEFT($E78,1)="+"),"+",_xlpm._exists,"*",NOT(_xlpm._exists),"")
)</f>
        <v/>
      </c>
      <c r="M78" s="33" t="str" cm="1">
        <f t="array" aca="1" ref="M7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($E78=CLASSIFICATION[[Keyword Aggr]:[Keyword Aggr]])*($D78=CLASSIFICATION[[Functional Scope Aggr]:[Functional Scope Aggr]])),
_xlpm._platform_keywords, _xlfn.TEXTSPLIT(SUBSTITUTE(SUBSTITUTE(VLOOKUP($D78,_xlpm._platform_range,3,FALSE),"+"&amp;CHAR(34),"+"),CHAR(34),""),", "),
_xlpm._exists, SUMPRODUCT(--ISNUMBER(MATCH(_xlpm._platform_keywords,_xlpm._original_keywords,0)))&gt;0,
_xlfn.IFS(AND(_xlpm._exists,LEFT($E78,1)="+"),"+",_xlpm._exists,"*",NOT(_xlpm._exists),"")
)</f>
        <v/>
      </c>
      <c r="N78" s="33" t="str" cm="1">
        <f t="array" aca="1" ref="N7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($E78=CLASSIFICATION[[Keyword Aggr]:[Keyword Aggr]])*($D78=CLASSIFICATION[[Functional Scope Aggr]:[Functional Scope Aggr]])),
_xlpm._platform_keywords, _xlfn.TEXTSPLIT(SUBSTITUTE(SUBSTITUTE(VLOOKUP($D78,_xlpm._platform_range,3,FALSE),"+"&amp;CHAR(34),"+"),CHAR(34),""),", "),
_xlpm._exists, SUMPRODUCT(--ISNUMBER(MATCH(_xlpm._platform_keywords,_xlpm._original_keywords,0)))&gt;0,
_xlfn.IFS(AND(_xlpm._exists,LEFT($E78,1)="+"),"+",_xlpm._exists,"*",NOT(_xlpm._exists),"")
)</f>
        <v>+</v>
      </c>
      <c r="O78" s="33" t="str" cm="1">
        <f t="array" aca="1" ref="O7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($E78=CLASSIFICATION[[Keyword Aggr]:[Keyword Aggr]])*($D78=CLASSIFICATION[[Functional Scope Aggr]:[Functional Scope Aggr]])),
_xlpm._platform_keywords, _xlfn.TEXTSPLIT(SUBSTITUTE(SUBSTITUTE(VLOOKUP($D78,_xlpm._platform_range,3,FALSE),"+"&amp;CHAR(34),"+"),CHAR(34),""),", "),
_xlpm._exists, SUMPRODUCT(--ISNUMBER(MATCH(_xlpm._platform_keywords,_xlpm._original_keywords,0)))&gt;0,
_xlfn.IFS(AND(_xlpm._exists,LEFT($E78,1)="+"),"+",_xlpm._exists,"*",NOT(_xlpm._exists),"")
)</f>
        <v/>
      </c>
      <c r="Q78" s="33" t="str" cm="1">
        <f t="array" aca="1" ref="Q7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($E78=CLASSIFICATION[[Keyword Aggr]:[Keyword Aggr]])*($D78=CLASSIFICATION[[Functional Scope Aggr]:[Functional Scope Aggr]])),
_xlpm._platform_keywords, _xlfn.TEXTSPLIT(SUBSTITUTE(SUBSTITUTE(VLOOKUP($D78,_xlpm._platform_range,3,FALSE),"+"&amp;CHAR(34),"+"),CHAR(34),""),", "),
_xlpm._exists, SUMPRODUCT(--ISNUMBER(MATCH(_xlpm._platform_keywords,_xlpm._original_keywords,0)))&gt;0,
_xlfn.IFS(_xlpm._exists,1,NOT(_xlpm._exists),"")
)</f>
        <v/>
      </c>
      <c r="R78" s="33" t="str" cm="1">
        <f t="array" aca="1" ref="R7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($E78=CLASSIFICATION[[Keyword Aggr]:[Keyword Aggr]])*($D78=CLASSIFICATION[[Functional Scope Aggr]:[Functional Scope Aggr]])),
_xlpm._platform_keywords, _xlfn.TEXTSPLIT(SUBSTITUTE(SUBSTITUTE(VLOOKUP($D78,_xlpm._platform_range,3,FALSE),"+"&amp;CHAR(34),"+"),CHAR(34),""),", "),
_xlpm._exists, SUMPRODUCT(--ISNUMBER(MATCH(_xlpm._platform_keywords,_xlpm._original_keywords,0)))&gt;0,
_xlfn.IFS(_xlpm._exists,1,NOT(_xlpm._exists),"")
)</f>
        <v/>
      </c>
      <c r="S78" s="33" t="str" cm="1">
        <f t="array" aca="1" ref="S7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($E78=CLASSIFICATION[[Keyword Aggr]:[Keyword Aggr]])*($D78=CLASSIFICATION[[Functional Scope Aggr]:[Functional Scope Aggr]])),
_xlpm._platform_keywords, _xlfn.TEXTSPLIT(SUBSTITUTE(SUBSTITUTE(VLOOKUP($D78,_xlpm._platform_range,3,FALSE),"+"&amp;CHAR(34),"+"),CHAR(34),""),", "),
_xlpm._exists, SUMPRODUCT(--ISNUMBER(MATCH(_xlpm._platform_keywords,_xlpm._original_keywords,0)))&gt;0,
_xlfn.IFS(_xlpm._exists,1,NOT(_xlpm._exists),"")
)</f>
        <v/>
      </c>
      <c r="T78" s="33" t="str" cm="1">
        <f t="array" aca="1" ref="T7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($E78=CLASSIFICATION[[Keyword Aggr]:[Keyword Aggr]])*($D78=CLASSIFICATION[[Functional Scope Aggr]:[Functional Scope Aggr]])),
_xlpm._platform_keywords, _xlfn.TEXTSPLIT(SUBSTITUTE(SUBSTITUTE(VLOOKUP($D78,_xlpm._platform_range,3,FALSE),"+"&amp;CHAR(34),"+"),CHAR(34),""),", "),
_xlpm._exists, SUMPRODUCT(--ISNUMBER(MATCH(_xlpm._platform_keywords,_xlpm._original_keywords,0)))&gt;0,
_xlfn.IFS(_xlpm._exists,1,NOT(_xlpm._exists),"")
)</f>
        <v/>
      </c>
      <c r="U78" s="33" cm="1">
        <f t="array" aca="1" ref="U7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($E78=CLASSIFICATION[[Keyword Aggr]:[Keyword Aggr]])*($D78=CLASSIFICATION[[Functional Scope Aggr]:[Functional Scope Aggr]])),
_xlpm._platform_keywords, _xlfn.TEXTSPLIT(SUBSTITUTE(SUBSTITUTE(VLOOKUP($D78,_xlpm._platform_range,3,FALSE),"+"&amp;CHAR(34),"+"),CHAR(34),""),", "),
_xlpm._exists, SUMPRODUCT(--ISNUMBER(MATCH(_xlpm._platform_keywords,_xlpm._original_keywords,0)))&gt;0,
_xlfn.IFS(_xlpm._exists,1,NOT(_xlpm._exists),"")
)</f>
        <v>1</v>
      </c>
      <c r="V78" s="33" t="str" cm="1">
        <f t="array" aca="1" ref="V7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($E78=CLASSIFICATION[[Keyword Aggr]:[Keyword Aggr]])*($D78=CLASSIFICATION[[Functional Scope Aggr]:[Functional Scope Aggr]])),
_xlpm._platform_keywords, _xlfn.TEXTSPLIT(SUBSTITUTE(SUBSTITUTE(VLOOKUP($D78,_xlpm._platform_range,3,FALSE),"+"&amp;CHAR(34),"+"),CHAR(34),""),", "),
_xlpm._exists, SUMPRODUCT(--ISNUMBER(MATCH(_xlpm._platform_keywords,_xlpm._original_keywords,0)))&gt;0,
_xlfn.IFS(_xlpm._exists,1,NOT(_xlpm._exists),"")
)</f>
        <v/>
      </c>
      <c r="X78" s="33" t="str">
        <f t="shared" si="14"/>
        <v/>
      </c>
      <c r="Y78" s="33" t="str">
        <f t="shared" si="15"/>
        <v/>
      </c>
      <c r="Z78" s="33" t="str">
        <f t="shared" si="16"/>
        <v/>
      </c>
      <c r="AA78" s="33" t="str">
        <f t="shared" si="17"/>
        <v/>
      </c>
      <c r="AB78" s="33" t="str">
        <f t="shared" si="18"/>
        <v/>
      </c>
      <c r="AC78" s="33" t="str">
        <f t="shared" si="19"/>
        <v/>
      </c>
    </row>
    <row r="79" spans="1:29" x14ac:dyDescent="0.25">
      <c r="A79" s="19" t="str">
        <v>Development,Fetching data,+GUI Queries</v>
      </c>
      <c r="B79" t="s">
        <v>377</v>
      </c>
      <c r="C79" s="19" t="str" cm="1">
        <f t="array" ref="C79:E79">_xlfn.TEXTSPLIT(A79,",")</f>
        <v>Development</v>
      </c>
      <c r="D79" s="19" t="str">
        <v>Fetching data</v>
      </c>
      <c r="E79" s="19" t="str">
        <v>+GUI Queries</v>
      </c>
      <c r="F79" s="36" t="str" cm="1">
        <f t="array" ref="F79">_xlfn.TEXTJOIN(",",TRUE,_xlfn._xlws.FILTER(CLASSIFICATION[Keyword], ($E79=CLASSIFICATION[Keyword Aggr])*($D79=CLASSIFICATION[Functional Scope Aggr])))</f>
        <v>+GUI Queries</v>
      </c>
      <c r="G79" s="32" t="str">
        <f t="shared" si="11"/>
        <v/>
      </c>
      <c r="H79" s="32" t="str">
        <f t="shared" si="12"/>
        <v/>
      </c>
      <c r="I79" s="32" t="str">
        <f t="shared" si="13"/>
        <v>+GUI Queries</v>
      </c>
      <c r="J79" s="33" t="str" cm="1">
        <f t="array" aca="1" ref="J7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($E79=CLASSIFICATION[[Keyword Aggr]:[Keyword Aggr]])*($D79=CLASSIFICATION[[Functional Scope Aggr]:[Functional Scope Aggr]])),
_xlpm._platform_keywords, _xlfn.TEXTSPLIT(SUBSTITUTE(SUBSTITUTE(VLOOKUP($D79,_xlpm._platform_range,3,FALSE),"+"&amp;CHAR(34),"+"),CHAR(34),""),", "),
_xlpm._exists, SUMPRODUCT(--ISNUMBER(MATCH(_xlpm._platform_keywords,_xlpm._original_keywords,0)))&gt;0,
_xlfn.IFS(AND(_xlpm._exists,LEFT($E79,1)="+"),"+",_xlpm._exists,"*",NOT(_xlpm._exists),"")
)</f>
        <v/>
      </c>
      <c r="K79" s="33" t="str" cm="1">
        <f t="array" aca="1" ref="K7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($E79=CLASSIFICATION[[Keyword Aggr]:[Keyword Aggr]])*($D79=CLASSIFICATION[[Functional Scope Aggr]:[Functional Scope Aggr]])),
_xlpm._platform_keywords, _xlfn.TEXTSPLIT(SUBSTITUTE(SUBSTITUTE(VLOOKUP($D79,_xlpm._platform_range,3,FALSE),"+"&amp;CHAR(34),"+"),CHAR(34),""),", "),
_xlpm._exists, SUMPRODUCT(--ISNUMBER(MATCH(_xlpm._platform_keywords,_xlpm._original_keywords,0)))&gt;0,
_xlfn.IFS(AND(_xlpm._exists,LEFT($E79,1)="+"),"+",_xlpm._exists,"*",NOT(_xlpm._exists),"")
)</f>
        <v>+</v>
      </c>
      <c r="L79" s="33" t="str" cm="1">
        <f t="array" aca="1" ref="L7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($E79=CLASSIFICATION[[Keyword Aggr]:[Keyword Aggr]])*($D79=CLASSIFICATION[[Functional Scope Aggr]:[Functional Scope Aggr]])),
_xlpm._platform_keywords, _xlfn.TEXTSPLIT(SUBSTITUTE(SUBSTITUTE(VLOOKUP($D79,_xlpm._platform_range,3,FALSE),"+"&amp;CHAR(34),"+"),CHAR(34),""),", "),
_xlpm._exists, SUMPRODUCT(--ISNUMBER(MATCH(_xlpm._platform_keywords,_xlpm._original_keywords,0)))&gt;0,
_xlfn.IFS(AND(_xlpm._exists,LEFT($E79,1)="+"),"+",_xlpm._exists,"*",NOT(_xlpm._exists),"")
)</f>
        <v/>
      </c>
      <c r="M79" s="33" t="str" cm="1">
        <f t="array" aca="1" ref="M7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($E79=CLASSIFICATION[[Keyword Aggr]:[Keyword Aggr]])*($D79=CLASSIFICATION[[Functional Scope Aggr]:[Functional Scope Aggr]])),
_xlpm._platform_keywords, _xlfn.TEXTSPLIT(SUBSTITUTE(SUBSTITUTE(VLOOKUP($D79,_xlpm._platform_range,3,FALSE),"+"&amp;CHAR(34),"+"),CHAR(34),""),", "),
_xlpm._exists, SUMPRODUCT(--ISNUMBER(MATCH(_xlpm._platform_keywords,_xlpm._original_keywords,0)))&gt;0,
_xlfn.IFS(AND(_xlpm._exists,LEFT($E79,1)="+"),"+",_xlpm._exists,"*",NOT(_xlpm._exists),"")
)</f>
        <v/>
      </c>
      <c r="N79" s="33" t="str" cm="1">
        <f t="array" aca="1" ref="N7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($E79=CLASSIFICATION[[Keyword Aggr]:[Keyword Aggr]])*($D79=CLASSIFICATION[[Functional Scope Aggr]:[Functional Scope Aggr]])),
_xlpm._platform_keywords, _xlfn.TEXTSPLIT(SUBSTITUTE(SUBSTITUTE(VLOOKUP($D79,_xlpm._platform_range,3,FALSE),"+"&amp;CHAR(34),"+"),CHAR(34),""),", "),
_xlpm._exists, SUMPRODUCT(--ISNUMBER(MATCH(_xlpm._platform_keywords,_xlpm._original_keywords,0)))&gt;0,
_xlfn.IFS(AND(_xlpm._exists,LEFT($E79,1)="+"),"+",_xlpm._exists,"*",NOT(_xlpm._exists),"")
)</f>
        <v/>
      </c>
      <c r="O79" s="33" t="str" cm="1">
        <f t="array" aca="1" ref="O7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($E79=CLASSIFICATION[[Keyword Aggr]:[Keyword Aggr]])*($D79=CLASSIFICATION[[Functional Scope Aggr]:[Functional Scope Aggr]])),
_xlpm._platform_keywords, _xlfn.TEXTSPLIT(SUBSTITUTE(SUBSTITUTE(VLOOKUP($D79,_xlpm._platform_range,3,FALSE),"+"&amp;CHAR(34),"+"),CHAR(34),""),", "),
_xlpm._exists, SUMPRODUCT(--ISNUMBER(MATCH(_xlpm._platform_keywords,_xlpm._original_keywords,0)))&gt;0,
_xlfn.IFS(AND(_xlpm._exists,LEFT($E79,1)="+"),"+",_xlpm._exists,"*",NOT(_xlpm._exists),"")
)</f>
        <v/>
      </c>
      <c r="Q79" s="33" t="str" cm="1">
        <f t="array" aca="1" ref="Q7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($E79=CLASSIFICATION[[Keyword Aggr]:[Keyword Aggr]])*($D79=CLASSIFICATION[[Functional Scope Aggr]:[Functional Scope Aggr]])),
_xlpm._platform_keywords, _xlfn.TEXTSPLIT(SUBSTITUTE(SUBSTITUTE(VLOOKUP($D79,_xlpm._platform_range,3,FALSE),"+"&amp;CHAR(34),"+"),CHAR(34),""),", "),
_xlpm._exists, SUMPRODUCT(--ISNUMBER(MATCH(_xlpm._platform_keywords,_xlpm._original_keywords,0)))&gt;0,
_xlfn.IFS(_xlpm._exists,1,NOT(_xlpm._exists),"")
)</f>
        <v/>
      </c>
      <c r="R79" s="33" cm="1">
        <f t="array" aca="1" ref="R7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($E79=CLASSIFICATION[[Keyword Aggr]:[Keyword Aggr]])*($D79=CLASSIFICATION[[Functional Scope Aggr]:[Functional Scope Aggr]])),
_xlpm._platform_keywords, _xlfn.TEXTSPLIT(SUBSTITUTE(SUBSTITUTE(VLOOKUP($D79,_xlpm._platform_range,3,FALSE),"+"&amp;CHAR(34),"+"),CHAR(34),""),", "),
_xlpm._exists, SUMPRODUCT(--ISNUMBER(MATCH(_xlpm._platform_keywords,_xlpm._original_keywords,0)))&gt;0,
_xlfn.IFS(_xlpm._exists,1,NOT(_xlpm._exists),"")
)</f>
        <v>1</v>
      </c>
      <c r="S79" s="33" t="str" cm="1">
        <f t="array" aca="1" ref="S7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($E79=CLASSIFICATION[[Keyword Aggr]:[Keyword Aggr]])*($D79=CLASSIFICATION[[Functional Scope Aggr]:[Functional Scope Aggr]])),
_xlpm._platform_keywords, _xlfn.TEXTSPLIT(SUBSTITUTE(SUBSTITUTE(VLOOKUP($D79,_xlpm._platform_range,3,FALSE),"+"&amp;CHAR(34),"+"),CHAR(34),""),", "),
_xlpm._exists, SUMPRODUCT(--ISNUMBER(MATCH(_xlpm._platform_keywords,_xlpm._original_keywords,0)))&gt;0,
_xlfn.IFS(_xlpm._exists,1,NOT(_xlpm._exists),"")
)</f>
        <v/>
      </c>
      <c r="T79" s="33" t="str" cm="1">
        <f t="array" aca="1" ref="T7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($E79=CLASSIFICATION[[Keyword Aggr]:[Keyword Aggr]])*($D79=CLASSIFICATION[[Functional Scope Aggr]:[Functional Scope Aggr]])),
_xlpm._platform_keywords, _xlfn.TEXTSPLIT(SUBSTITUTE(SUBSTITUTE(VLOOKUP($D79,_xlpm._platform_range,3,FALSE),"+"&amp;CHAR(34),"+"),CHAR(34),""),", "),
_xlpm._exists, SUMPRODUCT(--ISNUMBER(MATCH(_xlpm._platform_keywords,_xlpm._original_keywords,0)))&gt;0,
_xlfn.IFS(_xlpm._exists,1,NOT(_xlpm._exists),"")
)</f>
        <v/>
      </c>
      <c r="U79" s="33" t="str" cm="1">
        <f t="array" aca="1" ref="U7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($E79=CLASSIFICATION[[Keyword Aggr]:[Keyword Aggr]])*($D79=CLASSIFICATION[[Functional Scope Aggr]:[Functional Scope Aggr]])),
_xlpm._platform_keywords, _xlfn.TEXTSPLIT(SUBSTITUTE(SUBSTITUTE(VLOOKUP($D79,_xlpm._platform_range,3,FALSE),"+"&amp;CHAR(34),"+"),CHAR(34),""),", "),
_xlpm._exists, SUMPRODUCT(--ISNUMBER(MATCH(_xlpm._platform_keywords,_xlpm._original_keywords,0)))&gt;0,
_xlfn.IFS(_xlpm._exists,1,NOT(_xlpm._exists),"")
)</f>
        <v/>
      </c>
      <c r="V79" s="33" t="str" cm="1">
        <f t="array" aca="1" ref="V7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($E79=CLASSIFICATION[[Keyword Aggr]:[Keyword Aggr]])*($D79=CLASSIFICATION[[Functional Scope Aggr]:[Functional Scope Aggr]])),
_xlpm._platform_keywords, _xlfn.TEXTSPLIT(SUBSTITUTE(SUBSTITUTE(VLOOKUP($D79,_xlpm._platform_range,3,FALSE),"+"&amp;CHAR(34),"+"),CHAR(34),""),", "),
_xlpm._exists, SUMPRODUCT(--ISNUMBER(MATCH(_xlpm._platform_keywords,_xlpm._original_keywords,0)))&gt;0,
_xlfn.IFS(_xlpm._exists,1,NOT(_xlpm._exists),"")
)</f>
        <v/>
      </c>
      <c r="X79" s="33" t="str">
        <f t="shared" si="14"/>
        <v/>
      </c>
      <c r="Y79" s="33" t="str">
        <f t="shared" si="15"/>
        <v/>
      </c>
      <c r="Z79" s="33" t="str">
        <f t="shared" si="16"/>
        <v/>
      </c>
      <c r="AA79" s="33" t="str">
        <f t="shared" si="17"/>
        <v/>
      </c>
      <c r="AB79" s="33" t="str">
        <f t="shared" si="18"/>
        <v/>
      </c>
      <c r="AC79" s="33" t="str">
        <f t="shared" si="19"/>
        <v/>
      </c>
    </row>
    <row r="80" spans="1:29" x14ac:dyDescent="0.25">
      <c r="A80" s="19" t="str">
        <v>Development,Fetching data,+Human Language</v>
      </c>
      <c r="B80" t="s">
        <v>377</v>
      </c>
      <c r="C80" s="19" t="str" cm="1">
        <f t="array" ref="C80:E80">_xlfn.TEXTSPLIT(A80,",")</f>
        <v>Development</v>
      </c>
      <c r="D80" s="19" t="str">
        <v>Fetching data</v>
      </c>
      <c r="E80" s="19" t="str">
        <v>+Human Language</v>
      </c>
      <c r="F80" s="36" t="str" cm="1">
        <f t="array" ref="F80">_xlfn.TEXTJOIN(",",TRUE,_xlfn._xlws.FILTER(CLASSIFICATION[Keyword], ($E80=CLASSIFICATION[Keyword Aggr])*($D80=CLASSIFICATION[Functional Scope Aggr])))</f>
        <v>+Human Language</v>
      </c>
      <c r="G80" s="32" t="str">
        <f t="shared" si="11"/>
        <v/>
      </c>
      <c r="H80" s="32" t="str">
        <f t="shared" si="12"/>
        <v/>
      </c>
      <c r="I80" s="32" t="str">
        <f t="shared" si="13"/>
        <v>+Human Language</v>
      </c>
      <c r="J80" s="33" t="str" cm="1">
        <f t="array" aca="1" ref="J8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($E80=CLASSIFICATION[[Keyword Aggr]:[Keyword Aggr]])*($D80=CLASSIFICATION[[Functional Scope Aggr]:[Functional Scope Aggr]])),
_xlpm._platform_keywords, _xlfn.TEXTSPLIT(SUBSTITUTE(SUBSTITUTE(VLOOKUP($D80,_xlpm._platform_range,3,FALSE),"+"&amp;CHAR(34),"+"),CHAR(34),""),", "),
_xlpm._exists, SUMPRODUCT(--ISNUMBER(MATCH(_xlpm._platform_keywords,_xlpm._original_keywords,0)))&gt;0,
_xlfn.IFS(AND(_xlpm._exists,LEFT($E80,1)="+"),"+",_xlpm._exists,"*",NOT(_xlpm._exists),"")
)</f>
        <v/>
      </c>
      <c r="K80" s="33" t="str" cm="1">
        <f t="array" aca="1" ref="K8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($E80=CLASSIFICATION[[Keyword Aggr]:[Keyword Aggr]])*($D80=CLASSIFICATION[[Functional Scope Aggr]:[Functional Scope Aggr]])),
_xlpm._platform_keywords, _xlfn.TEXTSPLIT(SUBSTITUTE(SUBSTITUTE(VLOOKUP($D80,_xlpm._platform_range,3,FALSE),"+"&amp;CHAR(34),"+"),CHAR(34),""),", "),
_xlpm._exists, SUMPRODUCT(--ISNUMBER(MATCH(_xlpm._platform_keywords,_xlpm._original_keywords,0)))&gt;0,
_xlfn.IFS(AND(_xlpm._exists,LEFT($E80,1)="+"),"+",_xlpm._exists,"*",NOT(_xlpm._exists),"")
)</f>
        <v>+</v>
      </c>
      <c r="L80" s="33" t="str" cm="1">
        <f t="array" aca="1" ref="L8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($E80=CLASSIFICATION[[Keyword Aggr]:[Keyword Aggr]])*($D80=CLASSIFICATION[[Functional Scope Aggr]:[Functional Scope Aggr]])),
_xlpm._platform_keywords, _xlfn.TEXTSPLIT(SUBSTITUTE(SUBSTITUTE(VLOOKUP($D80,_xlpm._platform_range,3,FALSE),"+"&amp;CHAR(34),"+"),CHAR(34),""),", "),
_xlpm._exists, SUMPRODUCT(--ISNUMBER(MATCH(_xlpm._platform_keywords,_xlpm._original_keywords,0)))&gt;0,
_xlfn.IFS(AND(_xlpm._exists,LEFT($E80,1)="+"),"+",_xlpm._exists,"*",NOT(_xlpm._exists),"")
)</f>
        <v/>
      </c>
      <c r="M80" s="33" t="str" cm="1">
        <f t="array" aca="1" ref="M8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($E80=CLASSIFICATION[[Keyword Aggr]:[Keyword Aggr]])*($D80=CLASSIFICATION[[Functional Scope Aggr]:[Functional Scope Aggr]])),
_xlpm._platform_keywords, _xlfn.TEXTSPLIT(SUBSTITUTE(SUBSTITUTE(VLOOKUP($D80,_xlpm._platform_range,3,FALSE),"+"&amp;CHAR(34),"+"),CHAR(34),""),", "),
_xlpm._exists, SUMPRODUCT(--ISNUMBER(MATCH(_xlpm._platform_keywords,_xlpm._original_keywords,0)))&gt;0,
_xlfn.IFS(AND(_xlpm._exists,LEFT($E80,1)="+"),"+",_xlpm._exists,"*",NOT(_xlpm._exists),"")
)</f>
        <v/>
      </c>
      <c r="N80" s="33" t="str" cm="1">
        <f t="array" aca="1" ref="N8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($E80=CLASSIFICATION[[Keyword Aggr]:[Keyword Aggr]])*($D80=CLASSIFICATION[[Functional Scope Aggr]:[Functional Scope Aggr]])),
_xlpm._platform_keywords, _xlfn.TEXTSPLIT(SUBSTITUTE(SUBSTITUTE(VLOOKUP($D80,_xlpm._platform_range,3,FALSE),"+"&amp;CHAR(34),"+"),CHAR(34),""),", "),
_xlpm._exists, SUMPRODUCT(--ISNUMBER(MATCH(_xlpm._platform_keywords,_xlpm._original_keywords,0)))&gt;0,
_xlfn.IFS(AND(_xlpm._exists,LEFT($E80,1)="+"),"+",_xlpm._exists,"*",NOT(_xlpm._exists),"")
)</f>
        <v/>
      </c>
      <c r="O80" s="33" t="str" cm="1">
        <f t="array" aca="1" ref="O8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($E80=CLASSIFICATION[[Keyword Aggr]:[Keyword Aggr]])*($D80=CLASSIFICATION[[Functional Scope Aggr]:[Functional Scope Aggr]])),
_xlpm._platform_keywords, _xlfn.TEXTSPLIT(SUBSTITUTE(SUBSTITUTE(VLOOKUP($D80,_xlpm._platform_range,3,FALSE),"+"&amp;CHAR(34),"+"),CHAR(34),""),", "),
_xlpm._exists, SUMPRODUCT(--ISNUMBER(MATCH(_xlpm._platform_keywords,_xlpm._original_keywords,0)))&gt;0,
_xlfn.IFS(AND(_xlpm._exists,LEFT($E80,1)="+"),"+",_xlpm._exists,"*",NOT(_xlpm._exists),"")
)</f>
        <v/>
      </c>
      <c r="Q80" s="33" t="str" cm="1">
        <f t="array" aca="1" ref="Q8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($E80=CLASSIFICATION[[Keyword Aggr]:[Keyword Aggr]])*($D80=CLASSIFICATION[[Functional Scope Aggr]:[Functional Scope Aggr]])),
_xlpm._platform_keywords, _xlfn.TEXTSPLIT(SUBSTITUTE(SUBSTITUTE(VLOOKUP($D80,_xlpm._platform_range,3,FALSE),"+"&amp;CHAR(34),"+"),CHAR(34),""),", "),
_xlpm._exists, SUMPRODUCT(--ISNUMBER(MATCH(_xlpm._platform_keywords,_xlpm._original_keywords,0)))&gt;0,
_xlfn.IFS(_xlpm._exists,1,NOT(_xlpm._exists),"")
)</f>
        <v/>
      </c>
      <c r="R80" s="33" cm="1">
        <f t="array" aca="1" ref="R8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($E80=CLASSIFICATION[[Keyword Aggr]:[Keyword Aggr]])*($D80=CLASSIFICATION[[Functional Scope Aggr]:[Functional Scope Aggr]])),
_xlpm._platform_keywords, _xlfn.TEXTSPLIT(SUBSTITUTE(SUBSTITUTE(VLOOKUP($D80,_xlpm._platform_range,3,FALSE),"+"&amp;CHAR(34),"+"),CHAR(34),""),", "),
_xlpm._exists, SUMPRODUCT(--ISNUMBER(MATCH(_xlpm._platform_keywords,_xlpm._original_keywords,0)))&gt;0,
_xlfn.IFS(_xlpm._exists,1,NOT(_xlpm._exists),"")
)</f>
        <v>1</v>
      </c>
      <c r="S80" s="33" t="str" cm="1">
        <f t="array" aca="1" ref="S8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($E80=CLASSIFICATION[[Keyword Aggr]:[Keyword Aggr]])*($D80=CLASSIFICATION[[Functional Scope Aggr]:[Functional Scope Aggr]])),
_xlpm._platform_keywords, _xlfn.TEXTSPLIT(SUBSTITUTE(SUBSTITUTE(VLOOKUP($D80,_xlpm._platform_range,3,FALSE),"+"&amp;CHAR(34),"+"),CHAR(34),""),", "),
_xlpm._exists, SUMPRODUCT(--ISNUMBER(MATCH(_xlpm._platform_keywords,_xlpm._original_keywords,0)))&gt;0,
_xlfn.IFS(_xlpm._exists,1,NOT(_xlpm._exists),"")
)</f>
        <v/>
      </c>
      <c r="T80" s="33" t="str" cm="1">
        <f t="array" aca="1" ref="T8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($E80=CLASSIFICATION[[Keyword Aggr]:[Keyword Aggr]])*($D80=CLASSIFICATION[[Functional Scope Aggr]:[Functional Scope Aggr]])),
_xlpm._platform_keywords, _xlfn.TEXTSPLIT(SUBSTITUTE(SUBSTITUTE(VLOOKUP($D80,_xlpm._platform_range,3,FALSE),"+"&amp;CHAR(34),"+"),CHAR(34),""),", "),
_xlpm._exists, SUMPRODUCT(--ISNUMBER(MATCH(_xlpm._platform_keywords,_xlpm._original_keywords,0)))&gt;0,
_xlfn.IFS(_xlpm._exists,1,NOT(_xlpm._exists),"")
)</f>
        <v/>
      </c>
      <c r="U80" s="33" t="str" cm="1">
        <f t="array" aca="1" ref="U8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($E80=CLASSIFICATION[[Keyword Aggr]:[Keyword Aggr]])*($D80=CLASSIFICATION[[Functional Scope Aggr]:[Functional Scope Aggr]])),
_xlpm._platform_keywords, _xlfn.TEXTSPLIT(SUBSTITUTE(SUBSTITUTE(VLOOKUP($D80,_xlpm._platform_range,3,FALSE),"+"&amp;CHAR(34),"+"),CHAR(34),""),", "),
_xlpm._exists, SUMPRODUCT(--ISNUMBER(MATCH(_xlpm._platform_keywords,_xlpm._original_keywords,0)))&gt;0,
_xlfn.IFS(_xlpm._exists,1,NOT(_xlpm._exists),"")
)</f>
        <v/>
      </c>
      <c r="V80" s="33" t="str" cm="1">
        <f t="array" aca="1" ref="V8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($E80=CLASSIFICATION[[Keyword Aggr]:[Keyword Aggr]])*($D80=CLASSIFICATION[[Functional Scope Aggr]:[Functional Scope Aggr]])),
_xlpm._platform_keywords, _xlfn.TEXTSPLIT(SUBSTITUTE(SUBSTITUTE(VLOOKUP($D80,_xlpm._platform_range,3,FALSE),"+"&amp;CHAR(34),"+"),CHAR(34),""),", "),
_xlpm._exists, SUMPRODUCT(--ISNUMBER(MATCH(_xlpm._platform_keywords,_xlpm._original_keywords,0)))&gt;0,
_xlfn.IFS(_xlpm._exists,1,NOT(_xlpm._exists),"")
)</f>
        <v/>
      </c>
      <c r="X80" s="33" t="str">
        <f t="shared" si="14"/>
        <v/>
      </c>
      <c r="Y80" s="33" t="str">
        <f t="shared" si="15"/>
        <v/>
      </c>
      <c r="Z80" s="33" t="str">
        <f t="shared" si="16"/>
        <v/>
      </c>
      <c r="AA80" s="33" t="str">
        <f t="shared" si="17"/>
        <v/>
      </c>
      <c r="AB80" s="33" t="str">
        <f t="shared" si="18"/>
        <v/>
      </c>
      <c r="AC80" s="33" t="str">
        <f t="shared" si="19"/>
        <v/>
      </c>
    </row>
    <row r="81" spans="1:29" x14ac:dyDescent="0.25">
      <c r="A81" s="19" t="str">
        <v>Development,Fetching data,+Integrated Data Sources</v>
      </c>
      <c r="B81" t="s">
        <v>377</v>
      </c>
      <c r="C81" s="19" t="str" cm="1">
        <f t="array" ref="C81:E81">_xlfn.TEXTSPLIT(A81,",")</f>
        <v>Development</v>
      </c>
      <c r="D81" s="19" t="str">
        <v>Fetching data</v>
      </c>
      <c r="E81" s="19" t="str">
        <v>+Integrated Data Sources</v>
      </c>
      <c r="F81" s="36" t="str" cm="1">
        <f t="array" ref="F81">_xlfn.TEXTJOIN(",",TRUE,_xlfn._xlws.FILTER(CLASSIFICATION[Keyword], ($E81=CLASSIFICATION[Keyword Aggr])*($D81=CLASSIFICATION[Functional Scope Aggr])))</f>
        <v>+Integrated Data Sources</v>
      </c>
      <c r="G81" s="32" t="str">
        <f t="shared" si="11"/>
        <v/>
      </c>
      <c r="H81" s="32" t="str">
        <f t="shared" si="12"/>
        <v/>
      </c>
      <c r="I81" s="32" t="str">
        <f t="shared" si="13"/>
        <v>+Integrated Data Sources</v>
      </c>
      <c r="J81" s="33" t="str" cm="1">
        <f t="array" aca="1" ref="J8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($E81=CLASSIFICATION[[Keyword Aggr]:[Keyword Aggr]])*($D81=CLASSIFICATION[[Functional Scope Aggr]:[Functional Scope Aggr]])),
_xlpm._platform_keywords, _xlfn.TEXTSPLIT(SUBSTITUTE(SUBSTITUTE(VLOOKUP($D81,_xlpm._platform_range,3,FALSE),"+"&amp;CHAR(34),"+"),CHAR(34),""),", "),
_xlpm._exists, SUMPRODUCT(--ISNUMBER(MATCH(_xlpm._platform_keywords,_xlpm._original_keywords,0)))&gt;0,
_xlfn.IFS(AND(_xlpm._exists,LEFT($E81,1)="+"),"+",_xlpm._exists,"*",NOT(_xlpm._exists),"")
)</f>
        <v/>
      </c>
      <c r="K81" s="33" t="str" cm="1">
        <f t="array" aca="1" ref="K8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($E81=CLASSIFICATION[[Keyword Aggr]:[Keyword Aggr]])*($D81=CLASSIFICATION[[Functional Scope Aggr]:[Functional Scope Aggr]])),
_xlpm._platform_keywords, _xlfn.TEXTSPLIT(SUBSTITUTE(SUBSTITUTE(VLOOKUP($D81,_xlpm._platform_range,3,FALSE),"+"&amp;CHAR(34),"+"),CHAR(34),""),", "),
_xlpm._exists, SUMPRODUCT(--ISNUMBER(MATCH(_xlpm._platform_keywords,_xlpm._original_keywords,0)))&gt;0,
_xlfn.IFS(AND(_xlpm._exists,LEFT($E81,1)="+"),"+",_xlpm._exists,"*",NOT(_xlpm._exists),"")
)</f>
        <v/>
      </c>
      <c r="L81" s="33" t="str" cm="1">
        <f t="array" aca="1" ref="L8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($E81=CLASSIFICATION[[Keyword Aggr]:[Keyword Aggr]])*($D81=CLASSIFICATION[[Functional Scope Aggr]:[Functional Scope Aggr]])),
_xlpm._platform_keywords, _xlfn.TEXTSPLIT(SUBSTITUTE(SUBSTITUTE(VLOOKUP($D81,_xlpm._platform_range,3,FALSE),"+"&amp;CHAR(34),"+"),CHAR(34),""),", "),
_xlpm._exists, SUMPRODUCT(--ISNUMBER(MATCH(_xlpm._platform_keywords,_xlpm._original_keywords,0)))&gt;0,
_xlfn.IFS(AND(_xlpm._exists,LEFT($E81,1)="+"),"+",_xlpm._exists,"*",NOT(_xlpm._exists),"")
)</f>
        <v>+</v>
      </c>
      <c r="M81" s="33" t="str" cm="1">
        <f t="array" aca="1" ref="M8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($E81=CLASSIFICATION[[Keyword Aggr]:[Keyword Aggr]])*($D81=CLASSIFICATION[[Functional Scope Aggr]:[Functional Scope Aggr]])),
_xlpm._platform_keywords, _xlfn.TEXTSPLIT(SUBSTITUTE(SUBSTITUTE(VLOOKUP($D81,_xlpm._platform_range,3,FALSE),"+"&amp;CHAR(34),"+"),CHAR(34),""),", "),
_xlpm._exists, SUMPRODUCT(--ISNUMBER(MATCH(_xlpm._platform_keywords,_xlpm._original_keywords,0)))&gt;0,
_xlfn.IFS(AND(_xlpm._exists,LEFT($E81,1)="+"),"+",_xlpm._exists,"*",NOT(_xlpm._exists),"")
)</f>
        <v/>
      </c>
      <c r="N81" s="33" t="str" cm="1">
        <f t="array" aca="1" ref="N8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($E81=CLASSIFICATION[[Keyword Aggr]:[Keyword Aggr]])*($D81=CLASSIFICATION[[Functional Scope Aggr]:[Functional Scope Aggr]])),
_xlpm._platform_keywords, _xlfn.TEXTSPLIT(SUBSTITUTE(SUBSTITUTE(VLOOKUP($D81,_xlpm._platform_range,3,FALSE),"+"&amp;CHAR(34),"+"),CHAR(34),""),", "),
_xlpm._exists, SUMPRODUCT(--ISNUMBER(MATCH(_xlpm._platform_keywords,_xlpm._original_keywords,0)))&gt;0,
_xlfn.IFS(AND(_xlpm._exists,LEFT($E81,1)="+"),"+",_xlpm._exists,"*",NOT(_xlpm._exists),"")
)</f>
        <v/>
      </c>
      <c r="O81" s="33" t="str" cm="1">
        <f t="array" aca="1" ref="O8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($E81=CLASSIFICATION[[Keyword Aggr]:[Keyword Aggr]])*($D81=CLASSIFICATION[[Functional Scope Aggr]:[Functional Scope Aggr]])),
_xlpm._platform_keywords, _xlfn.TEXTSPLIT(SUBSTITUTE(SUBSTITUTE(VLOOKUP($D81,_xlpm._platform_range,3,FALSE),"+"&amp;CHAR(34),"+"),CHAR(34),""),", "),
_xlpm._exists, SUMPRODUCT(--ISNUMBER(MATCH(_xlpm._platform_keywords,_xlpm._original_keywords,0)))&gt;0,
_xlfn.IFS(AND(_xlpm._exists,LEFT($E81,1)="+"),"+",_xlpm._exists,"*",NOT(_xlpm._exists),"")
)</f>
        <v/>
      </c>
      <c r="Q81" s="33" t="str" cm="1">
        <f t="array" aca="1" ref="Q8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($E81=CLASSIFICATION[[Keyword Aggr]:[Keyword Aggr]])*($D81=CLASSIFICATION[[Functional Scope Aggr]:[Functional Scope Aggr]])),
_xlpm._platform_keywords, _xlfn.TEXTSPLIT(SUBSTITUTE(SUBSTITUTE(VLOOKUP($D81,_xlpm._platform_range,3,FALSE),"+"&amp;CHAR(34),"+"),CHAR(34),""),", "),
_xlpm._exists, SUMPRODUCT(--ISNUMBER(MATCH(_xlpm._platform_keywords,_xlpm._original_keywords,0)))&gt;0,
_xlfn.IFS(_xlpm._exists,1,NOT(_xlpm._exists),"")
)</f>
        <v/>
      </c>
      <c r="R81" s="33" t="str" cm="1">
        <f t="array" aca="1" ref="R8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($E81=CLASSIFICATION[[Keyword Aggr]:[Keyword Aggr]])*($D81=CLASSIFICATION[[Functional Scope Aggr]:[Functional Scope Aggr]])),
_xlpm._platform_keywords, _xlfn.TEXTSPLIT(SUBSTITUTE(SUBSTITUTE(VLOOKUP($D81,_xlpm._platform_range,3,FALSE),"+"&amp;CHAR(34),"+"),CHAR(34),""),", "),
_xlpm._exists, SUMPRODUCT(--ISNUMBER(MATCH(_xlpm._platform_keywords,_xlpm._original_keywords,0)))&gt;0,
_xlfn.IFS(_xlpm._exists,1,NOT(_xlpm._exists),"")
)</f>
        <v/>
      </c>
      <c r="S81" s="33" cm="1">
        <f t="array" aca="1" ref="S8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($E81=CLASSIFICATION[[Keyword Aggr]:[Keyword Aggr]])*($D81=CLASSIFICATION[[Functional Scope Aggr]:[Functional Scope Aggr]])),
_xlpm._platform_keywords, _xlfn.TEXTSPLIT(SUBSTITUTE(SUBSTITUTE(VLOOKUP($D81,_xlpm._platform_range,3,FALSE),"+"&amp;CHAR(34),"+"),CHAR(34),""),", "),
_xlpm._exists, SUMPRODUCT(--ISNUMBER(MATCH(_xlpm._platform_keywords,_xlpm._original_keywords,0)))&gt;0,
_xlfn.IFS(_xlpm._exists,1,NOT(_xlpm._exists),"")
)</f>
        <v>1</v>
      </c>
      <c r="T81" s="33" t="str" cm="1">
        <f t="array" aca="1" ref="T8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($E81=CLASSIFICATION[[Keyword Aggr]:[Keyword Aggr]])*($D81=CLASSIFICATION[[Functional Scope Aggr]:[Functional Scope Aggr]])),
_xlpm._platform_keywords, _xlfn.TEXTSPLIT(SUBSTITUTE(SUBSTITUTE(VLOOKUP($D81,_xlpm._platform_range,3,FALSE),"+"&amp;CHAR(34),"+"),CHAR(34),""),", "),
_xlpm._exists, SUMPRODUCT(--ISNUMBER(MATCH(_xlpm._platform_keywords,_xlpm._original_keywords,0)))&gt;0,
_xlfn.IFS(_xlpm._exists,1,NOT(_xlpm._exists),"")
)</f>
        <v/>
      </c>
      <c r="U81" s="33" t="str" cm="1">
        <f t="array" aca="1" ref="U8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($E81=CLASSIFICATION[[Keyword Aggr]:[Keyword Aggr]])*($D81=CLASSIFICATION[[Functional Scope Aggr]:[Functional Scope Aggr]])),
_xlpm._platform_keywords, _xlfn.TEXTSPLIT(SUBSTITUTE(SUBSTITUTE(VLOOKUP($D81,_xlpm._platform_range,3,FALSE),"+"&amp;CHAR(34),"+"),CHAR(34),""),", "),
_xlpm._exists, SUMPRODUCT(--ISNUMBER(MATCH(_xlpm._platform_keywords,_xlpm._original_keywords,0)))&gt;0,
_xlfn.IFS(_xlpm._exists,1,NOT(_xlpm._exists),"")
)</f>
        <v/>
      </c>
      <c r="V81" s="33" t="str" cm="1">
        <f t="array" aca="1" ref="V8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($E81=CLASSIFICATION[[Keyword Aggr]:[Keyword Aggr]])*($D81=CLASSIFICATION[[Functional Scope Aggr]:[Functional Scope Aggr]])),
_xlpm._platform_keywords, _xlfn.TEXTSPLIT(SUBSTITUTE(SUBSTITUTE(VLOOKUP($D81,_xlpm._platform_range,3,FALSE),"+"&amp;CHAR(34),"+"),CHAR(34),""),", "),
_xlpm._exists, SUMPRODUCT(--ISNUMBER(MATCH(_xlpm._platform_keywords,_xlpm._original_keywords,0)))&gt;0,
_xlfn.IFS(_xlpm._exists,1,NOT(_xlpm._exists),"")
)</f>
        <v/>
      </c>
      <c r="X81" s="33" t="str">
        <f t="shared" si="14"/>
        <v/>
      </c>
      <c r="Y81" s="33" t="str">
        <f t="shared" si="15"/>
        <v/>
      </c>
      <c r="Z81" s="33" t="str">
        <f t="shared" si="16"/>
        <v/>
      </c>
      <c r="AA81" s="33" t="str">
        <f t="shared" si="17"/>
        <v/>
      </c>
      <c r="AB81" s="33" t="str">
        <f t="shared" si="18"/>
        <v/>
      </c>
      <c r="AC81" s="33" t="str">
        <f t="shared" si="19"/>
        <v/>
      </c>
    </row>
    <row r="82" spans="1:29" x14ac:dyDescent="0.25">
      <c r="A82" s="19" t="str">
        <v>Development,Fetching data,Cloud Services</v>
      </c>
      <c r="B82" t="s">
        <v>377</v>
      </c>
      <c r="C82" s="19" t="str" cm="1">
        <f t="array" ref="C82:E82">_xlfn.TEXTSPLIT(A82,",")</f>
        <v>Development</v>
      </c>
      <c r="D82" s="19" t="str">
        <v>Fetching data</v>
      </c>
      <c r="E82" s="19" t="str">
        <v>Cloud Services</v>
      </c>
      <c r="F82" s="36" t="str" cm="1">
        <f t="array" ref="F82">_xlfn.TEXTJOIN(",",TRUE,_xlfn._xlws.FILTER(CLASSIFICATION[Keyword], ($E82=CLASSIFICATION[Keyword Aggr])*($D82=CLASSIFICATION[Functional Scope Aggr])))</f>
        <v>Cloud Services</v>
      </c>
      <c r="G82" s="32" t="str">
        <f t="shared" si="11"/>
        <v/>
      </c>
      <c r="H82" s="32" t="str">
        <f t="shared" si="12"/>
        <v/>
      </c>
      <c r="I82" s="32" t="str">
        <f t="shared" si="13"/>
        <v>Cloud Services</v>
      </c>
      <c r="J82" s="33" t="str" cm="1">
        <f t="array" aca="1" ref="J8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($E82=CLASSIFICATION[[Keyword Aggr]:[Keyword Aggr]])*($D82=CLASSIFICATION[[Functional Scope Aggr]:[Functional Scope Aggr]])),
_xlpm._platform_keywords, _xlfn.TEXTSPLIT(SUBSTITUTE(SUBSTITUTE(VLOOKUP($D82,_xlpm._platform_range,3,FALSE),"+"&amp;CHAR(34),"+"),CHAR(34),""),", "),
_xlpm._exists, SUMPRODUCT(--ISNUMBER(MATCH(_xlpm._platform_keywords,_xlpm._original_keywords,0)))&gt;0,
_xlfn.IFS(AND(_xlpm._exists,LEFT($E82,1)="+"),"+",_xlpm._exists,"*",NOT(_xlpm._exists),"")
)</f>
        <v/>
      </c>
      <c r="K82" s="33" t="str" cm="1">
        <f t="array" aca="1" ref="K8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($E82=CLASSIFICATION[[Keyword Aggr]:[Keyword Aggr]])*($D82=CLASSIFICATION[[Functional Scope Aggr]:[Functional Scope Aggr]])),
_xlpm._platform_keywords, _xlfn.TEXTSPLIT(SUBSTITUTE(SUBSTITUTE(VLOOKUP($D82,_xlpm._platform_range,3,FALSE),"+"&amp;CHAR(34),"+"),CHAR(34),""),", "),
_xlpm._exists, SUMPRODUCT(--ISNUMBER(MATCH(_xlpm._platform_keywords,_xlpm._original_keywords,0)))&gt;0,
_xlfn.IFS(AND(_xlpm._exists,LEFT($E82,1)="+"),"+",_xlpm._exists,"*",NOT(_xlpm._exists),"")
)</f>
        <v/>
      </c>
      <c r="L82" s="33" t="str" cm="1">
        <f t="array" aca="1" ref="L8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($E82=CLASSIFICATION[[Keyword Aggr]:[Keyword Aggr]])*($D82=CLASSIFICATION[[Functional Scope Aggr]:[Functional Scope Aggr]])),
_xlpm._platform_keywords, _xlfn.TEXTSPLIT(SUBSTITUTE(SUBSTITUTE(VLOOKUP($D82,_xlpm._platform_range,3,FALSE),"+"&amp;CHAR(34),"+"),CHAR(34),""),", "),
_xlpm._exists, SUMPRODUCT(--ISNUMBER(MATCH(_xlpm._platform_keywords,_xlpm._original_keywords,0)))&gt;0,
_xlfn.IFS(AND(_xlpm._exists,LEFT($E82,1)="+"),"+",_xlpm._exists,"*",NOT(_xlpm._exists),"")
)</f>
        <v>*</v>
      </c>
      <c r="M82" s="33" t="str" cm="1">
        <f t="array" aca="1" ref="M8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($E82=CLASSIFICATION[[Keyword Aggr]:[Keyword Aggr]])*($D82=CLASSIFICATION[[Functional Scope Aggr]:[Functional Scope Aggr]])),
_xlpm._platform_keywords, _xlfn.TEXTSPLIT(SUBSTITUTE(SUBSTITUTE(VLOOKUP($D82,_xlpm._platform_range,3,FALSE),"+"&amp;CHAR(34),"+"),CHAR(34),""),", "),
_xlpm._exists, SUMPRODUCT(--ISNUMBER(MATCH(_xlpm._platform_keywords,_xlpm._original_keywords,0)))&gt;0,
_xlfn.IFS(AND(_xlpm._exists,LEFT($E82,1)="+"),"+",_xlpm._exists,"*",NOT(_xlpm._exists),"")
)</f>
        <v/>
      </c>
      <c r="N82" s="33" t="str" cm="1">
        <f t="array" aca="1" ref="N8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($E82=CLASSIFICATION[[Keyword Aggr]:[Keyword Aggr]])*($D82=CLASSIFICATION[[Functional Scope Aggr]:[Functional Scope Aggr]])),
_xlpm._platform_keywords, _xlfn.TEXTSPLIT(SUBSTITUTE(SUBSTITUTE(VLOOKUP($D82,_xlpm._platform_range,3,FALSE),"+"&amp;CHAR(34),"+"),CHAR(34),""),", "),
_xlpm._exists, SUMPRODUCT(--ISNUMBER(MATCH(_xlpm._platform_keywords,_xlpm._original_keywords,0)))&gt;0,
_xlfn.IFS(AND(_xlpm._exists,LEFT($E82,1)="+"),"+",_xlpm._exists,"*",NOT(_xlpm._exists),"")
)</f>
        <v/>
      </c>
      <c r="O82" s="33" t="str" cm="1">
        <f t="array" aca="1" ref="O8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($E82=CLASSIFICATION[[Keyword Aggr]:[Keyword Aggr]])*($D82=CLASSIFICATION[[Functional Scope Aggr]:[Functional Scope Aggr]])),
_xlpm._platform_keywords, _xlfn.TEXTSPLIT(SUBSTITUTE(SUBSTITUTE(VLOOKUP($D82,_xlpm._platform_range,3,FALSE),"+"&amp;CHAR(34),"+"),CHAR(34),""),", "),
_xlpm._exists, SUMPRODUCT(--ISNUMBER(MATCH(_xlpm._platform_keywords,_xlpm._original_keywords,0)))&gt;0,
_xlfn.IFS(AND(_xlpm._exists,LEFT($E82,1)="+"),"+",_xlpm._exists,"*",NOT(_xlpm._exists),"")
)</f>
        <v/>
      </c>
      <c r="Q82" s="33" t="str" cm="1">
        <f t="array" aca="1" ref="Q8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($E82=CLASSIFICATION[[Keyword Aggr]:[Keyword Aggr]])*($D82=CLASSIFICATION[[Functional Scope Aggr]:[Functional Scope Aggr]])),
_xlpm._platform_keywords, _xlfn.TEXTSPLIT(SUBSTITUTE(SUBSTITUTE(VLOOKUP($D82,_xlpm._platform_range,3,FALSE),"+"&amp;CHAR(34),"+"),CHAR(34),""),", "),
_xlpm._exists, SUMPRODUCT(--ISNUMBER(MATCH(_xlpm._platform_keywords,_xlpm._original_keywords,0)))&gt;0,
_xlfn.IFS(_xlpm._exists,1,NOT(_xlpm._exists),"")
)</f>
        <v/>
      </c>
      <c r="R82" s="33" t="str" cm="1">
        <f t="array" aca="1" ref="R8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($E82=CLASSIFICATION[[Keyword Aggr]:[Keyword Aggr]])*($D82=CLASSIFICATION[[Functional Scope Aggr]:[Functional Scope Aggr]])),
_xlpm._platform_keywords, _xlfn.TEXTSPLIT(SUBSTITUTE(SUBSTITUTE(VLOOKUP($D82,_xlpm._platform_range,3,FALSE),"+"&amp;CHAR(34),"+"),CHAR(34),""),", "),
_xlpm._exists, SUMPRODUCT(--ISNUMBER(MATCH(_xlpm._platform_keywords,_xlpm._original_keywords,0)))&gt;0,
_xlfn.IFS(_xlpm._exists,1,NOT(_xlpm._exists),"")
)</f>
        <v/>
      </c>
      <c r="S82" s="33" cm="1">
        <f t="array" aca="1" ref="S8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($E82=CLASSIFICATION[[Keyword Aggr]:[Keyword Aggr]])*($D82=CLASSIFICATION[[Functional Scope Aggr]:[Functional Scope Aggr]])),
_xlpm._platform_keywords, _xlfn.TEXTSPLIT(SUBSTITUTE(SUBSTITUTE(VLOOKUP($D82,_xlpm._platform_range,3,FALSE),"+"&amp;CHAR(34),"+"),CHAR(34),""),", "),
_xlpm._exists, SUMPRODUCT(--ISNUMBER(MATCH(_xlpm._platform_keywords,_xlpm._original_keywords,0)))&gt;0,
_xlfn.IFS(_xlpm._exists,1,NOT(_xlpm._exists),"")
)</f>
        <v>1</v>
      </c>
      <c r="T82" s="33" t="str" cm="1">
        <f t="array" aca="1" ref="T8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($E82=CLASSIFICATION[[Keyword Aggr]:[Keyword Aggr]])*($D82=CLASSIFICATION[[Functional Scope Aggr]:[Functional Scope Aggr]])),
_xlpm._platform_keywords, _xlfn.TEXTSPLIT(SUBSTITUTE(SUBSTITUTE(VLOOKUP($D82,_xlpm._platform_range,3,FALSE),"+"&amp;CHAR(34),"+"),CHAR(34),""),", "),
_xlpm._exists, SUMPRODUCT(--ISNUMBER(MATCH(_xlpm._platform_keywords,_xlpm._original_keywords,0)))&gt;0,
_xlfn.IFS(_xlpm._exists,1,NOT(_xlpm._exists),"")
)</f>
        <v/>
      </c>
      <c r="U82" s="33" t="str" cm="1">
        <f t="array" aca="1" ref="U8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($E82=CLASSIFICATION[[Keyword Aggr]:[Keyword Aggr]])*($D82=CLASSIFICATION[[Functional Scope Aggr]:[Functional Scope Aggr]])),
_xlpm._platform_keywords, _xlfn.TEXTSPLIT(SUBSTITUTE(SUBSTITUTE(VLOOKUP($D82,_xlpm._platform_range,3,FALSE),"+"&amp;CHAR(34),"+"),CHAR(34),""),", "),
_xlpm._exists, SUMPRODUCT(--ISNUMBER(MATCH(_xlpm._platform_keywords,_xlpm._original_keywords,0)))&gt;0,
_xlfn.IFS(_xlpm._exists,1,NOT(_xlpm._exists),"")
)</f>
        <v/>
      </c>
      <c r="V82" s="33" t="str" cm="1">
        <f t="array" aca="1" ref="V8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($E82=CLASSIFICATION[[Keyword Aggr]:[Keyword Aggr]])*($D82=CLASSIFICATION[[Functional Scope Aggr]:[Functional Scope Aggr]])),
_xlpm._platform_keywords, _xlfn.TEXTSPLIT(SUBSTITUTE(SUBSTITUTE(VLOOKUP($D82,_xlpm._platform_range,3,FALSE),"+"&amp;CHAR(34),"+"),CHAR(34),""),", "),
_xlpm._exists, SUMPRODUCT(--ISNUMBER(MATCH(_xlpm._platform_keywords,_xlpm._original_keywords,0)))&gt;0,
_xlfn.IFS(_xlpm._exists,1,NOT(_xlpm._exists),"")
)</f>
        <v/>
      </c>
      <c r="X82" s="33" t="str">
        <f t="shared" si="14"/>
        <v/>
      </c>
      <c r="Y82" s="33" t="str">
        <f t="shared" si="15"/>
        <v/>
      </c>
      <c r="Z82" s="33" t="str">
        <f t="shared" si="16"/>
        <v/>
      </c>
      <c r="AA82" s="33" t="str">
        <f t="shared" si="17"/>
        <v/>
      </c>
      <c r="AB82" s="33" t="str">
        <f t="shared" si="18"/>
        <v/>
      </c>
      <c r="AC82" s="33" t="str">
        <f t="shared" si="19"/>
        <v/>
      </c>
    </row>
    <row r="83" spans="1:29" x14ac:dyDescent="0.25">
      <c r="A83" s="19" t="str">
        <v>Development,Fetching data,Custom Query Language</v>
      </c>
      <c r="B83" t="s">
        <v>377</v>
      </c>
      <c r="C83" s="19" t="str" cm="1">
        <f t="array" ref="C83:E83">_xlfn.TEXTSPLIT(A83,",")</f>
        <v>Development</v>
      </c>
      <c r="D83" s="19" t="str">
        <v>Fetching data</v>
      </c>
      <c r="E83" s="19" t="str">
        <v>Custom Query Language</v>
      </c>
      <c r="F83" s="36" t="str" cm="1">
        <f t="array" ref="F83">_xlfn.TEXTJOIN(",",TRUE,_xlfn._xlws.FILTER(CLASSIFICATION[Keyword], ($E83=CLASSIFICATION[Keyword Aggr])*($D83=CLASSIFICATION[Functional Scope Aggr])))</f>
        <v>Custom Query Language (Power Query M formula)</v>
      </c>
      <c r="G83" s="32" t="str">
        <f t="shared" si="11"/>
        <v/>
      </c>
      <c r="H83" s="32" t="str">
        <f t="shared" si="12"/>
        <v/>
      </c>
      <c r="I83" s="32" t="str">
        <f t="shared" si="13"/>
        <v>Custom Query Language</v>
      </c>
      <c r="J83" s="33" t="str" cm="1">
        <f t="array" aca="1" ref="J8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($E83=CLASSIFICATION[[Keyword Aggr]:[Keyword Aggr]])*($D83=CLASSIFICATION[[Functional Scope Aggr]:[Functional Scope Aggr]])),
_xlpm._platform_keywords, _xlfn.TEXTSPLIT(SUBSTITUTE(SUBSTITUTE(VLOOKUP($D83,_xlpm._platform_range,3,FALSE),"+"&amp;CHAR(34),"+"),CHAR(34),""),", "),
_xlpm._exists, SUMPRODUCT(--ISNUMBER(MATCH(_xlpm._platform_keywords,_xlpm._original_keywords,0)))&gt;0,
_xlfn.IFS(AND(_xlpm._exists,LEFT($E83,1)="+"),"+",_xlpm._exists,"*",NOT(_xlpm._exists),"")
)</f>
        <v/>
      </c>
      <c r="K83" s="33" t="str" cm="1">
        <f t="array" aca="1" ref="K8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($E83=CLASSIFICATION[[Keyword Aggr]:[Keyword Aggr]])*($D83=CLASSIFICATION[[Functional Scope Aggr]:[Functional Scope Aggr]])),
_xlpm._platform_keywords, _xlfn.TEXTSPLIT(SUBSTITUTE(SUBSTITUTE(VLOOKUP($D83,_xlpm._platform_range,3,FALSE),"+"&amp;CHAR(34),"+"),CHAR(34),""),", "),
_xlpm._exists, SUMPRODUCT(--ISNUMBER(MATCH(_xlpm._platform_keywords,_xlpm._original_keywords,0)))&gt;0,
_xlfn.IFS(AND(_xlpm._exists,LEFT($E83,1)="+"),"+",_xlpm._exists,"*",NOT(_xlpm._exists),"")
)</f>
        <v/>
      </c>
      <c r="L83" s="33" t="str" cm="1">
        <f t="array" aca="1" ref="L8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($E83=CLASSIFICATION[[Keyword Aggr]:[Keyword Aggr]])*($D83=CLASSIFICATION[[Functional Scope Aggr]:[Functional Scope Aggr]])),
_xlpm._platform_keywords, _xlfn.TEXTSPLIT(SUBSTITUTE(SUBSTITUTE(VLOOKUP($D83,_xlpm._platform_range,3,FALSE),"+"&amp;CHAR(34),"+"),CHAR(34),""),", "),
_xlpm._exists, SUMPRODUCT(--ISNUMBER(MATCH(_xlpm._platform_keywords,_xlpm._original_keywords,0)))&gt;0,
_xlfn.IFS(AND(_xlpm._exists,LEFT($E83,1)="+"),"+",_xlpm._exists,"*",NOT(_xlpm._exists),"")
)</f>
        <v/>
      </c>
      <c r="M83" s="33" t="str" cm="1">
        <f t="array" aca="1" ref="M8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($E83=CLASSIFICATION[[Keyword Aggr]:[Keyword Aggr]])*($D83=CLASSIFICATION[[Functional Scope Aggr]:[Functional Scope Aggr]])),
_xlpm._platform_keywords, _xlfn.TEXTSPLIT(SUBSTITUTE(SUBSTITUTE(VLOOKUP($D83,_xlpm._platform_range,3,FALSE),"+"&amp;CHAR(34),"+"),CHAR(34),""),", "),
_xlpm._exists, SUMPRODUCT(--ISNUMBER(MATCH(_xlpm._platform_keywords,_xlpm._original_keywords,0)))&gt;0,
_xlfn.IFS(AND(_xlpm._exists,LEFT($E83,1)="+"),"+",_xlpm._exists,"*",NOT(_xlpm._exists),"")
)</f>
        <v>*</v>
      </c>
      <c r="N83" s="33" t="str" cm="1">
        <f t="array" aca="1" ref="N8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($E83=CLASSIFICATION[[Keyword Aggr]:[Keyword Aggr]])*($D83=CLASSIFICATION[[Functional Scope Aggr]:[Functional Scope Aggr]])),
_xlpm._platform_keywords, _xlfn.TEXTSPLIT(SUBSTITUTE(SUBSTITUTE(VLOOKUP($D83,_xlpm._platform_range,3,FALSE),"+"&amp;CHAR(34),"+"),CHAR(34),""),", "),
_xlpm._exists, SUMPRODUCT(--ISNUMBER(MATCH(_xlpm._platform_keywords,_xlpm._original_keywords,0)))&gt;0,
_xlfn.IFS(AND(_xlpm._exists,LEFT($E83,1)="+"),"+",_xlpm._exists,"*",NOT(_xlpm._exists),"")
)</f>
        <v/>
      </c>
      <c r="O83" s="33" t="str" cm="1">
        <f t="array" aca="1" ref="O8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($E83=CLASSIFICATION[[Keyword Aggr]:[Keyword Aggr]])*($D83=CLASSIFICATION[[Functional Scope Aggr]:[Functional Scope Aggr]])),
_xlpm._platform_keywords, _xlfn.TEXTSPLIT(SUBSTITUTE(SUBSTITUTE(VLOOKUP($D83,_xlpm._platform_range,3,FALSE),"+"&amp;CHAR(34),"+"),CHAR(34),""),", "),
_xlpm._exists, SUMPRODUCT(--ISNUMBER(MATCH(_xlpm._platform_keywords,_xlpm._original_keywords,0)))&gt;0,
_xlfn.IFS(AND(_xlpm._exists,LEFT($E83,1)="+"),"+",_xlpm._exists,"*",NOT(_xlpm._exists),"")
)</f>
        <v/>
      </c>
      <c r="Q83" s="33" t="str" cm="1">
        <f t="array" aca="1" ref="Q8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($E83=CLASSIFICATION[[Keyword Aggr]:[Keyword Aggr]])*($D83=CLASSIFICATION[[Functional Scope Aggr]:[Functional Scope Aggr]])),
_xlpm._platform_keywords, _xlfn.TEXTSPLIT(SUBSTITUTE(SUBSTITUTE(VLOOKUP($D83,_xlpm._platform_range,3,FALSE),"+"&amp;CHAR(34),"+"),CHAR(34),""),", "),
_xlpm._exists, SUMPRODUCT(--ISNUMBER(MATCH(_xlpm._platform_keywords,_xlpm._original_keywords,0)))&gt;0,
_xlfn.IFS(_xlpm._exists,1,NOT(_xlpm._exists),"")
)</f>
        <v/>
      </c>
      <c r="R83" s="33" t="str" cm="1">
        <f t="array" aca="1" ref="R8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($E83=CLASSIFICATION[[Keyword Aggr]:[Keyword Aggr]])*($D83=CLASSIFICATION[[Functional Scope Aggr]:[Functional Scope Aggr]])),
_xlpm._platform_keywords, _xlfn.TEXTSPLIT(SUBSTITUTE(SUBSTITUTE(VLOOKUP($D83,_xlpm._platform_range,3,FALSE),"+"&amp;CHAR(34),"+"),CHAR(34),""),", "),
_xlpm._exists, SUMPRODUCT(--ISNUMBER(MATCH(_xlpm._platform_keywords,_xlpm._original_keywords,0)))&gt;0,
_xlfn.IFS(_xlpm._exists,1,NOT(_xlpm._exists),"")
)</f>
        <v/>
      </c>
      <c r="S83" s="33" t="str" cm="1">
        <f t="array" aca="1" ref="S8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($E83=CLASSIFICATION[[Keyword Aggr]:[Keyword Aggr]])*($D83=CLASSIFICATION[[Functional Scope Aggr]:[Functional Scope Aggr]])),
_xlpm._platform_keywords, _xlfn.TEXTSPLIT(SUBSTITUTE(SUBSTITUTE(VLOOKUP($D83,_xlpm._platform_range,3,FALSE),"+"&amp;CHAR(34),"+"),CHAR(34),""),", "),
_xlpm._exists, SUMPRODUCT(--ISNUMBER(MATCH(_xlpm._platform_keywords,_xlpm._original_keywords,0)))&gt;0,
_xlfn.IFS(_xlpm._exists,1,NOT(_xlpm._exists),"")
)</f>
        <v/>
      </c>
      <c r="T83" s="33" cm="1">
        <f t="array" aca="1" ref="T8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($E83=CLASSIFICATION[[Keyword Aggr]:[Keyword Aggr]])*($D83=CLASSIFICATION[[Functional Scope Aggr]:[Functional Scope Aggr]])),
_xlpm._platform_keywords, _xlfn.TEXTSPLIT(SUBSTITUTE(SUBSTITUTE(VLOOKUP($D83,_xlpm._platform_range,3,FALSE),"+"&amp;CHAR(34),"+"),CHAR(34),""),", "),
_xlpm._exists, SUMPRODUCT(--ISNUMBER(MATCH(_xlpm._platform_keywords,_xlpm._original_keywords,0)))&gt;0,
_xlfn.IFS(_xlpm._exists,1,NOT(_xlpm._exists),"")
)</f>
        <v>1</v>
      </c>
      <c r="U83" s="33" t="str" cm="1">
        <f t="array" aca="1" ref="U8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($E83=CLASSIFICATION[[Keyword Aggr]:[Keyword Aggr]])*($D83=CLASSIFICATION[[Functional Scope Aggr]:[Functional Scope Aggr]])),
_xlpm._platform_keywords, _xlfn.TEXTSPLIT(SUBSTITUTE(SUBSTITUTE(VLOOKUP($D83,_xlpm._platform_range,3,FALSE),"+"&amp;CHAR(34),"+"),CHAR(34),""),", "),
_xlpm._exists, SUMPRODUCT(--ISNUMBER(MATCH(_xlpm._platform_keywords,_xlpm._original_keywords,0)))&gt;0,
_xlfn.IFS(_xlpm._exists,1,NOT(_xlpm._exists),"")
)</f>
        <v/>
      </c>
      <c r="V83" s="33" t="str" cm="1">
        <f t="array" aca="1" ref="V8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($E83=CLASSIFICATION[[Keyword Aggr]:[Keyword Aggr]])*($D83=CLASSIFICATION[[Functional Scope Aggr]:[Functional Scope Aggr]])),
_xlpm._platform_keywords, _xlfn.TEXTSPLIT(SUBSTITUTE(SUBSTITUTE(VLOOKUP($D83,_xlpm._platform_range,3,FALSE),"+"&amp;CHAR(34),"+"),CHAR(34),""),", "),
_xlpm._exists, SUMPRODUCT(--ISNUMBER(MATCH(_xlpm._platform_keywords,_xlpm._original_keywords,0)))&gt;0,
_xlfn.IFS(_xlpm._exists,1,NOT(_xlpm._exists),"")
)</f>
        <v/>
      </c>
      <c r="X83" s="33" t="str">
        <f t="shared" si="14"/>
        <v/>
      </c>
      <c r="Y83" s="33" t="str">
        <f t="shared" si="15"/>
        <v/>
      </c>
      <c r="Z83" s="33" t="str">
        <f t="shared" si="16"/>
        <v/>
      </c>
      <c r="AA83" s="33" t="str">
        <f t="shared" si="17"/>
        <v/>
      </c>
      <c r="AB83" s="33" t="str">
        <f t="shared" si="18"/>
        <v/>
      </c>
      <c r="AC83" s="33" t="str">
        <f t="shared" si="19"/>
        <v/>
      </c>
    </row>
    <row r="84" spans="1:29" x14ac:dyDescent="0.25">
      <c r="A84" s="19" t="str">
        <v>Development,Fetching data,Data Source Integration</v>
      </c>
      <c r="B84" t="s">
        <v>377</v>
      </c>
      <c r="C84" s="19" t="str" cm="1">
        <f t="array" ref="C84:E84">_xlfn.TEXTSPLIT(A84,",")</f>
        <v>Development</v>
      </c>
      <c r="D84" s="19" t="str">
        <v>Fetching data</v>
      </c>
      <c r="E84" s="19" t="str">
        <v>Data Source Integration</v>
      </c>
      <c r="F84" s="36" t="str" cm="1">
        <f t="array" ref="F84">_xlfn.TEXTJOIN(",",TRUE,_xlfn._xlws.FILTER(CLASSIFICATION[Keyword], ($E84=CLASSIFICATION[Keyword Aggr])*($D84=CLASSIFICATION[Functional Scope Aggr])))</f>
        <v>Data Source Integration</v>
      </c>
      <c r="G84" s="32" t="str">
        <f t="shared" si="11"/>
        <v/>
      </c>
      <c r="H84" s="32" t="str">
        <f t="shared" si="12"/>
        <v/>
      </c>
      <c r="I84" s="32" t="str">
        <f t="shared" si="13"/>
        <v>Data Source Integration</v>
      </c>
      <c r="J84" s="33" t="str" cm="1">
        <f t="array" aca="1" ref="J8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($E84=CLASSIFICATION[[Keyword Aggr]:[Keyword Aggr]])*($D84=CLASSIFICATION[[Functional Scope Aggr]:[Functional Scope Aggr]])),
_xlpm._platform_keywords, _xlfn.TEXTSPLIT(SUBSTITUTE(SUBSTITUTE(VLOOKUP($D84,_xlpm._platform_range,3,FALSE),"+"&amp;CHAR(34),"+"),CHAR(34),""),", "),
_xlpm._exists, SUMPRODUCT(--ISNUMBER(MATCH(_xlpm._platform_keywords,_xlpm._original_keywords,0)))&gt;0,
_xlfn.IFS(AND(_xlpm._exists,LEFT($E84,1)="+"),"+",_xlpm._exists,"*",NOT(_xlpm._exists),"")
)</f>
        <v/>
      </c>
      <c r="K84" s="33" t="str" cm="1">
        <f t="array" aca="1" ref="K8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($E84=CLASSIFICATION[[Keyword Aggr]:[Keyword Aggr]])*($D84=CLASSIFICATION[[Functional Scope Aggr]:[Functional Scope Aggr]])),
_xlpm._platform_keywords, _xlfn.TEXTSPLIT(SUBSTITUTE(SUBSTITUTE(VLOOKUP($D84,_xlpm._platform_range,3,FALSE),"+"&amp;CHAR(34),"+"),CHAR(34),""),", "),
_xlpm._exists, SUMPRODUCT(--ISNUMBER(MATCH(_xlpm._platform_keywords,_xlpm._original_keywords,0)))&gt;0,
_xlfn.IFS(AND(_xlpm._exists,LEFT($E84,1)="+"),"+",_xlpm._exists,"*",NOT(_xlpm._exists),"")
)</f>
        <v/>
      </c>
      <c r="L84" s="33" t="str" cm="1">
        <f t="array" aca="1" ref="L8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($E84=CLASSIFICATION[[Keyword Aggr]:[Keyword Aggr]])*($D84=CLASSIFICATION[[Functional Scope Aggr]:[Functional Scope Aggr]])),
_xlpm._platform_keywords, _xlfn.TEXTSPLIT(SUBSTITUTE(SUBSTITUTE(VLOOKUP($D84,_xlpm._platform_range,3,FALSE),"+"&amp;CHAR(34),"+"),CHAR(34),""),", "),
_xlpm._exists, SUMPRODUCT(--ISNUMBER(MATCH(_xlpm._platform_keywords,_xlpm._original_keywords,0)))&gt;0,
_xlfn.IFS(AND(_xlpm._exists,LEFT($E84,1)="+"),"+",_xlpm._exists,"*",NOT(_xlpm._exists),"")
)</f>
        <v/>
      </c>
      <c r="M84" s="33" t="str" cm="1">
        <f t="array" aca="1" ref="M8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($E84=CLASSIFICATION[[Keyword Aggr]:[Keyword Aggr]])*($D84=CLASSIFICATION[[Functional Scope Aggr]:[Functional Scope Aggr]])),
_xlpm._platform_keywords, _xlfn.TEXTSPLIT(SUBSTITUTE(SUBSTITUTE(VLOOKUP($D84,_xlpm._platform_range,3,FALSE),"+"&amp;CHAR(34),"+"),CHAR(34),""),", "),
_xlpm._exists, SUMPRODUCT(--ISNUMBER(MATCH(_xlpm._platform_keywords,_xlpm._original_keywords,0)))&gt;0,
_xlfn.IFS(AND(_xlpm._exists,LEFT($E84,1)="+"),"+",_xlpm._exists,"*",NOT(_xlpm._exists),"")
)</f>
        <v/>
      </c>
      <c r="N84" s="33" t="str" cm="1">
        <f t="array" aca="1" ref="N8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($E84=CLASSIFICATION[[Keyword Aggr]:[Keyword Aggr]])*($D84=CLASSIFICATION[[Functional Scope Aggr]:[Functional Scope Aggr]])),
_xlpm._platform_keywords, _xlfn.TEXTSPLIT(SUBSTITUTE(SUBSTITUTE(VLOOKUP($D84,_xlpm._platform_range,3,FALSE),"+"&amp;CHAR(34),"+"),CHAR(34),""),", "),
_xlpm._exists, SUMPRODUCT(--ISNUMBER(MATCH(_xlpm._platform_keywords,_xlpm._original_keywords,0)))&gt;0,
_xlfn.IFS(AND(_xlpm._exists,LEFT($E84,1)="+"),"+",_xlpm._exists,"*",NOT(_xlpm._exists),"")
)</f>
        <v>*</v>
      </c>
      <c r="O84" s="33" t="str" cm="1">
        <f t="array" aca="1" ref="O8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($E84=CLASSIFICATION[[Keyword Aggr]:[Keyword Aggr]])*($D84=CLASSIFICATION[[Functional Scope Aggr]:[Functional Scope Aggr]])),
_xlpm._platform_keywords, _xlfn.TEXTSPLIT(SUBSTITUTE(SUBSTITUTE(VLOOKUP($D84,_xlpm._platform_range,3,FALSE),"+"&amp;CHAR(34),"+"),CHAR(34),""),", "),
_xlpm._exists, SUMPRODUCT(--ISNUMBER(MATCH(_xlpm._platform_keywords,_xlpm._original_keywords,0)))&gt;0,
_xlfn.IFS(AND(_xlpm._exists,LEFT($E84,1)="+"),"+",_xlpm._exists,"*",NOT(_xlpm._exists),"")
)</f>
        <v>*</v>
      </c>
      <c r="Q84" s="33" t="str" cm="1">
        <f t="array" aca="1" ref="Q8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($E84=CLASSIFICATION[[Keyword Aggr]:[Keyword Aggr]])*($D84=CLASSIFICATION[[Functional Scope Aggr]:[Functional Scope Aggr]])),
_xlpm._platform_keywords, _xlfn.TEXTSPLIT(SUBSTITUTE(SUBSTITUTE(VLOOKUP($D84,_xlpm._platform_range,3,FALSE),"+"&amp;CHAR(34),"+"),CHAR(34),""),", "),
_xlpm._exists, SUMPRODUCT(--ISNUMBER(MATCH(_xlpm._platform_keywords,_xlpm._original_keywords,0)))&gt;0,
_xlfn.IFS(_xlpm._exists,1,NOT(_xlpm._exists),"")
)</f>
        <v/>
      </c>
      <c r="R84" s="33" t="str" cm="1">
        <f t="array" aca="1" ref="R8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($E84=CLASSIFICATION[[Keyword Aggr]:[Keyword Aggr]])*($D84=CLASSIFICATION[[Functional Scope Aggr]:[Functional Scope Aggr]])),
_xlpm._platform_keywords, _xlfn.TEXTSPLIT(SUBSTITUTE(SUBSTITUTE(VLOOKUP($D84,_xlpm._platform_range,3,FALSE),"+"&amp;CHAR(34),"+"),CHAR(34),""),", "),
_xlpm._exists, SUMPRODUCT(--ISNUMBER(MATCH(_xlpm._platform_keywords,_xlpm._original_keywords,0)))&gt;0,
_xlfn.IFS(_xlpm._exists,1,NOT(_xlpm._exists),"")
)</f>
        <v/>
      </c>
      <c r="S84" s="33" t="str" cm="1">
        <f t="array" aca="1" ref="S8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($E84=CLASSIFICATION[[Keyword Aggr]:[Keyword Aggr]])*($D84=CLASSIFICATION[[Functional Scope Aggr]:[Functional Scope Aggr]])),
_xlpm._platform_keywords, _xlfn.TEXTSPLIT(SUBSTITUTE(SUBSTITUTE(VLOOKUP($D84,_xlpm._platform_range,3,FALSE),"+"&amp;CHAR(34),"+"),CHAR(34),""),", "),
_xlpm._exists, SUMPRODUCT(--ISNUMBER(MATCH(_xlpm._platform_keywords,_xlpm._original_keywords,0)))&gt;0,
_xlfn.IFS(_xlpm._exists,1,NOT(_xlpm._exists),"")
)</f>
        <v/>
      </c>
      <c r="T84" s="33" t="str" cm="1">
        <f t="array" aca="1" ref="T8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($E84=CLASSIFICATION[[Keyword Aggr]:[Keyword Aggr]])*($D84=CLASSIFICATION[[Functional Scope Aggr]:[Functional Scope Aggr]])),
_xlpm._platform_keywords, _xlfn.TEXTSPLIT(SUBSTITUTE(SUBSTITUTE(VLOOKUP($D84,_xlpm._platform_range,3,FALSE),"+"&amp;CHAR(34),"+"),CHAR(34),""),", "),
_xlpm._exists, SUMPRODUCT(--ISNUMBER(MATCH(_xlpm._platform_keywords,_xlpm._original_keywords,0)))&gt;0,
_xlfn.IFS(_xlpm._exists,1,NOT(_xlpm._exists),"")
)</f>
        <v/>
      </c>
      <c r="U84" s="33" cm="1">
        <f t="array" aca="1" ref="U8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($E84=CLASSIFICATION[[Keyword Aggr]:[Keyword Aggr]])*($D84=CLASSIFICATION[[Functional Scope Aggr]:[Functional Scope Aggr]])),
_xlpm._platform_keywords, _xlfn.TEXTSPLIT(SUBSTITUTE(SUBSTITUTE(VLOOKUP($D84,_xlpm._platform_range,3,FALSE),"+"&amp;CHAR(34),"+"),CHAR(34),""),", "),
_xlpm._exists, SUMPRODUCT(--ISNUMBER(MATCH(_xlpm._platform_keywords,_xlpm._original_keywords,0)))&gt;0,
_xlfn.IFS(_xlpm._exists,1,NOT(_xlpm._exists),"")
)</f>
        <v>1</v>
      </c>
      <c r="V84" s="33" cm="1">
        <f t="array" aca="1" ref="V8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($E84=CLASSIFICATION[[Keyword Aggr]:[Keyword Aggr]])*($D84=CLASSIFICATION[[Functional Scope Aggr]:[Functional Scope Aggr]])),
_xlpm._platform_keywords, _xlfn.TEXTSPLIT(SUBSTITUTE(SUBSTITUTE(VLOOKUP($D84,_xlpm._platform_range,3,FALSE),"+"&amp;CHAR(34),"+"),CHAR(34),""),", "),
_xlpm._exists, SUMPRODUCT(--ISNUMBER(MATCH(_xlpm._platform_keywords,_xlpm._original_keywords,0)))&gt;0,
_xlfn.IFS(_xlpm._exists,1,NOT(_xlpm._exists),"")
)</f>
        <v>1</v>
      </c>
      <c r="X84" s="33" t="str">
        <f t="shared" si="14"/>
        <v/>
      </c>
      <c r="Y84" s="33" t="str">
        <f t="shared" si="15"/>
        <v/>
      </c>
      <c r="Z84" s="33" t="str">
        <f t="shared" si="16"/>
        <v/>
      </c>
      <c r="AA84" s="33" t="str">
        <f t="shared" si="17"/>
        <v/>
      </c>
      <c r="AB84" s="33" t="str">
        <f t="shared" si="18"/>
        <v/>
      </c>
      <c r="AC84" s="33" t="str">
        <f t="shared" si="19"/>
        <v/>
      </c>
    </row>
    <row r="85" spans="1:29" x14ac:dyDescent="0.25">
      <c r="A85" s="19" t="str">
        <v>Development,Fetching data,Formulas</v>
      </c>
      <c r="B85" t="s">
        <v>377</v>
      </c>
      <c r="C85" s="19" t="str" cm="1">
        <f t="array" ref="C85:E85">_xlfn.TEXTSPLIT(A85,",")</f>
        <v>Development</v>
      </c>
      <c r="D85" s="19" t="str">
        <v>Fetching data</v>
      </c>
      <c r="E85" s="19" t="str">
        <v>Formulas</v>
      </c>
      <c r="F85" s="36" t="str" cm="1">
        <f t="array" ref="F85">_xlfn.TEXTJOIN(",",TRUE,_xlfn._xlws.FILTER(CLASSIFICATION[Keyword], ($E85=CLASSIFICATION[Keyword Aggr])*($D85=CLASSIFICATION[Functional Scope Aggr])))</f>
        <v>Formulas</v>
      </c>
      <c r="G85" s="32" t="str">
        <f t="shared" si="11"/>
        <v/>
      </c>
      <c r="H85" s="32" t="str">
        <f t="shared" si="12"/>
        <v/>
      </c>
      <c r="I85" s="32" t="str">
        <f t="shared" si="13"/>
        <v>Formulas</v>
      </c>
      <c r="J85" s="33" t="str" cm="1">
        <f t="array" aca="1" ref="J8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($E85=CLASSIFICATION[[Keyword Aggr]:[Keyword Aggr]])*($D85=CLASSIFICATION[[Functional Scope Aggr]:[Functional Scope Aggr]])),
_xlpm._platform_keywords, _xlfn.TEXTSPLIT(SUBSTITUTE(SUBSTITUTE(VLOOKUP($D85,_xlpm._platform_range,3,FALSE),"+"&amp;CHAR(34),"+"),CHAR(34),""),", "),
_xlpm._exists, SUMPRODUCT(--ISNUMBER(MATCH(_xlpm._platform_keywords,_xlpm._original_keywords,0)))&gt;0,
_xlfn.IFS(AND(_xlpm._exists,LEFT($E85,1)="+"),"+",_xlpm._exists,"*",NOT(_xlpm._exists),"")
)</f>
        <v/>
      </c>
      <c r="K85" s="33" t="str" cm="1">
        <f t="array" aca="1" ref="K8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($E85=CLASSIFICATION[[Keyword Aggr]:[Keyword Aggr]])*($D85=CLASSIFICATION[[Functional Scope Aggr]:[Functional Scope Aggr]])),
_xlpm._platform_keywords, _xlfn.TEXTSPLIT(SUBSTITUTE(SUBSTITUTE(VLOOKUP($D85,_xlpm._platform_range,3,FALSE),"+"&amp;CHAR(34),"+"),CHAR(34),""),", "),
_xlpm._exists, SUMPRODUCT(--ISNUMBER(MATCH(_xlpm._platform_keywords,_xlpm._original_keywords,0)))&gt;0,
_xlfn.IFS(AND(_xlpm._exists,LEFT($E85,1)="+"),"+",_xlpm._exists,"*",NOT(_xlpm._exists),"")
)</f>
        <v/>
      </c>
      <c r="L85" s="33" t="str" cm="1">
        <f t="array" aca="1" ref="L8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($E85=CLASSIFICATION[[Keyword Aggr]:[Keyword Aggr]])*($D85=CLASSIFICATION[[Functional Scope Aggr]:[Functional Scope Aggr]])),
_xlpm._platform_keywords, _xlfn.TEXTSPLIT(SUBSTITUTE(SUBSTITUTE(VLOOKUP($D85,_xlpm._platform_range,3,FALSE),"+"&amp;CHAR(34),"+"),CHAR(34),""),", "),
_xlpm._exists, SUMPRODUCT(--ISNUMBER(MATCH(_xlpm._platform_keywords,_xlpm._original_keywords,0)))&gt;0,
_xlfn.IFS(AND(_xlpm._exists,LEFT($E85,1)="+"),"+",_xlpm._exists,"*",NOT(_xlpm._exists),"")
)</f>
        <v/>
      </c>
      <c r="M85" s="33" t="str" cm="1">
        <f t="array" aca="1" ref="M8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($E85=CLASSIFICATION[[Keyword Aggr]:[Keyword Aggr]])*($D85=CLASSIFICATION[[Functional Scope Aggr]:[Functional Scope Aggr]])),
_xlpm._platform_keywords, _xlfn.TEXTSPLIT(SUBSTITUTE(SUBSTITUTE(VLOOKUP($D85,_xlpm._platform_range,3,FALSE),"+"&amp;CHAR(34),"+"),CHAR(34),""),", "),
_xlpm._exists, SUMPRODUCT(--ISNUMBER(MATCH(_xlpm._platform_keywords,_xlpm._original_keywords,0)))&gt;0,
_xlfn.IFS(AND(_xlpm._exists,LEFT($E85,1)="+"),"+",_xlpm._exists,"*",NOT(_xlpm._exists),"")
)</f>
        <v>*</v>
      </c>
      <c r="N85" s="33" t="str" cm="1">
        <f t="array" aca="1" ref="N8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($E85=CLASSIFICATION[[Keyword Aggr]:[Keyword Aggr]])*($D85=CLASSIFICATION[[Functional Scope Aggr]:[Functional Scope Aggr]])),
_xlpm._platform_keywords, _xlfn.TEXTSPLIT(SUBSTITUTE(SUBSTITUTE(VLOOKUP($D85,_xlpm._platform_range,3,FALSE),"+"&amp;CHAR(34),"+"),CHAR(34),""),", "),
_xlpm._exists, SUMPRODUCT(--ISNUMBER(MATCH(_xlpm._platform_keywords,_xlpm._original_keywords,0)))&gt;0,
_xlfn.IFS(AND(_xlpm._exists,LEFT($E85,1)="+"),"+",_xlpm._exists,"*",NOT(_xlpm._exists),"")
)</f>
        <v/>
      </c>
      <c r="O85" s="33" t="str" cm="1">
        <f t="array" aca="1" ref="O8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($E85=CLASSIFICATION[[Keyword Aggr]:[Keyword Aggr]])*($D85=CLASSIFICATION[[Functional Scope Aggr]:[Functional Scope Aggr]])),
_xlpm._platform_keywords, _xlfn.TEXTSPLIT(SUBSTITUTE(SUBSTITUTE(VLOOKUP($D85,_xlpm._platform_range,3,FALSE),"+"&amp;CHAR(34),"+"),CHAR(34),""),", "),
_xlpm._exists, SUMPRODUCT(--ISNUMBER(MATCH(_xlpm._platform_keywords,_xlpm._original_keywords,0)))&gt;0,
_xlfn.IFS(AND(_xlpm._exists,LEFT($E85,1)="+"),"+",_xlpm._exists,"*",NOT(_xlpm._exists),"")
)</f>
        <v>*</v>
      </c>
      <c r="Q85" s="33" t="str" cm="1">
        <f t="array" aca="1" ref="Q8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($E85=CLASSIFICATION[[Keyword Aggr]:[Keyword Aggr]])*($D85=CLASSIFICATION[[Functional Scope Aggr]:[Functional Scope Aggr]])),
_xlpm._platform_keywords, _xlfn.TEXTSPLIT(SUBSTITUTE(SUBSTITUTE(VLOOKUP($D85,_xlpm._platform_range,3,FALSE),"+"&amp;CHAR(34),"+"),CHAR(34),""),", "),
_xlpm._exists, SUMPRODUCT(--ISNUMBER(MATCH(_xlpm._platform_keywords,_xlpm._original_keywords,0)))&gt;0,
_xlfn.IFS(_xlpm._exists,1,NOT(_xlpm._exists),"")
)</f>
        <v/>
      </c>
      <c r="R85" s="33" t="str" cm="1">
        <f t="array" aca="1" ref="R8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($E85=CLASSIFICATION[[Keyword Aggr]:[Keyword Aggr]])*($D85=CLASSIFICATION[[Functional Scope Aggr]:[Functional Scope Aggr]])),
_xlpm._platform_keywords, _xlfn.TEXTSPLIT(SUBSTITUTE(SUBSTITUTE(VLOOKUP($D85,_xlpm._platform_range,3,FALSE),"+"&amp;CHAR(34),"+"),CHAR(34),""),", "),
_xlpm._exists, SUMPRODUCT(--ISNUMBER(MATCH(_xlpm._platform_keywords,_xlpm._original_keywords,0)))&gt;0,
_xlfn.IFS(_xlpm._exists,1,NOT(_xlpm._exists),"")
)</f>
        <v/>
      </c>
      <c r="S85" s="33" t="str" cm="1">
        <f t="array" aca="1" ref="S8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($E85=CLASSIFICATION[[Keyword Aggr]:[Keyword Aggr]])*($D85=CLASSIFICATION[[Functional Scope Aggr]:[Functional Scope Aggr]])),
_xlpm._platform_keywords, _xlfn.TEXTSPLIT(SUBSTITUTE(SUBSTITUTE(VLOOKUP($D85,_xlpm._platform_range,3,FALSE),"+"&amp;CHAR(34),"+"),CHAR(34),""),", "),
_xlpm._exists, SUMPRODUCT(--ISNUMBER(MATCH(_xlpm._platform_keywords,_xlpm._original_keywords,0)))&gt;0,
_xlfn.IFS(_xlpm._exists,1,NOT(_xlpm._exists),"")
)</f>
        <v/>
      </c>
      <c r="T85" s="33" cm="1">
        <f t="array" aca="1" ref="T8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($E85=CLASSIFICATION[[Keyword Aggr]:[Keyword Aggr]])*($D85=CLASSIFICATION[[Functional Scope Aggr]:[Functional Scope Aggr]])),
_xlpm._platform_keywords, _xlfn.TEXTSPLIT(SUBSTITUTE(SUBSTITUTE(VLOOKUP($D85,_xlpm._platform_range,3,FALSE),"+"&amp;CHAR(34),"+"),CHAR(34),""),", "),
_xlpm._exists, SUMPRODUCT(--ISNUMBER(MATCH(_xlpm._platform_keywords,_xlpm._original_keywords,0)))&gt;0,
_xlfn.IFS(_xlpm._exists,1,NOT(_xlpm._exists),"")
)</f>
        <v>1</v>
      </c>
      <c r="U85" s="33" t="str" cm="1">
        <f t="array" aca="1" ref="U8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($E85=CLASSIFICATION[[Keyword Aggr]:[Keyword Aggr]])*($D85=CLASSIFICATION[[Functional Scope Aggr]:[Functional Scope Aggr]])),
_xlpm._platform_keywords, _xlfn.TEXTSPLIT(SUBSTITUTE(SUBSTITUTE(VLOOKUP($D85,_xlpm._platform_range,3,FALSE),"+"&amp;CHAR(34),"+"),CHAR(34),""),", "),
_xlpm._exists, SUMPRODUCT(--ISNUMBER(MATCH(_xlpm._platform_keywords,_xlpm._original_keywords,0)))&gt;0,
_xlfn.IFS(_xlpm._exists,1,NOT(_xlpm._exists),"")
)</f>
        <v/>
      </c>
      <c r="V85" s="33" cm="1">
        <f t="array" aca="1" ref="V8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($E85=CLASSIFICATION[[Keyword Aggr]:[Keyword Aggr]])*($D85=CLASSIFICATION[[Functional Scope Aggr]:[Functional Scope Aggr]])),
_xlpm._platform_keywords, _xlfn.TEXTSPLIT(SUBSTITUTE(SUBSTITUTE(VLOOKUP($D85,_xlpm._platform_range,3,FALSE),"+"&amp;CHAR(34),"+"),CHAR(34),""),", "),
_xlpm._exists, SUMPRODUCT(--ISNUMBER(MATCH(_xlpm._platform_keywords,_xlpm._original_keywords,0)))&gt;0,
_xlfn.IFS(_xlpm._exists,1,NOT(_xlpm._exists),"")
)</f>
        <v>1</v>
      </c>
      <c r="X85" s="33" t="str">
        <f t="shared" si="14"/>
        <v/>
      </c>
      <c r="Y85" s="33" t="str">
        <f t="shared" si="15"/>
        <v/>
      </c>
      <c r="Z85" s="33" t="str">
        <f t="shared" si="16"/>
        <v/>
      </c>
      <c r="AA85" s="33" t="str">
        <f t="shared" si="17"/>
        <v/>
      </c>
      <c r="AB85" s="33" t="str">
        <f t="shared" si="18"/>
        <v/>
      </c>
      <c r="AC85" s="33" t="str">
        <f t="shared" si="19"/>
        <v/>
      </c>
    </row>
    <row r="86" spans="1:29" x14ac:dyDescent="0.25">
      <c r="A86" s="19" t="str">
        <v>Development,Fetching data,Local Storage</v>
      </c>
      <c r="B86" t="s">
        <v>377</v>
      </c>
      <c r="C86" s="19" t="str" cm="1">
        <f t="array" ref="C86:E86">_xlfn.TEXTSPLIT(A86,",")</f>
        <v>Development</v>
      </c>
      <c r="D86" s="19" t="str">
        <v>Fetching data</v>
      </c>
      <c r="E86" s="19" t="str">
        <v>Local Storage</v>
      </c>
      <c r="F86" s="36" t="str" cm="1">
        <f t="array" ref="F86">_xlfn.TEXTJOIN(",",TRUE,_xlfn._xlws.FILTER(CLASSIFICATION[Keyword], ($E86=CLASSIFICATION[Keyword Aggr])*($D86=CLASSIFICATION[Functional Scope Aggr])))</f>
        <v>Local Storage</v>
      </c>
      <c r="G86" s="32" t="str">
        <f t="shared" si="11"/>
        <v/>
      </c>
      <c r="H86" s="32" t="str">
        <f t="shared" si="12"/>
        <v/>
      </c>
      <c r="I86" s="32" t="str">
        <f t="shared" si="13"/>
        <v>Local Storage</v>
      </c>
      <c r="J86" s="33" t="str" cm="1">
        <f t="array" aca="1" ref="J8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($E86=CLASSIFICATION[[Keyword Aggr]:[Keyword Aggr]])*($D86=CLASSIFICATION[[Functional Scope Aggr]:[Functional Scope Aggr]])),
_xlpm._platform_keywords, _xlfn.TEXTSPLIT(SUBSTITUTE(SUBSTITUTE(VLOOKUP($D86,_xlpm._platform_range,3,FALSE),"+"&amp;CHAR(34),"+"),CHAR(34),""),", "),
_xlpm._exists, SUMPRODUCT(--ISNUMBER(MATCH(_xlpm._platform_keywords,_xlpm._original_keywords,0)))&gt;0,
_xlfn.IFS(AND(_xlpm._exists,LEFT($E86,1)="+"),"+",_xlpm._exists,"*",NOT(_xlpm._exists),"")
)</f>
        <v/>
      </c>
      <c r="K86" s="33" t="str" cm="1">
        <f t="array" aca="1" ref="K8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($E86=CLASSIFICATION[[Keyword Aggr]:[Keyword Aggr]])*($D86=CLASSIFICATION[[Functional Scope Aggr]:[Functional Scope Aggr]])),
_xlpm._platform_keywords, _xlfn.TEXTSPLIT(SUBSTITUTE(SUBSTITUTE(VLOOKUP($D86,_xlpm._platform_range,3,FALSE),"+"&amp;CHAR(34),"+"),CHAR(34),""),", "),
_xlpm._exists, SUMPRODUCT(--ISNUMBER(MATCH(_xlpm._platform_keywords,_xlpm._original_keywords,0)))&gt;0,
_xlfn.IFS(AND(_xlpm._exists,LEFT($E86,1)="+"),"+",_xlpm._exists,"*",NOT(_xlpm._exists),"")
)</f>
        <v/>
      </c>
      <c r="L86" s="33" t="str" cm="1">
        <f t="array" aca="1" ref="L8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($E86=CLASSIFICATION[[Keyword Aggr]:[Keyword Aggr]])*($D86=CLASSIFICATION[[Functional Scope Aggr]:[Functional Scope Aggr]])),
_xlpm._platform_keywords, _xlfn.TEXTSPLIT(SUBSTITUTE(SUBSTITUTE(VLOOKUP($D86,_xlpm._platform_range,3,FALSE),"+"&amp;CHAR(34),"+"),CHAR(34),""),", "),
_xlpm._exists, SUMPRODUCT(--ISNUMBER(MATCH(_xlpm._platform_keywords,_xlpm._original_keywords,0)))&gt;0,
_xlfn.IFS(AND(_xlpm._exists,LEFT($E86,1)="+"),"+",_xlpm._exists,"*",NOT(_xlpm._exists),"")
)</f>
        <v>*</v>
      </c>
      <c r="M86" s="33" t="str" cm="1">
        <f t="array" aca="1" ref="M8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($E86=CLASSIFICATION[[Keyword Aggr]:[Keyword Aggr]])*($D86=CLASSIFICATION[[Functional Scope Aggr]:[Functional Scope Aggr]])),
_xlpm._platform_keywords, _xlfn.TEXTSPLIT(SUBSTITUTE(SUBSTITUTE(VLOOKUP($D86,_xlpm._platform_range,3,FALSE),"+"&amp;CHAR(34),"+"),CHAR(34),""),", "),
_xlpm._exists, SUMPRODUCT(--ISNUMBER(MATCH(_xlpm._platform_keywords,_xlpm._original_keywords,0)))&gt;0,
_xlfn.IFS(AND(_xlpm._exists,LEFT($E86,1)="+"),"+",_xlpm._exists,"*",NOT(_xlpm._exists),"")
)</f>
        <v/>
      </c>
      <c r="N86" s="33" t="str" cm="1">
        <f t="array" aca="1" ref="N8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($E86=CLASSIFICATION[[Keyword Aggr]:[Keyword Aggr]])*($D86=CLASSIFICATION[[Functional Scope Aggr]:[Functional Scope Aggr]])),
_xlpm._platform_keywords, _xlfn.TEXTSPLIT(SUBSTITUTE(SUBSTITUTE(VLOOKUP($D86,_xlpm._platform_range,3,FALSE),"+"&amp;CHAR(34),"+"),CHAR(34),""),", "),
_xlpm._exists, SUMPRODUCT(--ISNUMBER(MATCH(_xlpm._platform_keywords,_xlpm._original_keywords,0)))&gt;0,
_xlfn.IFS(AND(_xlpm._exists,LEFT($E86,1)="+"),"+",_xlpm._exists,"*",NOT(_xlpm._exists),"")
)</f>
        <v/>
      </c>
      <c r="O86" s="33" t="str" cm="1">
        <f t="array" aca="1" ref="O8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($E86=CLASSIFICATION[[Keyword Aggr]:[Keyword Aggr]])*($D86=CLASSIFICATION[[Functional Scope Aggr]:[Functional Scope Aggr]])),
_xlpm._platform_keywords, _xlfn.TEXTSPLIT(SUBSTITUTE(SUBSTITUTE(VLOOKUP($D86,_xlpm._platform_range,3,FALSE),"+"&amp;CHAR(34),"+"),CHAR(34),""),", "),
_xlpm._exists, SUMPRODUCT(--ISNUMBER(MATCH(_xlpm._platform_keywords,_xlpm._original_keywords,0)))&gt;0,
_xlfn.IFS(AND(_xlpm._exists,LEFT($E86,1)="+"),"+",_xlpm._exists,"*",NOT(_xlpm._exists),"")
)</f>
        <v/>
      </c>
      <c r="Q86" s="33" t="str" cm="1">
        <f t="array" aca="1" ref="Q8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($E86=CLASSIFICATION[[Keyword Aggr]:[Keyword Aggr]])*($D86=CLASSIFICATION[[Functional Scope Aggr]:[Functional Scope Aggr]])),
_xlpm._platform_keywords, _xlfn.TEXTSPLIT(SUBSTITUTE(SUBSTITUTE(VLOOKUP($D86,_xlpm._platform_range,3,FALSE),"+"&amp;CHAR(34),"+"),CHAR(34),""),", "),
_xlpm._exists, SUMPRODUCT(--ISNUMBER(MATCH(_xlpm._platform_keywords,_xlpm._original_keywords,0)))&gt;0,
_xlfn.IFS(_xlpm._exists,1,NOT(_xlpm._exists),"")
)</f>
        <v/>
      </c>
      <c r="R86" s="33" t="str" cm="1">
        <f t="array" aca="1" ref="R8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($E86=CLASSIFICATION[[Keyword Aggr]:[Keyword Aggr]])*($D86=CLASSIFICATION[[Functional Scope Aggr]:[Functional Scope Aggr]])),
_xlpm._platform_keywords, _xlfn.TEXTSPLIT(SUBSTITUTE(SUBSTITUTE(VLOOKUP($D86,_xlpm._platform_range,3,FALSE),"+"&amp;CHAR(34),"+"),CHAR(34),""),", "),
_xlpm._exists, SUMPRODUCT(--ISNUMBER(MATCH(_xlpm._platform_keywords,_xlpm._original_keywords,0)))&gt;0,
_xlfn.IFS(_xlpm._exists,1,NOT(_xlpm._exists),"")
)</f>
        <v/>
      </c>
      <c r="S86" s="33" cm="1">
        <f t="array" aca="1" ref="S8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($E86=CLASSIFICATION[[Keyword Aggr]:[Keyword Aggr]])*($D86=CLASSIFICATION[[Functional Scope Aggr]:[Functional Scope Aggr]])),
_xlpm._platform_keywords, _xlfn.TEXTSPLIT(SUBSTITUTE(SUBSTITUTE(VLOOKUP($D86,_xlpm._platform_range,3,FALSE),"+"&amp;CHAR(34),"+"),CHAR(34),""),", "),
_xlpm._exists, SUMPRODUCT(--ISNUMBER(MATCH(_xlpm._platform_keywords,_xlpm._original_keywords,0)))&gt;0,
_xlfn.IFS(_xlpm._exists,1,NOT(_xlpm._exists),"")
)</f>
        <v>1</v>
      </c>
      <c r="T86" s="33" t="str" cm="1">
        <f t="array" aca="1" ref="T8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($E86=CLASSIFICATION[[Keyword Aggr]:[Keyword Aggr]])*($D86=CLASSIFICATION[[Functional Scope Aggr]:[Functional Scope Aggr]])),
_xlpm._platform_keywords, _xlfn.TEXTSPLIT(SUBSTITUTE(SUBSTITUTE(VLOOKUP($D86,_xlpm._platform_range,3,FALSE),"+"&amp;CHAR(34),"+"),CHAR(34),""),", "),
_xlpm._exists, SUMPRODUCT(--ISNUMBER(MATCH(_xlpm._platform_keywords,_xlpm._original_keywords,0)))&gt;0,
_xlfn.IFS(_xlpm._exists,1,NOT(_xlpm._exists),"")
)</f>
        <v/>
      </c>
      <c r="U86" s="33" t="str" cm="1">
        <f t="array" aca="1" ref="U8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($E86=CLASSIFICATION[[Keyword Aggr]:[Keyword Aggr]])*($D86=CLASSIFICATION[[Functional Scope Aggr]:[Functional Scope Aggr]])),
_xlpm._platform_keywords, _xlfn.TEXTSPLIT(SUBSTITUTE(SUBSTITUTE(VLOOKUP($D86,_xlpm._platform_range,3,FALSE),"+"&amp;CHAR(34),"+"),CHAR(34),""),", "),
_xlpm._exists, SUMPRODUCT(--ISNUMBER(MATCH(_xlpm._platform_keywords,_xlpm._original_keywords,0)))&gt;0,
_xlfn.IFS(_xlpm._exists,1,NOT(_xlpm._exists),"")
)</f>
        <v/>
      </c>
      <c r="V86" s="33" t="str" cm="1">
        <f t="array" aca="1" ref="V8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($E86=CLASSIFICATION[[Keyword Aggr]:[Keyword Aggr]])*($D86=CLASSIFICATION[[Functional Scope Aggr]:[Functional Scope Aggr]])),
_xlpm._platform_keywords, _xlfn.TEXTSPLIT(SUBSTITUTE(SUBSTITUTE(VLOOKUP($D86,_xlpm._platform_range,3,FALSE),"+"&amp;CHAR(34),"+"),CHAR(34),""),", "),
_xlpm._exists, SUMPRODUCT(--ISNUMBER(MATCH(_xlpm._platform_keywords,_xlpm._original_keywords,0)))&gt;0,
_xlfn.IFS(_xlpm._exists,1,NOT(_xlpm._exists),"")
)</f>
        <v/>
      </c>
      <c r="X86" s="33" t="str">
        <f t="shared" si="14"/>
        <v/>
      </c>
      <c r="Y86" s="33" t="str">
        <f t="shared" si="15"/>
        <v/>
      </c>
      <c r="Z86" s="33" t="str">
        <f t="shared" si="16"/>
        <v/>
      </c>
      <c r="AA86" s="33" t="str">
        <f t="shared" si="17"/>
        <v/>
      </c>
      <c r="AB86" s="33" t="str">
        <f t="shared" si="18"/>
        <v/>
      </c>
      <c r="AC86" s="33" t="str">
        <f t="shared" si="19"/>
        <v/>
      </c>
    </row>
    <row r="87" spans="1:29" x14ac:dyDescent="0.25">
      <c r="A87" s="19" t="str">
        <v>Development,Fetching data,OAuth</v>
      </c>
      <c r="B87" t="s">
        <v>377</v>
      </c>
      <c r="C87" s="19" t="str" cm="1">
        <f t="array" ref="C87:E87">_xlfn.TEXTSPLIT(A87,",")</f>
        <v>Development</v>
      </c>
      <c r="D87" s="19" t="str">
        <v>Fetching data</v>
      </c>
      <c r="E87" s="19" t="str">
        <v>OAuth</v>
      </c>
      <c r="F87" s="36" t="str" cm="1">
        <f t="array" ref="F87">_xlfn.TEXTJOIN(",",TRUE,_xlfn._xlws.FILTER(CLASSIFICATION[Keyword], ($E87=CLASSIFICATION[Keyword Aggr])*($D87=CLASSIFICATION[Functional Scope Aggr])))</f>
        <v>OAuth</v>
      </c>
      <c r="G87" s="32" t="str">
        <f t="shared" si="11"/>
        <v/>
      </c>
      <c r="H87" s="32" t="str">
        <f t="shared" si="12"/>
        <v/>
      </c>
      <c r="I87" s="32" t="str">
        <f t="shared" si="13"/>
        <v>OAuth</v>
      </c>
      <c r="J87" s="33" t="str" cm="1">
        <f t="array" aca="1" ref="J8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($E87=CLASSIFICATION[[Keyword Aggr]:[Keyword Aggr]])*($D87=CLASSIFICATION[[Functional Scope Aggr]:[Functional Scope Aggr]])),
_xlpm._platform_keywords, _xlfn.TEXTSPLIT(SUBSTITUTE(SUBSTITUTE(VLOOKUP($D87,_xlpm._platform_range,3,FALSE),"+"&amp;CHAR(34),"+"),CHAR(34),""),", "),
_xlpm._exists, SUMPRODUCT(--ISNUMBER(MATCH(_xlpm._platform_keywords,_xlpm._original_keywords,0)))&gt;0,
_xlfn.IFS(AND(_xlpm._exists,LEFT($E87,1)="+"),"+",_xlpm._exists,"*",NOT(_xlpm._exists),"")
)</f>
        <v/>
      </c>
      <c r="K87" s="33" t="str" cm="1">
        <f t="array" aca="1" ref="K8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($E87=CLASSIFICATION[[Keyword Aggr]:[Keyword Aggr]])*($D87=CLASSIFICATION[[Functional Scope Aggr]:[Functional Scope Aggr]])),
_xlpm._platform_keywords, _xlfn.TEXTSPLIT(SUBSTITUTE(SUBSTITUTE(VLOOKUP($D87,_xlpm._platform_range,3,FALSE),"+"&amp;CHAR(34),"+"),CHAR(34),""),", "),
_xlpm._exists, SUMPRODUCT(--ISNUMBER(MATCH(_xlpm._platform_keywords,_xlpm._original_keywords,0)))&gt;0,
_xlfn.IFS(AND(_xlpm._exists,LEFT($E87,1)="+"),"+",_xlpm._exists,"*",NOT(_xlpm._exists),"")
)</f>
        <v/>
      </c>
      <c r="L87" s="33" t="str" cm="1">
        <f t="array" aca="1" ref="L8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($E87=CLASSIFICATION[[Keyword Aggr]:[Keyword Aggr]])*($D87=CLASSIFICATION[[Functional Scope Aggr]:[Functional Scope Aggr]])),
_xlpm._platform_keywords, _xlfn.TEXTSPLIT(SUBSTITUTE(SUBSTITUTE(VLOOKUP($D87,_xlpm._platform_range,3,FALSE),"+"&amp;CHAR(34),"+"),CHAR(34),""),", "),
_xlpm._exists, SUMPRODUCT(--ISNUMBER(MATCH(_xlpm._platform_keywords,_xlpm._original_keywords,0)))&gt;0,
_xlfn.IFS(AND(_xlpm._exists,LEFT($E87,1)="+"),"+",_xlpm._exists,"*",NOT(_xlpm._exists),"")
)</f>
        <v>*</v>
      </c>
      <c r="M87" s="33" t="str" cm="1">
        <f t="array" aca="1" ref="M8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($E87=CLASSIFICATION[[Keyword Aggr]:[Keyword Aggr]])*($D87=CLASSIFICATION[[Functional Scope Aggr]:[Functional Scope Aggr]])),
_xlpm._platform_keywords, _xlfn.TEXTSPLIT(SUBSTITUTE(SUBSTITUTE(VLOOKUP($D87,_xlpm._platform_range,3,FALSE),"+"&amp;CHAR(34),"+"),CHAR(34),""),", "),
_xlpm._exists, SUMPRODUCT(--ISNUMBER(MATCH(_xlpm._platform_keywords,_xlpm._original_keywords,0)))&gt;0,
_xlfn.IFS(AND(_xlpm._exists,LEFT($E87,1)="+"),"+",_xlpm._exists,"*",NOT(_xlpm._exists),"")
)</f>
        <v/>
      </c>
      <c r="N87" s="33" t="str" cm="1">
        <f t="array" aca="1" ref="N8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($E87=CLASSIFICATION[[Keyword Aggr]:[Keyword Aggr]])*($D87=CLASSIFICATION[[Functional Scope Aggr]:[Functional Scope Aggr]])),
_xlpm._platform_keywords, _xlfn.TEXTSPLIT(SUBSTITUTE(SUBSTITUTE(VLOOKUP($D87,_xlpm._platform_range,3,FALSE),"+"&amp;CHAR(34),"+"),CHAR(34),""),", "),
_xlpm._exists, SUMPRODUCT(--ISNUMBER(MATCH(_xlpm._platform_keywords,_xlpm._original_keywords,0)))&gt;0,
_xlfn.IFS(AND(_xlpm._exists,LEFT($E87,1)="+"),"+",_xlpm._exists,"*",NOT(_xlpm._exists),"")
)</f>
        <v/>
      </c>
      <c r="O87" s="33" t="str" cm="1">
        <f t="array" aca="1" ref="O8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($E87=CLASSIFICATION[[Keyword Aggr]:[Keyword Aggr]])*($D87=CLASSIFICATION[[Functional Scope Aggr]:[Functional Scope Aggr]])),
_xlpm._platform_keywords, _xlfn.TEXTSPLIT(SUBSTITUTE(SUBSTITUTE(VLOOKUP($D87,_xlpm._platform_range,3,FALSE),"+"&amp;CHAR(34),"+"),CHAR(34),""),", "),
_xlpm._exists, SUMPRODUCT(--ISNUMBER(MATCH(_xlpm._platform_keywords,_xlpm._original_keywords,0)))&gt;0,
_xlfn.IFS(AND(_xlpm._exists,LEFT($E87,1)="+"),"+",_xlpm._exists,"*",NOT(_xlpm._exists),"")
)</f>
        <v/>
      </c>
      <c r="Q87" s="33" t="str" cm="1">
        <f t="array" aca="1" ref="Q8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($E87=CLASSIFICATION[[Keyword Aggr]:[Keyword Aggr]])*($D87=CLASSIFICATION[[Functional Scope Aggr]:[Functional Scope Aggr]])),
_xlpm._platform_keywords, _xlfn.TEXTSPLIT(SUBSTITUTE(SUBSTITUTE(VLOOKUP($D87,_xlpm._platform_range,3,FALSE),"+"&amp;CHAR(34),"+"),CHAR(34),""),", "),
_xlpm._exists, SUMPRODUCT(--ISNUMBER(MATCH(_xlpm._platform_keywords,_xlpm._original_keywords,0)))&gt;0,
_xlfn.IFS(_xlpm._exists,1,NOT(_xlpm._exists),"")
)</f>
        <v/>
      </c>
      <c r="R87" s="33" t="str" cm="1">
        <f t="array" aca="1" ref="R8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($E87=CLASSIFICATION[[Keyword Aggr]:[Keyword Aggr]])*($D87=CLASSIFICATION[[Functional Scope Aggr]:[Functional Scope Aggr]])),
_xlpm._platform_keywords, _xlfn.TEXTSPLIT(SUBSTITUTE(SUBSTITUTE(VLOOKUP($D87,_xlpm._platform_range,3,FALSE),"+"&amp;CHAR(34),"+"),CHAR(34),""),", "),
_xlpm._exists, SUMPRODUCT(--ISNUMBER(MATCH(_xlpm._platform_keywords,_xlpm._original_keywords,0)))&gt;0,
_xlfn.IFS(_xlpm._exists,1,NOT(_xlpm._exists),"")
)</f>
        <v/>
      </c>
      <c r="S87" s="33" cm="1">
        <f t="array" aca="1" ref="S8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($E87=CLASSIFICATION[[Keyword Aggr]:[Keyword Aggr]])*($D87=CLASSIFICATION[[Functional Scope Aggr]:[Functional Scope Aggr]])),
_xlpm._platform_keywords, _xlfn.TEXTSPLIT(SUBSTITUTE(SUBSTITUTE(VLOOKUP($D87,_xlpm._platform_range,3,FALSE),"+"&amp;CHAR(34),"+"),CHAR(34),""),", "),
_xlpm._exists, SUMPRODUCT(--ISNUMBER(MATCH(_xlpm._platform_keywords,_xlpm._original_keywords,0)))&gt;0,
_xlfn.IFS(_xlpm._exists,1,NOT(_xlpm._exists),"")
)</f>
        <v>1</v>
      </c>
      <c r="T87" s="33" t="str" cm="1">
        <f t="array" aca="1" ref="T8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($E87=CLASSIFICATION[[Keyword Aggr]:[Keyword Aggr]])*($D87=CLASSIFICATION[[Functional Scope Aggr]:[Functional Scope Aggr]])),
_xlpm._platform_keywords, _xlfn.TEXTSPLIT(SUBSTITUTE(SUBSTITUTE(VLOOKUP($D87,_xlpm._platform_range,3,FALSE),"+"&amp;CHAR(34),"+"),CHAR(34),""),", "),
_xlpm._exists, SUMPRODUCT(--ISNUMBER(MATCH(_xlpm._platform_keywords,_xlpm._original_keywords,0)))&gt;0,
_xlfn.IFS(_xlpm._exists,1,NOT(_xlpm._exists),"")
)</f>
        <v/>
      </c>
      <c r="U87" s="33" t="str" cm="1">
        <f t="array" aca="1" ref="U8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($E87=CLASSIFICATION[[Keyword Aggr]:[Keyword Aggr]])*($D87=CLASSIFICATION[[Functional Scope Aggr]:[Functional Scope Aggr]])),
_xlpm._platform_keywords, _xlfn.TEXTSPLIT(SUBSTITUTE(SUBSTITUTE(VLOOKUP($D87,_xlpm._platform_range,3,FALSE),"+"&amp;CHAR(34),"+"),CHAR(34),""),", "),
_xlpm._exists, SUMPRODUCT(--ISNUMBER(MATCH(_xlpm._platform_keywords,_xlpm._original_keywords,0)))&gt;0,
_xlfn.IFS(_xlpm._exists,1,NOT(_xlpm._exists),"")
)</f>
        <v/>
      </c>
      <c r="V87" s="33" t="str" cm="1">
        <f t="array" aca="1" ref="V8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($E87=CLASSIFICATION[[Keyword Aggr]:[Keyword Aggr]])*($D87=CLASSIFICATION[[Functional Scope Aggr]:[Functional Scope Aggr]])),
_xlpm._platform_keywords, _xlfn.TEXTSPLIT(SUBSTITUTE(SUBSTITUTE(VLOOKUP($D87,_xlpm._platform_range,3,FALSE),"+"&amp;CHAR(34),"+"),CHAR(34),""),", "),
_xlpm._exists, SUMPRODUCT(--ISNUMBER(MATCH(_xlpm._platform_keywords,_xlpm._original_keywords,0)))&gt;0,
_xlfn.IFS(_xlpm._exists,1,NOT(_xlpm._exists),"")
)</f>
        <v/>
      </c>
      <c r="X87" s="33" t="str">
        <f t="shared" si="14"/>
        <v/>
      </c>
      <c r="Y87" s="33" t="str">
        <f t="shared" si="15"/>
        <v/>
      </c>
      <c r="Z87" s="33" t="str">
        <f t="shared" si="16"/>
        <v/>
      </c>
      <c r="AA87" s="33" t="str">
        <f t="shared" si="17"/>
        <v/>
      </c>
      <c r="AB87" s="33" t="str">
        <f t="shared" si="18"/>
        <v/>
      </c>
      <c r="AC87" s="33" t="str">
        <f t="shared" si="19"/>
        <v/>
      </c>
    </row>
    <row r="88" spans="1:29" x14ac:dyDescent="0.25">
      <c r="A88" s="19" t="str">
        <v>Development,Fetching data,REST API</v>
      </c>
      <c r="B88" t="s">
        <v>377</v>
      </c>
      <c r="C88" s="19" t="str" cm="1">
        <f t="array" ref="C88:E88">_xlfn.TEXTSPLIT(A88,",")</f>
        <v>Development</v>
      </c>
      <c r="D88" s="19" t="str">
        <v>Fetching data</v>
      </c>
      <c r="E88" s="19" t="str">
        <v>REST API</v>
      </c>
      <c r="F88" s="36" t="str" cm="1">
        <f t="array" ref="F88">_xlfn.TEXTJOIN(",",TRUE,_xlfn._xlws.FILTER(CLASSIFICATION[Keyword], ($E88=CLASSIFICATION[Keyword Aggr])*($D88=CLASSIFICATION[Functional Scope Aggr])))</f>
        <v>REST API (Custom Connectors)</v>
      </c>
      <c r="G88" s="32" t="str">
        <f t="shared" si="11"/>
        <v/>
      </c>
      <c r="H88" s="32" t="str">
        <f t="shared" si="12"/>
        <v/>
      </c>
      <c r="I88" s="32" t="str">
        <f t="shared" si="13"/>
        <v>REST API</v>
      </c>
      <c r="J88" s="33" t="str" cm="1">
        <f t="array" aca="1" ref="J8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($E88=CLASSIFICATION[[Keyword Aggr]:[Keyword Aggr]])*($D88=CLASSIFICATION[[Functional Scope Aggr]:[Functional Scope Aggr]])),
_xlpm._platform_keywords, _xlfn.TEXTSPLIT(SUBSTITUTE(SUBSTITUTE(VLOOKUP($D88,_xlpm._platform_range,3,FALSE),"+"&amp;CHAR(34),"+"),CHAR(34),""),", "),
_xlpm._exists, SUMPRODUCT(--ISNUMBER(MATCH(_xlpm._platform_keywords,_xlpm._original_keywords,0)))&gt;0,
_xlfn.IFS(AND(_xlpm._exists,LEFT($E88,1)="+"),"+",_xlpm._exists,"*",NOT(_xlpm._exists),"")
)</f>
        <v/>
      </c>
      <c r="K88" s="33" t="str" cm="1">
        <f t="array" aca="1" ref="K8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($E88=CLASSIFICATION[[Keyword Aggr]:[Keyword Aggr]])*($D88=CLASSIFICATION[[Functional Scope Aggr]:[Functional Scope Aggr]])),
_xlpm._platform_keywords, _xlfn.TEXTSPLIT(SUBSTITUTE(SUBSTITUTE(VLOOKUP($D88,_xlpm._platform_range,3,FALSE),"+"&amp;CHAR(34),"+"),CHAR(34),""),", "),
_xlpm._exists, SUMPRODUCT(--ISNUMBER(MATCH(_xlpm._platform_keywords,_xlpm._original_keywords,0)))&gt;0,
_xlfn.IFS(AND(_xlpm._exists,LEFT($E88,1)="+"),"+",_xlpm._exists,"*",NOT(_xlpm._exists),"")
)</f>
        <v/>
      </c>
      <c r="L88" s="33" t="str" cm="1">
        <f t="array" aca="1" ref="L8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($E88=CLASSIFICATION[[Keyword Aggr]:[Keyword Aggr]])*($D88=CLASSIFICATION[[Functional Scope Aggr]:[Functional Scope Aggr]])),
_xlpm._platform_keywords, _xlfn.TEXTSPLIT(SUBSTITUTE(SUBSTITUTE(VLOOKUP($D88,_xlpm._platform_range,3,FALSE),"+"&amp;CHAR(34),"+"),CHAR(34),""),", "),
_xlpm._exists, SUMPRODUCT(--ISNUMBER(MATCH(_xlpm._platform_keywords,_xlpm._original_keywords,0)))&gt;0,
_xlfn.IFS(AND(_xlpm._exists,LEFT($E88,1)="+"),"+",_xlpm._exists,"*",NOT(_xlpm._exists),"")
)</f>
        <v>*</v>
      </c>
      <c r="M88" s="33" t="str" cm="1">
        <f t="array" aca="1" ref="M8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($E88=CLASSIFICATION[[Keyword Aggr]:[Keyword Aggr]])*($D88=CLASSIFICATION[[Functional Scope Aggr]:[Functional Scope Aggr]])),
_xlpm._platform_keywords, _xlfn.TEXTSPLIT(SUBSTITUTE(SUBSTITUTE(VLOOKUP($D88,_xlpm._platform_range,3,FALSE),"+"&amp;CHAR(34),"+"),CHAR(34),""),", "),
_xlpm._exists, SUMPRODUCT(--ISNUMBER(MATCH(_xlpm._platform_keywords,_xlpm._original_keywords,0)))&gt;0,
_xlfn.IFS(AND(_xlpm._exists,LEFT($E88,1)="+"),"+",_xlpm._exists,"*",NOT(_xlpm._exists),"")
)</f>
        <v/>
      </c>
      <c r="N88" s="33" t="str" cm="1">
        <f t="array" aca="1" ref="N8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($E88=CLASSIFICATION[[Keyword Aggr]:[Keyword Aggr]])*($D88=CLASSIFICATION[[Functional Scope Aggr]:[Functional Scope Aggr]])),
_xlpm._platform_keywords, _xlfn.TEXTSPLIT(SUBSTITUTE(SUBSTITUTE(VLOOKUP($D88,_xlpm._platform_range,3,FALSE),"+"&amp;CHAR(34),"+"),CHAR(34),""),", "),
_xlpm._exists, SUMPRODUCT(--ISNUMBER(MATCH(_xlpm._platform_keywords,_xlpm._original_keywords,0)))&gt;0,
_xlfn.IFS(AND(_xlpm._exists,LEFT($E88,1)="+"),"+",_xlpm._exists,"*",NOT(_xlpm._exists),"")
)</f>
        <v/>
      </c>
      <c r="O88" s="33" t="str" cm="1">
        <f t="array" aca="1" ref="O8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($E88=CLASSIFICATION[[Keyword Aggr]:[Keyword Aggr]])*($D88=CLASSIFICATION[[Functional Scope Aggr]:[Functional Scope Aggr]])),
_xlpm._platform_keywords, _xlfn.TEXTSPLIT(SUBSTITUTE(SUBSTITUTE(VLOOKUP($D88,_xlpm._platform_range,3,FALSE),"+"&amp;CHAR(34),"+"),CHAR(34),""),", "),
_xlpm._exists, SUMPRODUCT(--ISNUMBER(MATCH(_xlpm._platform_keywords,_xlpm._original_keywords,0)))&gt;0,
_xlfn.IFS(AND(_xlpm._exists,LEFT($E88,1)="+"),"+",_xlpm._exists,"*",NOT(_xlpm._exists),"")
)</f>
        <v/>
      </c>
      <c r="Q88" s="33" t="str" cm="1">
        <f t="array" aca="1" ref="Q8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($E88=CLASSIFICATION[[Keyword Aggr]:[Keyword Aggr]])*($D88=CLASSIFICATION[[Functional Scope Aggr]:[Functional Scope Aggr]])),
_xlpm._platform_keywords, _xlfn.TEXTSPLIT(SUBSTITUTE(SUBSTITUTE(VLOOKUP($D88,_xlpm._platform_range,3,FALSE),"+"&amp;CHAR(34),"+"),CHAR(34),""),", "),
_xlpm._exists, SUMPRODUCT(--ISNUMBER(MATCH(_xlpm._platform_keywords,_xlpm._original_keywords,0)))&gt;0,
_xlfn.IFS(_xlpm._exists,1,NOT(_xlpm._exists),"")
)</f>
        <v/>
      </c>
      <c r="R88" s="33" t="str" cm="1">
        <f t="array" aca="1" ref="R8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($E88=CLASSIFICATION[[Keyword Aggr]:[Keyword Aggr]])*($D88=CLASSIFICATION[[Functional Scope Aggr]:[Functional Scope Aggr]])),
_xlpm._platform_keywords, _xlfn.TEXTSPLIT(SUBSTITUTE(SUBSTITUTE(VLOOKUP($D88,_xlpm._platform_range,3,FALSE),"+"&amp;CHAR(34),"+"),CHAR(34),""),", "),
_xlpm._exists, SUMPRODUCT(--ISNUMBER(MATCH(_xlpm._platform_keywords,_xlpm._original_keywords,0)))&gt;0,
_xlfn.IFS(_xlpm._exists,1,NOT(_xlpm._exists),"")
)</f>
        <v/>
      </c>
      <c r="S88" s="33" cm="1">
        <f t="array" aca="1" ref="S8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($E88=CLASSIFICATION[[Keyword Aggr]:[Keyword Aggr]])*($D88=CLASSIFICATION[[Functional Scope Aggr]:[Functional Scope Aggr]])),
_xlpm._platform_keywords, _xlfn.TEXTSPLIT(SUBSTITUTE(SUBSTITUTE(VLOOKUP($D88,_xlpm._platform_range,3,FALSE),"+"&amp;CHAR(34),"+"),CHAR(34),""),", "),
_xlpm._exists, SUMPRODUCT(--ISNUMBER(MATCH(_xlpm._platform_keywords,_xlpm._original_keywords,0)))&gt;0,
_xlfn.IFS(_xlpm._exists,1,NOT(_xlpm._exists),"")
)</f>
        <v>1</v>
      </c>
      <c r="T88" s="33" t="str" cm="1">
        <f t="array" aca="1" ref="T8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($E88=CLASSIFICATION[[Keyword Aggr]:[Keyword Aggr]])*($D88=CLASSIFICATION[[Functional Scope Aggr]:[Functional Scope Aggr]])),
_xlpm._platform_keywords, _xlfn.TEXTSPLIT(SUBSTITUTE(SUBSTITUTE(VLOOKUP($D88,_xlpm._platform_range,3,FALSE),"+"&amp;CHAR(34),"+"),CHAR(34),""),", "),
_xlpm._exists, SUMPRODUCT(--ISNUMBER(MATCH(_xlpm._platform_keywords,_xlpm._original_keywords,0)))&gt;0,
_xlfn.IFS(_xlpm._exists,1,NOT(_xlpm._exists),"")
)</f>
        <v/>
      </c>
      <c r="U88" s="33" t="str" cm="1">
        <f t="array" aca="1" ref="U8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($E88=CLASSIFICATION[[Keyword Aggr]:[Keyword Aggr]])*($D88=CLASSIFICATION[[Functional Scope Aggr]:[Functional Scope Aggr]])),
_xlpm._platform_keywords, _xlfn.TEXTSPLIT(SUBSTITUTE(SUBSTITUTE(VLOOKUP($D88,_xlpm._platform_range,3,FALSE),"+"&amp;CHAR(34),"+"),CHAR(34),""),", "),
_xlpm._exists, SUMPRODUCT(--ISNUMBER(MATCH(_xlpm._platform_keywords,_xlpm._original_keywords,0)))&gt;0,
_xlfn.IFS(_xlpm._exists,1,NOT(_xlpm._exists),"")
)</f>
        <v/>
      </c>
      <c r="V88" s="33" t="str" cm="1">
        <f t="array" aca="1" ref="V8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($E88=CLASSIFICATION[[Keyword Aggr]:[Keyword Aggr]])*($D88=CLASSIFICATION[[Functional Scope Aggr]:[Functional Scope Aggr]])),
_xlpm._platform_keywords, _xlfn.TEXTSPLIT(SUBSTITUTE(SUBSTITUTE(VLOOKUP($D88,_xlpm._platform_range,3,FALSE),"+"&amp;CHAR(34),"+"),CHAR(34),""),", "),
_xlpm._exists, SUMPRODUCT(--ISNUMBER(MATCH(_xlpm._platform_keywords,_xlpm._original_keywords,0)))&gt;0,
_xlfn.IFS(_xlpm._exists,1,NOT(_xlpm._exists),"")
)</f>
        <v/>
      </c>
      <c r="X88" s="33" t="str">
        <f t="shared" si="14"/>
        <v/>
      </c>
      <c r="Y88" s="33" t="str">
        <f t="shared" si="15"/>
        <v/>
      </c>
      <c r="Z88" s="33" t="str">
        <f t="shared" si="16"/>
        <v/>
      </c>
      <c r="AA88" s="33" t="str">
        <f t="shared" si="17"/>
        <v/>
      </c>
      <c r="AB88" s="33" t="str">
        <f t="shared" si="18"/>
        <v/>
      </c>
      <c r="AC88" s="33" t="str">
        <f t="shared" si="19"/>
        <v/>
      </c>
    </row>
    <row r="89" spans="1:29" x14ac:dyDescent="0.25">
      <c r="A89" s="19" t="str">
        <v>Development,Fetching data,SDK</v>
      </c>
      <c r="B89" t="s">
        <v>377</v>
      </c>
      <c r="C89" s="19" t="str" cm="1">
        <f t="array" ref="C89:E89">_xlfn.TEXTSPLIT(A89,",")</f>
        <v>Development</v>
      </c>
      <c r="D89" s="19" t="str">
        <v>Fetching data</v>
      </c>
      <c r="E89" s="19" t="str">
        <v>SDK</v>
      </c>
      <c r="F89" s="36" t="str" cm="1">
        <f t="array" ref="F89">_xlfn.TEXTJOIN(",",TRUE,_xlfn._xlws.FILTER(CLASSIFICATION[Keyword], ($E89=CLASSIFICATION[Keyword Aggr])*($D89=CLASSIFICATION[Functional Scope Aggr])))</f>
        <v>SDK</v>
      </c>
      <c r="G89" s="32" t="str">
        <f t="shared" si="11"/>
        <v/>
      </c>
      <c r="H89" s="32" t="str">
        <f t="shared" si="12"/>
        <v/>
      </c>
      <c r="I89" s="32" t="str">
        <f t="shared" si="13"/>
        <v>SDK</v>
      </c>
      <c r="J89" s="33" t="str" cm="1">
        <f t="array" aca="1" ref="J8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($E89=CLASSIFICATION[[Keyword Aggr]:[Keyword Aggr]])*($D89=CLASSIFICATION[[Functional Scope Aggr]:[Functional Scope Aggr]])),
_xlpm._platform_keywords, _xlfn.TEXTSPLIT(SUBSTITUTE(SUBSTITUTE(VLOOKUP($D89,_xlpm._platform_range,3,FALSE),"+"&amp;CHAR(34),"+"),CHAR(34),""),", "),
_xlpm._exists, SUMPRODUCT(--ISNUMBER(MATCH(_xlpm._platform_keywords,_xlpm._original_keywords,0)))&gt;0,
_xlfn.IFS(AND(_xlpm._exists,LEFT($E89,1)="+"),"+",_xlpm._exists,"*",NOT(_xlpm._exists),"")
)</f>
        <v/>
      </c>
      <c r="K89" s="33" t="str" cm="1">
        <f t="array" aca="1" ref="K8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($E89=CLASSIFICATION[[Keyword Aggr]:[Keyword Aggr]])*($D89=CLASSIFICATION[[Functional Scope Aggr]:[Functional Scope Aggr]])),
_xlpm._platform_keywords, _xlfn.TEXTSPLIT(SUBSTITUTE(SUBSTITUTE(VLOOKUP($D89,_xlpm._platform_range,3,FALSE),"+"&amp;CHAR(34),"+"),CHAR(34),""),", "),
_xlpm._exists, SUMPRODUCT(--ISNUMBER(MATCH(_xlpm._platform_keywords,_xlpm._original_keywords,0)))&gt;0,
_xlfn.IFS(AND(_xlpm._exists,LEFT($E89,1)="+"),"+",_xlpm._exists,"*",NOT(_xlpm._exists),"")
)</f>
        <v/>
      </c>
      <c r="L89" s="33" t="str" cm="1">
        <f t="array" aca="1" ref="L8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($E89=CLASSIFICATION[[Keyword Aggr]:[Keyword Aggr]])*($D89=CLASSIFICATION[[Functional Scope Aggr]:[Functional Scope Aggr]])),
_xlpm._platform_keywords, _xlfn.TEXTSPLIT(SUBSTITUTE(SUBSTITUTE(VLOOKUP($D89,_xlpm._platform_range,3,FALSE),"+"&amp;CHAR(34),"+"),CHAR(34),""),", "),
_xlpm._exists, SUMPRODUCT(--ISNUMBER(MATCH(_xlpm._platform_keywords,_xlpm._original_keywords,0)))&gt;0,
_xlfn.IFS(AND(_xlpm._exists,LEFT($E89,1)="+"),"+",_xlpm._exists,"*",NOT(_xlpm._exists),"")
)</f>
        <v/>
      </c>
      <c r="M89" s="33" t="str" cm="1">
        <f t="array" aca="1" ref="M8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($E89=CLASSIFICATION[[Keyword Aggr]:[Keyword Aggr]])*($D89=CLASSIFICATION[[Functional Scope Aggr]:[Functional Scope Aggr]])),
_xlpm._platform_keywords, _xlfn.TEXTSPLIT(SUBSTITUTE(SUBSTITUTE(VLOOKUP($D89,_xlpm._platform_range,3,FALSE),"+"&amp;CHAR(34),"+"),CHAR(34),""),", "),
_xlpm._exists, SUMPRODUCT(--ISNUMBER(MATCH(_xlpm._platform_keywords,_xlpm._original_keywords,0)))&gt;0,
_xlfn.IFS(AND(_xlpm._exists,LEFT($E89,1)="+"),"+",_xlpm._exists,"*",NOT(_xlpm._exists),"")
)</f>
        <v>*</v>
      </c>
      <c r="N89" s="33" t="str" cm="1">
        <f t="array" aca="1" ref="N8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($E89=CLASSIFICATION[[Keyword Aggr]:[Keyword Aggr]])*($D89=CLASSIFICATION[[Functional Scope Aggr]:[Functional Scope Aggr]])),
_xlpm._platform_keywords, _xlfn.TEXTSPLIT(SUBSTITUTE(SUBSTITUTE(VLOOKUP($D89,_xlpm._platform_range,3,FALSE),"+"&amp;CHAR(34),"+"),CHAR(34),""),", "),
_xlpm._exists, SUMPRODUCT(--ISNUMBER(MATCH(_xlpm._platform_keywords,_xlpm._original_keywords,0)))&gt;0,
_xlfn.IFS(AND(_xlpm._exists,LEFT($E89,1)="+"),"+",_xlpm._exists,"*",NOT(_xlpm._exists),"")
)</f>
        <v/>
      </c>
      <c r="O89" s="33" t="str" cm="1">
        <f t="array" aca="1" ref="O8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($E89=CLASSIFICATION[[Keyword Aggr]:[Keyword Aggr]])*($D89=CLASSIFICATION[[Functional Scope Aggr]:[Functional Scope Aggr]])),
_xlpm._platform_keywords, _xlfn.TEXTSPLIT(SUBSTITUTE(SUBSTITUTE(VLOOKUP($D89,_xlpm._platform_range,3,FALSE),"+"&amp;CHAR(34),"+"),CHAR(34),""),", "),
_xlpm._exists, SUMPRODUCT(--ISNUMBER(MATCH(_xlpm._platform_keywords,_xlpm._original_keywords,0)))&gt;0,
_xlfn.IFS(AND(_xlpm._exists,LEFT($E89,1)="+"),"+",_xlpm._exists,"*",NOT(_xlpm._exists),"")
)</f>
        <v/>
      </c>
      <c r="Q89" s="33" t="str" cm="1">
        <f t="array" aca="1" ref="Q8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($E89=CLASSIFICATION[[Keyword Aggr]:[Keyword Aggr]])*($D89=CLASSIFICATION[[Functional Scope Aggr]:[Functional Scope Aggr]])),
_xlpm._platform_keywords, _xlfn.TEXTSPLIT(SUBSTITUTE(SUBSTITUTE(VLOOKUP($D89,_xlpm._platform_range,3,FALSE),"+"&amp;CHAR(34),"+"),CHAR(34),""),", "),
_xlpm._exists, SUMPRODUCT(--ISNUMBER(MATCH(_xlpm._platform_keywords,_xlpm._original_keywords,0)))&gt;0,
_xlfn.IFS(_xlpm._exists,1,NOT(_xlpm._exists),"")
)</f>
        <v/>
      </c>
      <c r="R89" s="33" t="str" cm="1">
        <f t="array" aca="1" ref="R8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($E89=CLASSIFICATION[[Keyword Aggr]:[Keyword Aggr]])*($D89=CLASSIFICATION[[Functional Scope Aggr]:[Functional Scope Aggr]])),
_xlpm._platform_keywords, _xlfn.TEXTSPLIT(SUBSTITUTE(SUBSTITUTE(VLOOKUP($D89,_xlpm._platform_range,3,FALSE),"+"&amp;CHAR(34),"+"),CHAR(34),""),", "),
_xlpm._exists, SUMPRODUCT(--ISNUMBER(MATCH(_xlpm._platform_keywords,_xlpm._original_keywords,0)))&gt;0,
_xlfn.IFS(_xlpm._exists,1,NOT(_xlpm._exists),"")
)</f>
        <v/>
      </c>
      <c r="S89" s="33" t="str" cm="1">
        <f t="array" aca="1" ref="S8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($E89=CLASSIFICATION[[Keyword Aggr]:[Keyword Aggr]])*($D89=CLASSIFICATION[[Functional Scope Aggr]:[Functional Scope Aggr]])),
_xlpm._platform_keywords, _xlfn.TEXTSPLIT(SUBSTITUTE(SUBSTITUTE(VLOOKUP($D89,_xlpm._platform_range,3,FALSE),"+"&amp;CHAR(34),"+"),CHAR(34),""),", "),
_xlpm._exists, SUMPRODUCT(--ISNUMBER(MATCH(_xlpm._platform_keywords,_xlpm._original_keywords,0)))&gt;0,
_xlfn.IFS(_xlpm._exists,1,NOT(_xlpm._exists),"")
)</f>
        <v/>
      </c>
      <c r="T89" s="33" cm="1">
        <f t="array" aca="1" ref="T8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($E89=CLASSIFICATION[[Keyword Aggr]:[Keyword Aggr]])*($D89=CLASSIFICATION[[Functional Scope Aggr]:[Functional Scope Aggr]])),
_xlpm._platform_keywords, _xlfn.TEXTSPLIT(SUBSTITUTE(SUBSTITUTE(VLOOKUP($D89,_xlpm._platform_range,3,FALSE),"+"&amp;CHAR(34),"+"),CHAR(34),""),", "),
_xlpm._exists, SUMPRODUCT(--ISNUMBER(MATCH(_xlpm._platform_keywords,_xlpm._original_keywords,0)))&gt;0,
_xlfn.IFS(_xlpm._exists,1,NOT(_xlpm._exists),"")
)</f>
        <v>1</v>
      </c>
      <c r="U89" s="33" t="str" cm="1">
        <f t="array" aca="1" ref="U8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($E89=CLASSIFICATION[[Keyword Aggr]:[Keyword Aggr]])*($D89=CLASSIFICATION[[Functional Scope Aggr]:[Functional Scope Aggr]])),
_xlpm._platform_keywords, _xlfn.TEXTSPLIT(SUBSTITUTE(SUBSTITUTE(VLOOKUP($D89,_xlpm._platform_range,3,FALSE),"+"&amp;CHAR(34),"+"),CHAR(34),""),", "),
_xlpm._exists, SUMPRODUCT(--ISNUMBER(MATCH(_xlpm._platform_keywords,_xlpm._original_keywords,0)))&gt;0,
_xlfn.IFS(_xlpm._exists,1,NOT(_xlpm._exists),"")
)</f>
        <v/>
      </c>
      <c r="V89" s="33" t="str" cm="1">
        <f t="array" aca="1" ref="V8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($E89=CLASSIFICATION[[Keyword Aggr]:[Keyword Aggr]])*($D89=CLASSIFICATION[[Functional Scope Aggr]:[Functional Scope Aggr]])),
_xlpm._platform_keywords, _xlfn.TEXTSPLIT(SUBSTITUTE(SUBSTITUTE(VLOOKUP($D89,_xlpm._platform_range,3,FALSE),"+"&amp;CHAR(34),"+"),CHAR(34),""),", "),
_xlpm._exists, SUMPRODUCT(--ISNUMBER(MATCH(_xlpm._platform_keywords,_xlpm._original_keywords,0)))&gt;0,
_xlfn.IFS(_xlpm._exists,1,NOT(_xlpm._exists),"")
)</f>
        <v/>
      </c>
      <c r="X89" s="33" t="str">
        <f t="shared" si="14"/>
        <v/>
      </c>
      <c r="Y89" s="33" t="str">
        <f t="shared" si="15"/>
        <v/>
      </c>
      <c r="Z89" s="33" t="str">
        <f t="shared" si="16"/>
        <v/>
      </c>
      <c r="AA89" s="33" t="str">
        <f t="shared" si="17"/>
        <v/>
      </c>
      <c r="AB89" s="33" t="str">
        <f t="shared" si="18"/>
        <v/>
      </c>
      <c r="AC89" s="33" t="str">
        <f t="shared" si="19"/>
        <v/>
      </c>
    </row>
    <row r="90" spans="1:29" x14ac:dyDescent="0.25">
      <c r="A90" s="19" t="str">
        <v>Development,Fetching data,SQL</v>
      </c>
      <c r="B90" t="s">
        <v>377</v>
      </c>
      <c r="C90" s="19" t="str" cm="1">
        <f t="array" ref="C90:E90">_xlfn.TEXTSPLIT(A90,",")</f>
        <v>Development</v>
      </c>
      <c r="D90" s="19" t="str">
        <v>Fetching data</v>
      </c>
      <c r="E90" s="19" t="str">
        <v>SQL</v>
      </c>
      <c r="F90" s="36" t="str" cm="1">
        <f t="array" ref="F90">_xlfn.TEXTJOIN(",",TRUE,_xlfn._xlws.FILTER(CLASSIFICATION[Keyword], ($E90=CLASSIFICATION[Keyword Aggr])*($D90=CLASSIFICATION[Functional Scope Aggr])))</f>
        <v>SQL (Azure SQL Database),SQL Databases. JDBC,SQL Queries</v>
      </c>
      <c r="G90" s="32" t="str">
        <f t="shared" si="11"/>
        <v/>
      </c>
      <c r="H90" s="32" t="str">
        <f t="shared" si="12"/>
        <v/>
      </c>
      <c r="I90" s="32" t="str">
        <f t="shared" si="13"/>
        <v>SQL</v>
      </c>
      <c r="J90" s="33" t="str" cm="1">
        <f t="array" aca="1" ref="J9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($E90=CLASSIFICATION[[Keyword Aggr]:[Keyword Aggr]])*($D90=CLASSIFICATION[[Functional Scope Aggr]:[Functional Scope Aggr]])),
_xlpm._platform_keywords, _xlfn.TEXTSPLIT(SUBSTITUTE(SUBSTITUTE(VLOOKUP($D90,_xlpm._platform_range,3,FALSE),"+"&amp;CHAR(34),"+"),CHAR(34),""),", "),
_xlpm._exists, SUMPRODUCT(--ISNUMBER(MATCH(_xlpm._platform_keywords,_xlpm._original_keywords,0)))&gt;0,
_xlfn.IFS(AND(_xlpm._exists,LEFT($E90,1)="+"),"+",_xlpm._exists,"*",NOT(_xlpm._exists),"")
)</f>
        <v/>
      </c>
      <c r="K90" s="33" t="str" cm="1">
        <f t="array" aca="1" ref="K9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($E90=CLASSIFICATION[[Keyword Aggr]:[Keyword Aggr]])*($D90=CLASSIFICATION[[Functional Scope Aggr]:[Functional Scope Aggr]])),
_xlpm._platform_keywords, _xlfn.TEXTSPLIT(SUBSTITUTE(SUBSTITUTE(VLOOKUP($D90,_xlpm._platform_range,3,FALSE),"+"&amp;CHAR(34),"+"),CHAR(34),""),", "),
_xlpm._exists, SUMPRODUCT(--ISNUMBER(MATCH(_xlpm._platform_keywords,_xlpm._original_keywords,0)))&gt;0,
_xlfn.IFS(AND(_xlpm._exists,LEFT($E90,1)="+"),"+",_xlpm._exists,"*",NOT(_xlpm._exists),"")
)</f>
        <v>*</v>
      </c>
      <c r="L90" s="33" t="str" cm="1">
        <f t="array" aca="1" ref="L9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($E90=CLASSIFICATION[[Keyword Aggr]:[Keyword Aggr]])*($D90=CLASSIFICATION[[Functional Scope Aggr]:[Functional Scope Aggr]])),
_xlpm._platform_keywords, _xlfn.TEXTSPLIT(SUBSTITUTE(SUBSTITUTE(VLOOKUP($D90,_xlpm._platform_range,3,FALSE),"+"&amp;CHAR(34),"+"),CHAR(34),""),", "),
_xlpm._exists, SUMPRODUCT(--ISNUMBER(MATCH(_xlpm._platform_keywords,_xlpm._original_keywords,0)))&gt;0,
_xlfn.IFS(AND(_xlpm._exists,LEFT($E90,1)="+"),"+",_xlpm._exists,"*",NOT(_xlpm._exists),"")
)</f>
        <v/>
      </c>
      <c r="M90" s="33" t="str" cm="1">
        <f t="array" aca="1" ref="M9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($E90=CLASSIFICATION[[Keyword Aggr]:[Keyword Aggr]])*($D90=CLASSIFICATION[[Functional Scope Aggr]:[Functional Scope Aggr]])),
_xlpm._platform_keywords, _xlfn.TEXTSPLIT(SUBSTITUTE(SUBSTITUTE(VLOOKUP($D90,_xlpm._platform_range,3,FALSE),"+"&amp;CHAR(34),"+"),CHAR(34),""),", "),
_xlpm._exists, SUMPRODUCT(--ISNUMBER(MATCH(_xlpm._platform_keywords,_xlpm._original_keywords,0)))&gt;0,
_xlfn.IFS(AND(_xlpm._exists,LEFT($E90,1)="+"),"+",_xlpm._exists,"*",NOT(_xlpm._exists),"")
)</f>
        <v>*</v>
      </c>
      <c r="N90" s="33" t="str" cm="1">
        <f t="array" aca="1" ref="N9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($E90=CLASSIFICATION[[Keyword Aggr]:[Keyword Aggr]])*($D90=CLASSIFICATION[[Functional Scope Aggr]:[Functional Scope Aggr]])),
_xlpm._platform_keywords, _xlfn.TEXTSPLIT(SUBSTITUTE(SUBSTITUTE(VLOOKUP($D90,_xlpm._platform_range,3,FALSE),"+"&amp;CHAR(34),"+"),CHAR(34),""),", "),
_xlpm._exists, SUMPRODUCT(--ISNUMBER(MATCH(_xlpm._platform_keywords,_xlpm._original_keywords,0)))&gt;0,
_xlfn.IFS(AND(_xlpm._exists,LEFT($E90,1)="+"),"+",_xlpm._exists,"*",NOT(_xlpm._exists),"")
)</f>
        <v>*</v>
      </c>
      <c r="O90" s="33" t="str" cm="1">
        <f t="array" aca="1" ref="O9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($E90=CLASSIFICATION[[Keyword Aggr]:[Keyword Aggr]])*($D90=CLASSIFICATION[[Functional Scope Aggr]:[Functional Scope Aggr]])),
_xlpm._platform_keywords, _xlfn.TEXTSPLIT(SUBSTITUTE(SUBSTITUTE(VLOOKUP($D90,_xlpm._platform_range,3,FALSE),"+"&amp;CHAR(34),"+"),CHAR(34),""),", "),
_xlpm._exists, SUMPRODUCT(--ISNUMBER(MATCH(_xlpm._platform_keywords,_xlpm._original_keywords,0)))&gt;0,
_xlfn.IFS(AND(_xlpm._exists,LEFT($E90,1)="+"),"+",_xlpm._exists,"*",NOT(_xlpm._exists),"")
)</f>
        <v/>
      </c>
      <c r="Q90" s="33" t="str" cm="1">
        <f t="array" aca="1" ref="Q9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($E90=CLASSIFICATION[[Keyword Aggr]:[Keyword Aggr]])*($D90=CLASSIFICATION[[Functional Scope Aggr]:[Functional Scope Aggr]])),
_xlpm._platform_keywords, _xlfn.TEXTSPLIT(SUBSTITUTE(SUBSTITUTE(VLOOKUP($D90,_xlpm._platform_range,3,FALSE),"+"&amp;CHAR(34),"+"),CHAR(34),""),", "),
_xlpm._exists, SUMPRODUCT(--ISNUMBER(MATCH(_xlpm._platform_keywords,_xlpm._original_keywords,0)))&gt;0,
_xlfn.IFS(_xlpm._exists,1,NOT(_xlpm._exists),"")
)</f>
        <v/>
      </c>
      <c r="R90" s="33" cm="1">
        <f t="array" aca="1" ref="R9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($E90=CLASSIFICATION[[Keyword Aggr]:[Keyword Aggr]])*($D90=CLASSIFICATION[[Functional Scope Aggr]:[Functional Scope Aggr]])),
_xlpm._platform_keywords, _xlfn.TEXTSPLIT(SUBSTITUTE(SUBSTITUTE(VLOOKUP($D90,_xlpm._platform_range,3,FALSE),"+"&amp;CHAR(34),"+"),CHAR(34),""),", "),
_xlpm._exists, SUMPRODUCT(--ISNUMBER(MATCH(_xlpm._platform_keywords,_xlpm._original_keywords,0)))&gt;0,
_xlfn.IFS(_xlpm._exists,1,NOT(_xlpm._exists),"")
)</f>
        <v>1</v>
      </c>
      <c r="S90" s="33" t="str" cm="1">
        <f t="array" aca="1" ref="S9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($E90=CLASSIFICATION[[Keyword Aggr]:[Keyword Aggr]])*($D90=CLASSIFICATION[[Functional Scope Aggr]:[Functional Scope Aggr]])),
_xlpm._platform_keywords, _xlfn.TEXTSPLIT(SUBSTITUTE(SUBSTITUTE(VLOOKUP($D90,_xlpm._platform_range,3,FALSE),"+"&amp;CHAR(34),"+"),CHAR(34),""),", "),
_xlpm._exists, SUMPRODUCT(--ISNUMBER(MATCH(_xlpm._platform_keywords,_xlpm._original_keywords,0)))&gt;0,
_xlfn.IFS(_xlpm._exists,1,NOT(_xlpm._exists),"")
)</f>
        <v/>
      </c>
      <c r="T90" s="33" cm="1">
        <f t="array" aca="1" ref="T9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($E90=CLASSIFICATION[[Keyword Aggr]:[Keyword Aggr]])*($D90=CLASSIFICATION[[Functional Scope Aggr]:[Functional Scope Aggr]])),
_xlpm._platform_keywords, _xlfn.TEXTSPLIT(SUBSTITUTE(SUBSTITUTE(VLOOKUP($D90,_xlpm._platform_range,3,FALSE),"+"&amp;CHAR(34),"+"),CHAR(34),""),", "),
_xlpm._exists, SUMPRODUCT(--ISNUMBER(MATCH(_xlpm._platform_keywords,_xlpm._original_keywords,0)))&gt;0,
_xlfn.IFS(_xlpm._exists,1,NOT(_xlpm._exists),"")
)</f>
        <v>1</v>
      </c>
      <c r="U90" s="33" cm="1">
        <f t="array" aca="1" ref="U9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($E90=CLASSIFICATION[[Keyword Aggr]:[Keyword Aggr]])*($D90=CLASSIFICATION[[Functional Scope Aggr]:[Functional Scope Aggr]])),
_xlpm._platform_keywords, _xlfn.TEXTSPLIT(SUBSTITUTE(SUBSTITUTE(VLOOKUP($D90,_xlpm._platform_range,3,FALSE),"+"&amp;CHAR(34),"+"),CHAR(34),""),", "),
_xlpm._exists, SUMPRODUCT(--ISNUMBER(MATCH(_xlpm._platform_keywords,_xlpm._original_keywords,0)))&gt;0,
_xlfn.IFS(_xlpm._exists,1,NOT(_xlpm._exists),"")
)</f>
        <v>1</v>
      </c>
      <c r="V90" s="33" t="str" cm="1">
        <f t="array" aca="1" ref="V9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($E90=CLASSIFICATION[[Keyword Aggr]:[Keyword Aggr]])*($D90=CLASSIFICATION[[Functional Scope Aggr]:[Functional Scope Aggr]])),
_xlpm._platform_keywords, _xlfn.TEXTSPLIT(SUBSTITUTE(SUBSTITUTE(VLOOKUP($D90,_xlpm._platform_range,3,FALSE),"+"&amp;CHAR(34),"+"),CHAR(34),""),", "),
_xlpm._exists, SUMPRODUCT(--ISNUMBER(MATCH(_xlpm._platform_keywords,_xlpm._original_keywords,0)))&gt;0,
_xlfn.IFS(_xlpm._exists,1,NOT(_xlpm._exists),"")
)</f>
        <v/>
      </c>
      <c r="X90" s="33" t="str">
        <f t="shared" si="14"/>
        <v/>
      </c>
      <c r="Y90" s="33" t="str">
        <f t="shared" si="15"/>
        <v/>
      </c>
      <c r="Z90" s="33" t="str">
        <f t="shared" si="16"/>
        <v/>
      </c>
      <c r="AA90" s="33" t="str">
        <f t="shared" si="17"/>
        <v/>
      </c>
      <c r="AB90" s="33" t="str">
        <f t="shared" si="18"/>
        <v/>
      </c>
      <c r="AC90" s="33" t="str">
        <f t="shared" si="19"/>
        <v/>
      </c>
    </row>
    <row r="91" spans="1:29" x14ac:dyDescent="0.25">
      <c r="A91" s="19" t="str">
        <v>Development,Fetching data,URL</v>
      </c>
      <c r="B91" t="s">
        <v>377</v>
      </c>
      <c r="C91" s="19" t="str" cm="1">
        <f t="array" ref="C91:E91">_xlfn.TEXTSPLIT(A91,",")</f>
        <v>Development</v>
      </c>
      <c r="D91" s="19" t="str">
        <v>Fetching data</v>
      </c>
      <c r="E91" s="19" t="str">
        <v>URL</v>
      </c>
      <c r="F91" s="36" t="str" cm="1">
        <f t="array" ref="F91">_xlfn.TEXTJOIN(",",TRUE,_xlfn._xlws.FILTER(CLASSIFICATION[Keyword], ($E91=CLASSIFICATION[Keyword Aggr])*($D91=CLASSIFICATION[Functional Scope Aggr])))</f>
        <v>URL</v>
      </c>
      <c r="G91" s="32" t="str">
        <f t="shared" si="11"/>
        <v/>
      </c>
      <c r="H91" s="32" t="str">
        <f t="shared" si="12"/>
        <v/>
      </c>
      <c r="I91" s="32" t="str">
        <f t="shared" si="13"/>
        <v>URL</v>
      </c>
      <c r="J91" s="33" t="str" cm="1">
        <f t="array" aca="1" ref="J9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($E91=CLASSIFICATION[[Keyword Aggr]:[Keyword Aggr]])*($D91=CLASSIFICATION[[Functional Scope Aggr]:[Functional Scope Aggr]])),
_xlpm._platform_keywords, _xlfn.TEXTSPLIT(SUBSTITUTE(SUBSTITUTE(VLOOKUP($D91,_xlpm._platform_range,3,FALSE),"+"&amp;CHAR(34),"+"),CHAR(34),""),", "),
_xlpm._exists, SUMPRODUCT(--ISNUMBER(MATCH(_xlpm._platform_keywords,_xlpm._original_keywords,0)))&gt;0,
_xlfn.IFS(AND(_xlpm._exists,LEFT($E91,1)="+"),"+",_xlpm._exists,"*",NOT(_xlpm._exists),"")
)</f>
        <v/>
      </c>
      <c r="K91" s="33" t="str" cm="1">
        <f t="array" aca="1" ref="K9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($E91=CLASSIFICATION[[Keyword Aggr]:[Keyword Aggr]])*($D91=CLASSIFICATION[[Functional Scope Aggr]:[Functional Scope Aggr]])),
_xlpm._platform_keywords, _xlfn.TEXTSPLIT(SUBSTITUTE(SUBSTITUTE(VLOOKUP($D91,_xlpm._platform_range,3,FALSE),"+"&amp;CHAR(34),"+"),CHAR(34),""),", "),
_xlpm._exists, SUMPRODUCT(--ISNUMBER(MATCH(_xlpm._platform_keywords,_xlpm._original_keywords,0)))&gt;0,
_xlfn.IFS(AND(_xlpm._exists,LEFT($E91,1)="+"),"+",_xlpm._exists,"*",NOT(_xlpm._exists),"")
)</f>
        <v/>
      </c>
      <c r="L91" s="33" t="str" cm="1">
        <f t="array" aca="1" ref="L9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($E91=CLASSIFICATION[[Keyword Aggr]:[Keyword Aggr]])*($D91=CLASSIFICATION[[Functional Scope Aggr]:[Functional Scope Aggr]])),
_xlpm._platform_keywords, _xlfn.TEXTSPLIT(SUBSTITUTE(SUBSTITUTE(VLOOKUP($D91,_xlpm._platform_range,3,FALSE),"+"&amp;CHAR(34),"+"),CHAR(34),""),", "),
_xlpm._exists, SUMPRODUCT(--ISNUMBER(MATCH(_xlpm._platform_keywords,_xlpm._original_keywords,0)))&gt;0,
_xlfn.IFS(AND(_xlpm._exists,LEFT($E91,1)="+"),"+",_xlpm._exists,"*",NOT(_xlpm._exists),"")
)</f>
        <v>*</v>
      </c>
      <c r="M91" s="33" t="str" cm="1">
        <f t="array" aca="1" ref="M9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($E91=CLASSIFICATION[[Keyword Aggr]:[Keyword Aggr]])*($D91=CLASSIFICATION[[Functional Scope Aggr]:[Functional Scope Aggr]])),
_xlpm._platform_keywords, _xlfn.TEXTSPLIT(SUBSTITUTE(SUBSTITUTE(VLOOKUP($D91,_xlpm._platform_range,3,FALSE),"+"&amp;CHAR(34),"+"),CHAR(34),""),", "),
_xlpm._exists, SUMPRODUCT(--ISNUMBER(MATCH(_xlpm._platform_keywords,_xlpm._original_keywords,0)))&gt;0,
_xlfn.IFS(AND(_xlpm._exists,LEFT($E91,1)="+"),"+",_xlpm._exists,"*",NOT(_xlpm._exists),"")
)</f>
        <v/>
      </c>
      <c r="N91" s="33" t="str" cm="1">
        <f t="array" aca="1" ref="N9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($E91=CLASSIFICATION[[Keyword Aggr]:[Keyword Aggr]])*($D91=CLASSIFICATION[[Functional Scope Aggr]:[Functional Scope Aggr]])),
_xlpm._platform_keywords, _xlfn.TEXTSPLIT(SUBSTITUTE(SUBSTITUTE(VLOOKUP($D91,_xlpm._platform_range,3,FALSE),"+"&amp;CHAR(34),"+"),CHAR(34),""),", "),
_xlpm._exists, SUMPRODUCT(--ISNUMBER(MATCH(_xlpm._platform_keywords,_xlpm._original_keywords,0)))&gt;0,
_xlfn.IFS(AND(_xlpm._exists,LEFT($E91,1)="+"),"+",_xlpm._exists,"*",NOT(_xlpm._exists),"")
)</f>
        <v/>
      </c>
      <c r="O91" s="33" t="str" cm="1">
        <f t="array" aca="1" ref="O9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($E91=CLASSIFICATION[[Keyword Aggr]:[Keyword Aggr]])*($D91=CLASSIFICATION[[Functional Scope Aggr]:[Functional Scope Aggr]])),
_xlpm._platform_keywords, _xlfn.TEXTSPLIT(SUBSTITUTE(SUBSTITUTE(VLOOKUP($D91,_xlpm._platform_range,3,FALSE),"+"&amp;CHAR(34),"+"),CHAR(34),""),", "),
_xlpm._exists, SUMPRODUCT(--ISNUMBER(MATCH(_xlpm._platform_keywords,_xlpm._original_keywords,0)))&gt;0,
_xlfn.IFS(AND(_xlpm._exists,LEFT($E91,1)="+"),"+",_xlpm._exists,"*",NOT(_xlpm._exists),"")
)</f>
        <v/>
      </c>
      <c r="Q91" s="33" t="str" cm="1">
        <f t="array" aca="1" ref="Q9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($E91=CLASSIFICATION[[Keyword Aggr]:[Keyword Aggr]])*($D91=CLASSIFICATION[[Functional Scope Aggr]:[Functional Scope Aggr]])),
_xlpm._platform_keywords, _xlfn.TEXTSPLIT(SUBSTITUTE(SUBSTITUTE(VLOOKUP($D91,_xlpm._platform_range,3,FALSE),"+"&amp;CHAR(34),"+"),CHAR(34),""),", "),
_xlpm._exists, SUMPRODUCT(--ISNUMBER(MATCH(_xlpm._platform_keywords,_xlpm._original_keywords,0)))&gt;0,
_xlfn.IFS(_xlpm._exists,1,NOT(_xlpm._exists),"")
)</f>
        <v/>
      </c>
      <c r="R91" s="33" t="str" cm="1">
        <f t="array" aca="1" ref="R9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($E91=CLASSIFICATION[[Keyword Aggr]:[Keyword Aggr]])*($D91=CLASSIFICATION[[Functional Scope Aggr]:[Functional Scope Aggr]])),
_xlpm._platform_keywords, _xlfn.TEXTSPLIT(SUBSTITUTE(SUBSTITUTE(VLOOKUP($D91,_xlpm._platform_range,3,FALSE),"+"&amp;CHAR(34),"+"),CHAR(34),""),", "),
_xlpm._exists, SUMPRODUCT(--ISNUMBER(MATCH(_xlpm._platform_keywords,_xlpm._original_keywords,0)))&gt;0,
_xlfn.IFS(_xlpm._exists,1,NOT(_xlpm._exists),"")
)</f>
        <v/>
      </c>
      <c r="S91" s="33" cm="1">
        <f t="array" aca="1" ref="S9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($E91=CLASSIFICATION[[Keyword Aggr]:[Keyword Aggr]])*($D91=CLASSIFICATION[[Functional Scope Aggr]:[Functional Scope Aggr]])),
_xlpm._platform_keywords, _xlfn.TEXTSPLIT(SUBSTITUTE(SUBSTITUTE(VLOOKUP($D91,_xlpm._platform_range,3,FALSE),"+"&amp;CHAR(34),"+"),CHAR(34),""),", "),
_xlpm._exists, SUMPRODUCT(--ISNUMBER(MATCH(_xlpm._platform_keywords,_xlpm._original_keywords,0)))&gt;0,
_xlfn.IFS(_xlpm._exists,1,NOT(_xlpm._exists),"")
)</f>
        <v>1</v>
      </c>
      <c r="T91" s="33" t="str" cm="1">
        <f t="array" aca="1" ref="T9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($E91=CLASSIFICATION[[Keyword Aggr]:[Keyword Aggr]])*($D91=CLASSIFICATION[[Functional Scope Aggr]:[Functional Scope Aggr]])),
_xlpm._platform_keywords, _xlfn.TEXTSPLIT(SUBSTITUTE(SUBSTITUTE(VLOOKUP($D91,_xlpm._platform_range,3,FALSE),"+"&amp;CHAR(34),"+"),CHAR(34),""),", "),
_xlpm._exists, SUMPRODUCT(--ISNUMBER(MATCH(_xlpm._platform_keywords,_xlpm._original_keywords,0)))&gt;0,
_xlfn.IFS(_xlpm._exists,1,NOT(_xlpm._exists),"")
)</f>
        <v/>
      </c>
      <c r="U91" s="33" t="str" cm="1">
        <f t="array" aca="1" ref="U9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($E91=CLASSIFICATION[[Keyword Aggr]:[Keyword Aggr]])*($D91=CLASSIFICATION[[Functional Scope Aggr]:[Functional Scope Aggr]])),
_xlpm._platform_keywords, _xlfn.TEXTSPLIT(SUBSTITUTE(SUBSTITUTE(VLOOKUP($D91,_xlpm._platform_range,3,FALSE),"+"&amp;CHAR(34),"+"),CHAR(34),""),", "),
_xlpm._exists, SUMPRODUCT(--ISNUMBER(MATCH(_xlpm._platform_keywords,_xlpm._original_keywords,0)))&gt;0,
_xlfn.IFS(_xlpm._exists,1,NOT(_xlpm._exists),"")
)</f>
        <v/>
      </c>
      <c r="V91" s="33" t="str" cm="1">
        <f t="array" aca="1" ref="V9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($E91=CLASSIFICATION[[Keyword Aggr]:[Keyword Aggr]])*($D91=CLASSIFICATION[[Functional Scope Aggr]:[Functional Scope Aggr]])),
_xlpm._platform_keywords, _xlfn.TEXTSPLIT(SUBSTITUTE(SUBSTITUTE(VLOOKUP($D91,_xlpm._platform_range,3,FALSE),"+"&amp;CHAR(34),"+"),CHAR(34),""),", "),
_xlpm._exists, SUMPRODUCT(--ISNUMBER(MATCH(_xlpm._platform_keywords,_xlpm._original_keywords,0)))&gt;0,
_xlfn.IFS(_xlpm._exists,1,NOT(_xlpm._exists),"")
)</f>
        <v/>
      </c>
      <c r="X91" s="33" t="str">
        <f t="shared" si="14"/>
        <v/>
      </c>
      <c r="Y91" s="33" t="str">
        <f t="shared" si="15"/>
        <v/>
      </c>
      <c r="Z91" s="33" t="str">
        <f t="shared" si="16"/>
        <v/>
      </c>
      <c r="AA91" s="33" t="str">
        <f t="shared" si="17"/>
        <v/>
      </c>
      <c r="AB91" s="33" t="str">
        <f t="shared" si="18"/>
        <v/>
      </c>
      <c r="AC91" s="33" t="str">
        <f t="shared" si="19"/>
        <v/>
      </c>
    </row>
    <row r="92" spans="1:29" x14ac:dyDescent="0.25">
      <c r="A92" s="19" t="str">
        <v>Development,Fetching data,Web API</v>
      </c>
      <c r="B92" t="s">
        <v>377</v>
      </c>
      <c r="C92" s="19" t="str" cm="1">
        <f t="array" ref="C92:E92">_xlfn.TEXTSPLIT(A92,",")</f>
        <v>Development</v>
      </c>
      <c r="D92" s="19" t="str">
        <v>Fetching data</v>
      </c>
      <c r="E92" s="19" t="str">
        <v>Web API</v>
      </c>
      <c r="F92" s="36" t="str" cm="1">
        <f t="array" ref="F92">_xlfn.TEXTJOIN(",",TRUE,_xlfn._xlws.FILTER(CLASSIFICATION[Keyword], ($E92=CLASSIFICATION[Keyword Aggr])*($D92=CLASSIFICATION[Functional Scope Aggr])))</f>
        <v>Web API,Web API (Microsoft Dataverse)</v>
      </c>
      <c r="G92" s="32" t="str">
        <f t="shared" si="11"/>
        <v/>
      </c>
      <c r="H92" s="32" t="str">
        <f t="shared" si="12"/>
        <v/>
      </c>
      <c r="I92" s="32" t="str">
        <f t="shared" si="13"/>
        <v>Web API</v>
      </c>
      <c r="J92" s="33" t="str" cm="1">
        <f t="array" aca="1" ref="J9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($E92=CLASSIFICATION[[Keyword Aggr]:[Keyword Aggr]])*($D92=CLASSIFICATION[[Functional Scope Aggr]:[Functional Scope Aggr]])),
_xlpm._platform_keywords, _xlfn.TEXTSPLIT(SUBSTITUTE(SUBSTITUTE(VLOOKUP($D92,_xlpm._platform_range,3,FALSE),"+"&amp;CHAR(34),"+"),CHAR(34),""),", "),
_xlpm._exists, SUMPRODUCT(--ISNUMBER(MATCH(_xlpm._platform_keywords,_xlpm._original_keywords,0)))&gt;0,
_xlfn.IFS(AND(_xlpm._exists,LEFT($E92,1)="+"),"+",_xlpm._exists,"*",NOT(_xlpm._exists),"")
)</f>
        <v/>
      </c>
      <c r="K92" s="33" t="str" cm="1">
        <f t="array" aca="1" ref="K9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($E92=CLASSIFICATION[[Keyword Aggr]:[Keyword Aggr]])*($D92=CLASSIFICATION[[Functional Scope Aggr]:[Functional Scope Aggr]])),
_xlpm._platform_keywords, _xlfn.TEXTSPLIT(SUBSTITUTE(SUBSTITUTE(VLOOKUP($D92,_xlpm._platform_range,3,FALSE),"+"&amp;CHAR(34),"+"),CHAR(34),""),", "),
_xlpm._exists, SUMPRODUCT(--ISNUMBER(MATCH(_xlpm._platform_keywords,_xlpm._original_keywords,0)))&gt;0,
_xlfn.IFS(AND(_xlpm._exists,LEFT($E92,1)="+"),"+",_xlpm._exists,"*",NOT(_xlpm._exists),"")
)</f>
        <v/>
      </c>
      <c r="L92" s="33" t="str" cm="1">
        <f t="array" aca="1" ref="L9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($E92=CLASSIFICATION[[Keyword Aggr]:[Keyword Aggr]])*($D92=CLASSIFICATION[[Functional Scope Aggr]:[Functional Scope Aggr]])),
_xlpm._platform_keywords, _xlfn.TEXTSPLIT(SUBSTITUTE(SUBSTITUTE(VLOOKUP($D92,_xlpm._platform_range,3,FALSE),"+"&amp;CHAR(34),"+"),CHAR(34),""),", "),
_xlpm._exists, SUMPRODUCT(--ISNUMBER(MATCH(_xlpm._platform_keywords,_xlpm._original_keywords,0)))&gt;0,
_xlfn.IFS(AND(_xlpm._exists,LEFT($E92,1)="+"),"+",_xlpm._exists,"*",NOT(_xlpm._exists),"")
)</f>
        <v/>
      </c>
      <c r="M92" s="33" t="str" cm="1">
        <f t="array" aca="1" ref="M9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($E92=CLASSIFICATION[[Keyword Aggr]:[Keyword Aggr]])*($D92=CLASSIFICATION[[Functional Scope Aggr]:[Functional Scope Aggr]])),
_xlpm._platform_keywords, _xlfn.TEXTSPLIT(SUBSTITUTE(SUBSTITUTE(VLOOKUP($D92,_xlpm._platform_range,3,FALSE),"+"&amp;CHAR(34),"+"),CHAR(34),""),", "),
_xlpm._exists, SUMPRODUCT(--ISNUMBER(MATCH(_xlpm._platform_keywords,_xlpm._original_keywords,0)))&gt;0,
_xlfn.IFS(AND(_xlpm._exists,LEFT($E92,1)="+"),"+",_xlpm._exists,"*",NOT(_xlpm._exists),"")
)</f>
        <v>*</v>
      </c>
      <c r="N92" s="33" t="str" cm="1">
        <f t="array" aca="1" ref="N9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($E92=CLASSIFICATION[[Keyword Aggr]:[Keyword Aggr]])*($D92=CLASSIFICATION[[Functional Scope Aggr]:[Functional Scope Aggr]])),
_xlpm._platform_keywords, _xlfn.TEXTSPLIT(SUBSTITUTE(SUBSTITUTE(VLOOKUP($D92,_xlpm._platform_range,3,FALSE),"+"&amp;CHAR(34),"+"),CHAR(34),""),", "),
_xlpm._exists, SUMPRODUCT(--ISNUMBER(MATCH(_xlpm._platform_keywords,_xlpm._original_keywords,0)))&gt;0,
_xlfn.IFS(AND(_xlpm._exists,LEFT($E92,1)="+"),"+",_xlpm._exists,"*",NOT(_xlpm._exists),"")
)</f>
        <v>*</v>
      </c>
      <c r="O92" s="33" t="str" cm="1">
        <f t="array" aca="1" ref="O9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($E92=CLASSIFICATION[[Keyword Aggr]:[Keyword Aggr]])*($D92=CLASSIFICATION[[Functional Scope Aggr]:[Functional Scope Aggr]])),
_xlpm._platform_keywords, _xlfn.TEXTSPLIT(SUBSTITUTE(SUBSTITUTE(VLOOKUP($D92,_xlpm._platform_range,3,FALSE),"+"&amp;CHAR(34),"+"),CHAR(34),""),", "),
_xlpm._exists, SUMPRODUCT(--ISNUMBER(MATCH(_xlpm._platform_keywords,_xlpm._original_keywords,0)))&gt;0,
_xlfn.IFS(AND(_xlpm._exists,LEFT($E92,1)="+"),"+",_xlpm._exists,"*",NOT(_xlpm._exists),"")
)</f>
        <v/>
      </c>
      <c r="Q92" s="33" t="str" cm="1">
        <f t="array" aca="1" ref="Q9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($E92=CLASSIFICATION[[Keyword Aggr]:[Keyword Aggr]])*($D92=CLASSIFICATION[[Functional Scope Aggr]:[Functional Scope Aggr]])),
_xlpm._platform_keywords, _xlfn.TEXTSPLIT(SUBSTITUTE(SUBSTITUTE(VLOOKUP($D92,_xlpm._platform_range,3,FALSE),"+"&amp;CHAR(34),"+"),CHAR(34),""),", "),
_xlpm._exists, SUMPRODUCT(--ISNUMBER(MATCH(_xlpm._platform_keywords,_xlpm._original_keywords,0)))&gt;0,
_xlfn.IFS(_xlpm._exists,1,NOT(_xlpm._exists),"")
)</f>
        <v/>
      </c>
      <c r="R92" s="33" t="str" cm="1">
        <f t="array" aca="1" ref="R9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($E92=CLASSIFICATION[[Keyword Aggr]:[Keyword Aggr]])*($D92=CLASSIFICATION[[Functional Scope Aggr]:[Functional Scope Aggr]])),
_xlpm._platform_keywords, _xlfn.TEXTSPLIT(SUBSTITUTE(SUBSTITUTE(VLOOKUP($D92,_xlpm._platform_range,3,FALSE),"+"&amp;CHAR(34),"+"),CHAR(34),""),", "),
_xlpm._exists, SUMPRODUCT(--ISNUMBER(MATCH(_xlpm._platform_keywords,_xlpm._original_keywords,0)))&gt;0,
_xlfn.IFS(_xlpm._exists,1,NOT(_xlpm._exists),"")
)</f>
        <v/>
      </c>
      <c r="S92" s="33" t="str" cm="1">
        <f t="array" aca="1" ref="S9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($E92=CLASSIFICATION[[Keyword Aggr]:[Keyword Aggr]])*($D92=CLASSIFICATION[[Functional Scope Aggr]:[Functional Scope Aggr]])),
_xlpm._platform_keywords, _xlfn.TEXTSPLIT(SUBSTITUTE(SUBSTITUTE(VLOOKUP($D92,_xlpm._platform_range,3,FALSE),"+"&amp;CHAR(34),"+"),CHAR(34),""),", "),
_xlpm._exists, SUMPRODUCT(--ISNUMBER(MATCH(_xlpm._platform_keywords,_xlpm._original_keywords,0)))&gt;0,
_xlfn.IFS(_xlpm._exists,1,NOT(_xlpm._exists),"")
)</f>
        <v/>
      </c>
      <c r="T92" s="33" cm="1">
        <f t="array" aca="1" ref="T9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($E92=CLASSIFICATION[[Keyword Aggr]:[Keyword Aggr]])*($D92=CLASSIFICATION[[Functional Scope Aggr]:[Functional Scope Aggr]])),
_xlpm._platform_keywords, _xlfn.TEXTSPLIT(SUBSTITUTE(SUBSTITUTE(VLOOKUP($D92,_xlpm._platform_range,3,FALSE),"+"&amp;CHAR(34),"+"),CHAR(34),""),", "),
_xlpm._exists, SUMPRODUCT(--ISNUMBER(MATCH(_xlpm._platform_keywords,_xlpm._original_keywords,0)))&gt;0,
_xlfn.IFS(_xlpm._exists,1,NOT(_xlpm._exists),"")
)</f>
        <v>1</v>
      </c>
      <c r="U92" s="33" cm="1">
        <f t="array" aca="1" ref="U9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($E92=CLASSIFICATION[[Keyword Aggr]:[Keyword Aggr]])*($D92=CLASSIFICATION[[Functional Scope Aggr]:[Functional Scope Aggr]])),
_xlpm._platform_keywords, _xlfn.TEXTSPLIT(SUBSTITUTE(SUBSTITUTE(VLOOKUP($D92,_xlpm._platform_range,3,FALSE),"+"&amp;CHAR(34),"+"),CHAR(34),""),", "),
_xlpm._exists, SUMPRODUCT(--ISNUMBER(MATCH(_xlpm._platform_keywords,_xlpm._original_keywords,0)))&gt;0,
_xlfn.IFS(_xlpm._exists,1,NOT(_xlpm._exists),"")
)</f>
        <v>1</v>
      </c>
      <c r="V92" s="33" t="str" cm="1">
        <f t="array" aca="1" ref="V9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($E92=CLASSIFICATION[[Keyword Aggr]:[Keyword Aggr]])*($D92=CLASSIFICATION[[Functional Scope Aggr]:[Functional Scope Aggr]])),
_xlpm._platform_keywords, _xlfn.TEXTSPLIT(SUBSTITUTE(SUBSTITUTE(VLOOKUP($D92,_xlpm._platform_range,3,FALSE),"+"&amp;CHAR(34),"+"),CHAR(34),""),", "),
_xlpm._exists, SUMPRODUCT(--ISNUMBER(MATCH(_xlpm._platform_keywords,_xlpm._original_keywords,0)))&gt;0,
_xlfn.IFS(_xlpm._exists,1,NOT(_xlpm._exists),"")
)</f>
        <v/>
      </c>
      <c r="X92" s="33" t="str">
        <f t="shared" si="14"/>
        <v/>
      </c>
      <c r="Y92" s="33" t="str">
        <f t="shared" si="15"/>
        <v/>
      </c>
      <c r="Z92" s="33" t="str">
        <f t="shared" si="16"/>
        <v/>
      </c>
      <c r="AA92" s="33" t="str">
        <f t="shared" si="17"/>
        <v/>
      </c>
      <c r="AB92" s="33" t="str">
        <f t="shared" si="18"/>
        <v/>
      </c>
      <c r="AC92" s="33" t="str">
        <f t="shared" si="19"/>
        <v/>
      </c>
    </row>
    <row r="93" spans="1:29" x14ac:dyDescent="0.25">
      <c r="A93" s="19" t="str">
        <v>Development,GUI design and development,+AI Support</v>
      </c>
      <c r="B93" t="s">
        <v>377</v>
      </c>
      <c r="C93" s="19" t="str" cm="1">
        <f t="array" ref="C93:E93">_xlfn.TEXTSPLIT(A93,",")</f>
        <v>Development</v>
      </c>
      <c r="D93" s="19" t="str">
        <v>GUI design and development</v>
      </c>
      <c r="E93" s="19" t="str">
        <v>+AI Support</v>
      </c>
      <c r="F93" s="36" t="str" cm="1">
        <f t="array" ref="F93">_xlfn.TEXTJOIN(",",TRUE,_xlfn._xlws.FILTER(CLASSIFICATION[Keyword], ($E93=CLASSIFICATION[Keyword Aggr])*($D93=CLASSIFICATION[Functional Scope Aggr])))</f>
        <v>+AI Support (Copilot - Build apps through conversation)</v>
      </c>
      <c r="G93" s="32" t="str">
        <f t="shared" si="11"/>
        <v/>
      </c>
      <c r="H93" s="32" t="str">
        <f t="shared" si="12"/>
        <v>GUI design and development</v>
      </c>
      <c r="I93" s="32" t="str">
        <f t="shared" si="13"/>
        <v>+AI Support</v>
      </c>
      <c r="J93" s="33" t="str" cm="1">
        <f t="array" aca="1" ref="J9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($E93=CLASSIFICATION[[Keyword Aggr]:[Keyword Aggr]])*($D93=CLASSIFICATION[[Functional Scope Aggr]:[Functional Scope Aggr]])),
_xlpm._platform_keywords, _xlfn.TEXTSPLIT(SUBSTITUTE(SUBSTITUTE(VLOOKUP($D93,_xlpm._platform_range,3,FALSE),"+"&amp;CHAR(34),"+"),CHAR(34),""),", "),
_xlpm._exists, SUMPRODUCT(--ISNUMBER(MATCH(_xlpm._platform_keywords,_xlpm._original_keywords,0)))&gt;0,
_xlfn.IFS(AND(_xlpm._exists,LEFT($E93,1)="+"),"+",_xlpm._exists,"*",NOT(_xlpm._exists),"")
)</f>
        <v/>
      </c>
      <c r="K93" s="33" t="str" cm="1">
        <f t="array" aca="1" ref="K9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($E93=CLASSIFICATION[[Keyword Aggr]:[Keyword Aggr]])*($D93=CLASSIFICATION[[Functional Scope Aggr]:[Functional Scope Aggr]])),
_xlpm._platform_keywords, _xlfn.TEXTSPLIT(SUBSTITUTE(SUBSTITUTE(VLOOKUP($D93,_xlpm._platform_range,3,FALSE),"+"&amp;CHAR(34),"+"),CHAR(34),""),", "),
_xlpm._exists, SUMPRODUCT(--ISNUMBER(MATCH(_xlpm._platform_keywords,_xlpm._original_keywords,0)))&gt;0,
_xlfn.IFS(AND(_xlpm._exists,LEFT($E93,1)="+"),"+",_xlpm._exists,"*",NOT(_xlpm._exists),"")
)</f>
        <v/>
      </c>
      <c r="L93" s="33" t="str" cm="1">
        <f t="array" aca="1" ref="L9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($E93=CLASSIFICATION[[Keyword Aggr]:[Keyword Aggr]])*($D93=CLASSIFICATION[[Functional Scope Aggr]:[Functional Scope Aggr]])),
_xlpm._platform_keywords, _xlfn.TEXTSPLIT(SUBSTITUTE(SUBSTITUTE(VLOOKUP($D93,_xlpm._platform_range,3,FALSE),"+"&amp;CHAR(34),"+"),CHAR(34),""),", "),
_xlpm._exists, SUMPRODUCT(--ISNUMBER(MATCH(_xlpm._platform_keywords,_xlpm._original_keywords,0)))&gt;0,
_xlfn.IFS(AND(_xlpm._exists,LEFT($E93,1)="+"),"+",_xlpm._exists,"*",NOT(_xlpm._exists),"")
)</f>
        <v/>
      </c>
      <c r="M93" s="33" t="str" cm="1">
        <f t="array" aca="1" ref="M9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($E93=CLASSIFICATION[[Keyword Aggr]:[Keyword Aggr]])*($D93=CLASSIFICATION[[Functional Scope Aggr]:[Functional Scope Aggr]])),
_xlpm._platform_keywords, _xlfn.TEXTSPLIT(SUBSTITUTE(SUBSTITUTE(VLOOKUP($D93,_xlpm._platform_range,3,FALSE),"+"&amp;CHAR(34),"+"),CHAR(34),""),", "),
_xlpm._exists, SUMPRODUCT(--ISNUMBER(MATCH(_xlpm._platform_keywords,_xlpm._original_keywords,0)))&gt;0,
_xlfn.IFS(AND(_xlpm._exists,LEFT($E93,1)="+"),"+",_xlpm._exists,"*",NOT(_xlpm._exists),"")
)</f>
        <v>+</v>
      </c>
      <c r="N93" s="33" t="str" cm="1">
        <f t="array" aca="1" ref="N9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($E93=CLASSIFICATION[[Keyword Aggr]:[Keyword Aggr]])*($D93=CLASSIFICATION[[Functional Scope Aggr]:[Functional Scope Aggr]])),
_xlpm._platform_keywords, _xlfn.TEXTSPLIT(SUBSTITUTE(SUBSTITUTE(VLOOKUP($D93,_xlpm._platform_range,3,FALSE),"+"&amp;CHAR(34),"+"),CHAR(34),""),", "),
_xlpm._exists, SUMPRODUCT(--ISNUMBER(MATCH(_xlpm._platform_keywords,_xlpm._original_keywords,0)))&gt;0,
_xlfn.IFS(AND(_xlpm._exists,LEFT($E93,1)="+"),"+",_xlpm._exists,"*",NOT(_xlpm._exists),"")
)</f>
        <v/>
      </c>
      <c r="O93" s="33" t="str" cm="1">
        <f t="array" aca="1" ref="O9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($E93=CLASSIFICATION[[Keyword Aggr]:[Keyword Aggr]])*($D93=CLASSIFICATION[[Functional Scope Aggr]:[Functional Scope Aggr]])),
_xlpm._platform_keywords, _xlfn.TEXTSPLIT(SUBSTITUTE(SUBSTITUTE(VLOOKUP($D93,_xlpm._platform_range,3,FALSE),"+"&amp;CHAR(34),"+"),CHAR(34),""),", "),
_xlpm._exists, SUMPRODUCT(--ISNUMBER(MATCH(_xlpm._platform_keywords,_xlpm._original_keywords,0)))&gt;0,
_xlfn.IFS(AND(_xlpm._exists,LEFT($E93,1)="+"),"+",_xlpm._exists,"*",NOT(_xlpm._exists),"")
)</f>
        <v/>
      </c>
      <c r="Q93" s="33" t="str" cm="1">
        <f t="array" aca="1" ref="Q9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($E93=CLASSIFICATION[[Keyword Aggr]:[Keyword Aggr]])*($D93=CLASSIFICATION[[Functional Scope Aggr]:[Functional Scope Aggr]])),
_xlpm._platform_keywords, _xlfn.TEXTSPLIT(SUBSTITUTE(SUBSTITUTE(VLOOKUP($D93,_xlpm._platform_range,3,FALSE),"+"&amp;CHAR(34),"+"),CHAR(34),""),", "),
_xlpm._exists, SUMPRODUCT(--ISNUMBER(MATCH(_xlpm._platform_keywords,_xlpm._original_keywords,0)))&gt;0,
_xlfn.IFS(_xlpm._exists,1,NOT(_xlpm._exists),"")
)</f>
        <v/>
      </c>
      <c r="R93" s="33" t="str" cm="1">
        <f t="array" aca="1" ref="R9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($E93=CLASSIFICATION[[Keyword Aggr]:[Keyword Aggr]])*($D93=CLASSIFICATION[[Functional Scope Aggr]:[Functional Scope Aggr]])),
_xlpm._platform_keywords, _xlfn.TEXTSPLIT(SUBSTITUTE(SUBSTITUTE(VLOOKUP($D93,_xlpm._platform_range,3,FALSE),"+"&amp;CHAR(34),"+"),CHAR(34),""),", "),
_xlpm._exists, SUMPRODUCT(--ISNUMBER(MATCH(_xlpm._platform_keywords,_xlpm._original_keywords,0)))&gt;0,
_xlfn.IFS(_xlpm._exists,1,NOT(_xlpm._exists),"")
)</f>
        <v/>
      </c>
      <c r="S93" s="33" t="str" cm="1">
        <f t="array" aca="1" ref="S9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($E93=CLASSIFICATION[[Keyword Aggr]:[Keyword Aggr]])*($D93=CLASSIFICATION[[Functional Scope Aggr]:[Functional Scope Aggr]])),
_xlpm._platform_keywords, _xlfn.TEXTSPLIT(SUBSTITUTE(SUBSTITUTE(VLOOKUP($D93,_xlpm._platform_range,3,FALSE),"+"&amp;CHAR(34),"+"),CHAR(34),""),", "),
_xlpm._exists, SUMPRODUCT(--ISNUMBER(MATCH(_xlpm._platform_keywords,_xlpm._original_keywords,0)))&gt;0,
_xlfn.IFS(_xlpm._exists,1,NOT(_xlpm._exists),"")
)</f>
        <v/>
      </c>
      <c r="T93" s="33" cm="1">
        <f t="array" aca="1" ref="T9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($E93=CLASSIFICATION[[Keyword Aggr]:[Keyword Aggr]])*($D93=CLASSIFICATION[[Functional Scope Aggr]:[Functional Scope Aggr]])),
_xlpm._platform_keywords, _xlfn.TEXTSPLIT(SUBSTITUTE(SUBSTITUTE(VLOOKUP($D93,_xlpm._platform_range,3,FALSE),"+"&amp;CHAR(34),"+"),CHAR(34),""),", "),
_xlpm._exists, SUMPRODUCT(--ISNUMBER(MATCH(_xlpm._platform_keywords,_xlpm._original_keywords,0)))&gt;0,
_xlfn.IFS(_xlpm._exists,1,NOT(_xlpm._exists),"")
)</f>
        <v>1</v>
      </c>
      <c r="U93" s="33" t="str" cm="1">
        <f t="array" aca="1" ref="U9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($E93=CLASSIFICATION[[Keyword Aggr]:[Keyword Aggr]])*($D93=CLASSIFICATION[[Functional Scope Aggr]:[Functional Scope Aggr]])),
_xlpm._platform_keywords, _xlfn.TEXTSPLIT(SUBSTITUTE(SUBSTITUTE(VLOOKUP($D93,_xlpm._platform_range,3,FALSE),"+"&amp;CHAR(34),"+"),CHAR(34),""),", "),
_xlpm._exists, SUMPRODUCT(--ISNUMBER(MATCH(_xlpm._platform_keywords,_xlpm._original_keywords,0)))&gt;0,
_xlfn.IFS(_xlpm._exists,1,NOT(_xlpm._exists),"")
)</f>
        <v/>
      </c>
      <c r="V93" s="33" t="str" cm="1">
        <f t="array" aca="1" ref="V9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($E93=CLASSIFICATION[[Keyword Aggr]:[Keyword Aggr]])*($D93=CLASSIFICATION[[Functional Scope Aggr]:[Functional Scope Aggr]])),
_xlpm._platform_keywords, _xlfn.TEXTSPLIT(SUBSTITUTE(SUBSTITUTE(VLOOKUP($D93,_xlpm._platform_range,3,FALSE),"+"&amp;CHAR(34),"+"),CHAR(34),""),", "),
_xlpm._exists, SUMPRODUCT(--ISNUMBER(MATCH(_xlpm._platform_keywords,_xlpm._original_keywords,0)))&gt;0,
_xlfn.IFS(_xlpm._exists,1,NOT(_xlpm._exists),"")
)</f>
        <v/>
      </c>
      <c r="X93" s="33">
        <f t="shared" ca="1" si="14"/>
        <v>2</v>
      </c>
      <c r="Y93" s="33">
        <f t="shared" ca="1" si="15"/>
        <v>7</v>
      </c>
      <c r="Z93" s="33">
        <f t="shared" ca="1" si="16"/>
        <v>6</v>
      </c>
      <c r="AA93" s="33">
        <f t="shared" ca="1" si="17"/>
        <v>4</v>
      </c>
      <c r="AB93" s="33">
        <f t="shared" ca="1" si="18"/>
        <v>0</v>
      </c>
      <c r="AC93" s="33">
        <f t="shared" ca="1" si="19"/>
        <v>1</v>
      </c>
    </row>
    <row r="94" spans="1:29" x14ac:dyDescent="0.25">
      <c r="A94" s="19" t="str">
        <v>Development,GUI design and development,+Business Data Types</v>
      </c>
      <c r="B94" t="s">
        <v>377</v>
      </c>
      <c r="C94" s="19" t="str" cm="1">
        <f t="array" ref="C94:E94">_xlfn.TEXTSPLIT(A94,",")</f>
        <v>Development</v>
      </c>
      <c r="D94" s="19" t="str">
        <v>GUI design and development</v>
      </c>
      <c r="E94" s="19" t="str">
        <v>+Business Data Types</v>
      </c>
      <c r="F94" s="36" t="str" cm="1">
        <f t="array" ref="F94">_xlfn.TEXTJOIN(",",TRUE,_xlfn._xlws.FILTER(CLASSIFICATION[Keyword], ($E94=CLASSIFICATION[Keyword Aggr])*($D94=CLASSIFICATION[Functional Scope Aggr])))</f>
        <v>+Business Data Types</v>
      </c>
      <c r="G94" s="32" t="str">
        <f t="shared" si="11"/>
        <v/>
      </c>
      <c r="H94" s="32" t="str">
        <f t="shared" si="12"/>
        <v/>
      </c>
      <c r="I94" s="32" t="str">
        <f t="shared" si="13"/>
        <v>+Business Data Types</v>
      </c>
      <c r="J94" s="33" t="str" cm="1">
        <f t="array" aca="1" ref="J9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($E94=CLASSIFICATION[[Keyword Aggr]:[Keyword Aggr]])*($D94=CLASSIFICATION[[Functional Scope Aggr]:[Functional Scope Aggr]])),
_xlpm._platform_keywords, _xlfn.TEXTSPLIT(SUBSTITUTE(SUBSTITUTE(VLOOKUP($D94,_xlpm._platform_range,3,FALSE),"+"&amp;CHAR(34),"+"),CHAR(34),""),", "),
_xlpm._exists, SUMPRODUCT(--ISNUMBER(MATCH(_xlpm._platform_keywords,_xlpm._original_keywords,0)))&gt;0,
_xlfn.IFS(AND(_xlpm._exists,LEFT($E94,1)="+"),"+",_xlpm._exists,"*",NOT(_xlpm._exists),"")
)</f>
        <v/>
      </c>
      <c r="K94" s="33" t="str" cm="1">
        <f t="array" aca="1" ref="K9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($E94=CLASSIFICATION[[Keyword Aggr]:[Keyword Aggr]])*($D94=CLASSIFICATION[[Functional Scope Aggr]:[Functional Scope Aggr]])),
_xlpm._platform_keywords, _xlfn.TEXTSPLIT(SUBSTITUTE(SUBSTITUTE(VLOOKUP($D94,_xlpm._platform_range,3,FALSE),"+"&amp;CHAR(34),"+"),CHAR(34),""),", "),
_xlpm._exists, SUMPRODUCT(--ISNUMBER(MATCH(_xlpm._platform_keywords,_xlpm._original_keywords,0)))&gt;0,
_xlfn.IFS(AND(_xlpm._exists,LEFT($E94,1)="+"),"+",_xlpm._exists,"*",NOT(_xlpm._exists),"")
)</f>
        <v/>
      </c>
      <c r="L94" s="33" t="str" cm="1">
        <f t="array" aca="1" ref="L9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($E94=CLASSIFICATION[[Keyword Aggr]:[Keyword Aggr]])*($D94=CLASSIFICATION[[Functional Scope Aggr]:[Functional Scope Aggr]])),
_xlpm._platform_keywords, _xlfn.TEXTSPLIT(SUBSTITUTE(SUBSTITUTE(VLOOKUP($D94,_xlpm._platform_range,3,FALSE),"+"&amp;CHAR(34),"+"),CHAR(34),""),", "),
_xlpm._exists, SUMPRODUCT(--ISNUMBER(MATCH(_xlpm._platform_keywords,_xlpm._original_keywords,0)))&gt;0,
_xlfn.IFS(AND(_xlpm._exists,LEFT($E94,1)="+"),"+",_xlpm._exists,"*",NOT(_xlpm._exists),"")
)</f>
        <v/>
      </c>
      <c r="M94" s="33" t="str" cm="1">
        <f t="array" aca="1" ref="M9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($E94=CLASSIFICATION[[Keyword Aggr]:[Keyword Aggr]])*($D94=CLASSIFICATION[[Functional Scope Aggr]:[Functional Scope Aggr]])),
_xlpm._platform_keywords, _xlfn.TEXTSPLIT(SUBSTITUTE(SUBSTITUTE(VLOOKUP($D94,_xlpm._platform_range,3,FALSE),"+"&amp;CHAR(34),"+"),CHAR(34),""),", "),
_xlpm._exists, SUMPRODUCT(--ISNUMBER(MATCH(_xlpm._platform_keywords,_xlpm._original_keywords,0)))&gt;0,
_xlfn.IFS(AND(_xlpm._exists,LEFT($E94,1)="+"),"+",_xlpm._exists,"*",NOT(_xlpm._exists),"")
)</f>
        <v/>
      </c>
      <c r="N94" s="33" t="str" cm="1">
        <f t="array" aca="1" ref="N9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($E94=CLASSIFICATION[[Keyword Aggr]:[Keyword Aggr]])*($D94=CLASSIFICATION[[Functional Scope Aggr]:[Functional Scope Aggr]])),
_xlpm._platform_keywords, _xlfn.TEXTSPLIT(SUBSTITUTE(SUBSTITUTE(VLOOKUP($D94,_xlpm._platform_range,3,FALSE),"+"&amp;CHAR(34),"+"),CHAR(34),""),", "),
_xlpm._exists, SUMPRODUCT(--ISNUMBER(MATCH(_xlpm._platform_keywords,_xlpm._original_keywords,0)))&gt;0,
_xlfn.IFS(AND(_xlpm._exists,LEFT($E94,1)="+"),"+",_xlpm._exists,"*",NOT(_xlpm._exists),"")
)</f>
        <v>+</v>
      </c>
      <c r="O94" s="33" t="str" cm="1">
        <f t="array" aca="1" ref="O9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($E94=CLASSIFICATION[[Keyword Aggr]:[Keyword Aggr]])*($D94=CLASSIFICATION[[Functional Scope Aggr]:[Functional Scope Aggr]])),
_xlpm._platform_keywords, _xlfn.TEXTSPLIT(SUBSTITUTE(SUBSTITUTE(VLOOKUP($D94,_xlpm._platform_range,3,FALSE),"+"&amp;CHAR(34),"+"),CHAR(34),""),", "),
_xlpm._exists, SUMPRODUCT(--ISNUMBER(MATCH(_xlpm._platform_keywords,_xlpm._original_keywords,0)))&gt;0,
_xlfn.IFS(AND(_xlpm._exists,LEFT($E94,1)="+"),"+",_xlpm._exists,"*",NOT(_xlpm._exists),"")
)</f>
        <v>+</v>
      </c>
      <c r="Q94" s="33" t="str" cm="1">
        <f t="array" aca="1" ref="Q9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($E94=CLASSIFICATION[[Keyword Aggr]:[Keyword Aggr]])*($D94=CLASSIFICATION[[Functional Scope Aggr]:[Functional Scope Aggr]])),
_xlpm._platform_keywords, _xlfn.TEXTSPLIT(SUBSTITUTE(SUBSTITUTE(VLOOKUP($D94,_xlpm._platform_range,3,FALSE),"+"&amp;CHAR(34),"+"),CHAR(34),""),", "),
_xlpm._exists, SUMPRODUCT(--ISNUMBER(MATCH(_xlpm._platform_keywords,_xlpm._original_keywords,0)))&gt;0,
_xlfn.IFS(_xlpm._exists,1,NOT(_xlpm._exists),"")
)</f>
        <v/>
      </c>
      <c r="R94" s="33" t="str" cm="1">
        <f t="array" aca="1" ref="R9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($E94=CLASSIFICATION[[Keyword Aggr]:[Keyword Aggr]])*($D94=CLASSIFICATION[[Functional Scope Aggr]:[Functional Scope Aggr]])),
_xlpm._platform_keywords, _xlfn.TEXTSPLIT(SUBSTITUTE(SUBSTITUTE(VLOOKUP($D94,_xlpm._platform_range,3,FALSE),"+"&amp;CHAR(34),"+"),CHAR(34),""),", "),
_xlpm._exists, SUMPRODUCT(--ISNUMBER(MATCH(_xlpm._platform_keywords,_xlpm._original_keywords,0)))&gt;0,
_xlfn.IFS(_xlpm._exists,1,NOT(_xlpm._exists),"")
)</f>
        <v/>
      </c>
      <c r="S94" s="33" t="str" cm="1">
        <f t="array" aca="1" ref="S9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($E94=CLASSIFICATION[[Keyword Aggr]:[Keyword Aggr]])*($D94=CLASSIFICATION[[Functional Scope Aggr]:[Functional Scope Aggr]])),
_xlpm._platform_keywords, _xlfn.TEXTSPLIT(SUBSTITUTE(SUBSTITUTE(VLOOKUP($D94,_xlpm._platform_range,3,FALSE),"+"&amp;CHAR(34),"+"),CHAR(34),""),", "),
_xlpm._exists, SUMPRODUCT(--ISNUMBER(MATCH(_xlpm._platform_keywords,_xlpm._original_keywords,0)))&gt;0,
_xlfn.IFS(_xlpm._exists,1,NOT(_xlpm._exists),"")
)</f>
        <v/>
      </c>
      <c r="T94" s="33" t="str" cm="1">
        <f t="array" aca="1" ref="T9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($E94=CLASSIFICATION[[Keyword Aggr]:[Keyword Aggr]])*($D94=CLASSIFICATION[[Functional Scope Aggr]:[Functional Scope Aggr]])),
_xlpm._platform_keywords, _xlfn.TEXTSPLIT(SUBSTITUTE(SUBSTITUTE(VLOOKUP($D94,_xlpm._platform_range,3,FALSE),"+"&amp;CHAR(34),"+"),CHAR(34),""),", "),
_xlpm._exists, SUMPRODUCT(--ISNUMBER(MATCH(_xlpm._platform_keywords,_xlpm._original_keywords,0)))&gt;0,
_xlfn.IFS(_xlpm._exists,1,NOT(_xlpm._exists),"")
)</f>
        <v/>
      </c>
      <c r="U94" s="33" cm="1">
        <f t="array" aca="1" ref="U9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($E94=CLASSIFICATION[[Keyword Aggr]:[Keyword Aggr]])*($D94=CLASSIFICATION[[Functional Scope Aggr]:[Functional Scope Aggr]])),
_xlpm._platform_keywords, _xlfn.TEXTSPLIT(SUBSTITUTE(SUBSTITUTE(VLOOKUP($D94,_xlpm._platform_range,3,FALSE),"+"&amp;CHAR(34),"+"),CHAR(34),""),", "),
_xlpm._exists, SUMPRODUCT(--ISNUMBER(MATCH(_xlpm._platform_keywords,_xlpm._original_keywords,0)))&gt;0,
_xlfn.IFS(_xlpm._exists,1,NOT(_xlpm._exists),"")
)</f>
        <v>1</v>
      </c>
      <c r="V94" s="33" cm="1">
        <f t="array" aca="1" ref="V9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($E94=CLASSIFICATION[[Keyword Aggr]:[Keyword Aggr]])*($D94=CLASSIFICATION[[Functional Scope Aggr]:[Functional Scope Aggr]])),
_xlpm._platform_keywords, _xlfn.TEXTSPLIT(SUBSTITUTE(SUBSTITUTE(VLOOKUP($D94,_xlpm._platform_range,3,FALSE),"+"&amp;CHAR(34),"+"),CHAR(34),""),", "),
_xlpm._exists, SUMPRODUCT(--ISNUMBER(MATCH(_xlpm._platform_keywords,_xlpm._original_keywords,0)))&gt;0,
_xlfn.IFS(_xlpm._exists,1,NOT(_xlpm._exists),"")
)</f>
        <v>1</v>
      </c>
      <c r="X94" s="33" t="str">
        <f t="shared" si="14"/>
        <v/>
      </c>
      <c r="Y94" s="33" t="str">
        <f t="shared" si="15"/>
        <v/>
      </c>
      <c r="Z94" s="33" t="str">
        <f t="shared" si="16"/>
        <v/>
      </c>
      <c r="AA94" s="33" t="str">
        <f t="shared" si="17"/>
        <v/>
      </c>
      <c r="AB94" s="33" t="str">
        <f t="shared" si="18"/>
        <v/>
      </c>
      <c r="AC94" s="33" t="str">
        <f t="shared" si="19"/>
        <v/>
      </c>
    </row>
    <row r="95" spans="1:29" x14ac:dyDescent="0.25">
      <c r="A95" s="19" t="str">
        <v>Development,GUI design and development,+Conditional Formatting</v>
      </c>
      <c r="B95" t="s">
        <v>377</v>
      </c>
      <c r="C95" s="19" t="str" cm="1">
        <f t="array" ref="C95:E95">_xlfn.TEXTSPLIT(A95,",")</f>
        <v>Development</v>
      </c>
      <c r="D95" s="19" t="str">
        <v>GUI design and development</v>
      </c>
      <c r="E95" s="19" t="str">
        <v>+Conditional Formatting</v>
      </c>
      <c r="F95" s="36" t="str" cm="1">
        <f t="array" ref="F95">_xlfn.TEXTJOIN(",",TRUE,_xlfn._xlws.FILTER(CLASSIFICATION[Keyword], ($E95=CLASSIFICATION[Keyword Aggr])*($D95=CLASSIFICATION[Functional Scope Aggr])))</f>
        <v>+Conditional Formatting</v>
      </c>
      <c r="G95" s="32" t="str">
        <f t="shared" si="11"/>
        <v/>
      </c>
      <c r="H95" s="32" t="str">
        <f t="shared" si="12"/>
        <v/>
      </c>
      <c r="I95" s="32" t="str">
        <f t="shared" si="13"/>
        <v>+Conditional Formatting</v>
      </c>
      <c r="J95" s="33" t="str" cm="1">
        <f t="array" aca="1" ref="J9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($E95=CLASSIFICATION[[Keyword Aggr]:[Keyword Aggr]])*($D95=CLASSIFICATION[[Functional Scope Aggr]:[Functional Scope Aggr]])),
_xlpm._platform_keywords, _xlfn.TEXTSPLIT(SUBSTITUTE(SUBSTITUTE(VLOOKUP($D95,_xlpm._platform_range,3,FALSE),"+"&amp;CHAR(34),"+"),CHAR(34),""),", "),
_xlpm._exists, SUMPRODUCT(--ISNUMBER(MATCH(_xlpm._platform_keywords,_xlpm._original_keywords,0)))&gt;0,
_xlfn.IFS(AND(_xlpm._exists,LEFT($E95,1)="+"),"+",_xlpm._exists,"*",NOT(_xlpm._exists),"")
)</f>
        <v/>
      </c>
      <c r="K95" s="33" t="str" cm="1">
        <f t="array" aca="1" ref="K9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($E95=CLASSIFICATION[[Keyword Aggr]:[Keyword Aggr]])*($D95=CLASSIFICATION[[Functional Scope Aggr]:[Functional Scope Aggr]])),
_xlpm._platform_keywords, _xlfn.TEXTSPLIT(SUBSTITUTE(SUBSTITUTE(VLOOKUP($D95,_xlpm._platform_range,3,FALSE),"+"&amp;CHAR(34),"+"),CHAR(34),""),", "),
_xlpm._exists, SUMPRODUCT(--ISNUMBER(MATCH(_xlpm._platform_keywords,_xlpm._original_keywords,0)))&gt;0,
_xlfn.IFS(AND(_xlpm._exists,LEFT($E95,1)="+"),"+",_xlpm._exists,"*",NOT(_xlpm._exists),"")
)</f>
        <v/>
      </c>
      <c r="L95" s="33" t="str" cm="1">
        <f t="array" aca="1" ref="L9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($E95=CLASSIFICATION[[Keyword Aggr]:[Keyword Aggr]])*($D95=CLASSIFICATION[[Functional Scope Aggr]:[Functional Scope Aggr]])),
_xlpm._platform_keywords, _xlfn.TEXTSPLIT(SUBSTITUTE(SUBSTITUTE(VLOOKUP($D95,_xlpm._platform_range,3,FALSE),"+"&amp;CHAR(34),"+"),CHAR(34),""),", "),
_xlpm._exists, SUMPRODUCT(--ISNUMBER(MATCH(_xlpm._platform_keywords,_xlpm._original_keywords,0)))&gt;0,
_xlfn.IFS(AND(_xlpm._exists,LEFT($E95,1)="+"),"+",_xlpm._exists,"*",NOT(_xlpm._exists),"")
)</f>
        <v/>
      </c>
      <c r="M95" s="33" t="str" cm="1">
        <f t="array" aca="1" ref="M9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($E95=CLASSIFICATION[[Keyword Aggr]:[Keyword Aggr]])*($D95=CLASSIFICATION[[Functional Scope Aggr]:[Functional Scope Aggr]])),
_xlpm._platform_keywords, _xlfn.TEXTSPLIT(SUBSTITUTE(SUBSTITUTE(VLOOKUP($D95,_xlpm._platform_range,3,FALSE),"+"&amp;CHAR(34),"+"),CHAR(34),""),", "),
_xlpm._exists, SUMPRODUCT(--ISNUMBER(MATCH(_xlpm._platform_keywords,_xlpm._original_keywords,0)))&gt;0,
_xlfn.IFS(AND(_xlpm._exists,LEFT($E95,1)="+"),"+",_xlpm._exists,"*",NOT(_xlpm._exists),"")
)</f>
        <v/>
      </c>
      <c r="N95" s="33" t="str" cm="1">
        <f t="array" aca="1" ref="N9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($E95=CLASSIFICATION[[Keyword Aggr]:[Keyword Aggr]])*($D95=CLASSIFICATION[[Functional Scope Aggr]:[Functional Scope Aggr]])),
_xlpm._platform_keywords, _xlfn.TEXTSPLIT(SUBSTITUTE(SUBSTITUTE(VLOOKUP($D95,_xlpm._platform_range,3,FALSE),"+"&amp;CHAR(34),"+"),CHAR(34),""),", "),
_xlpm._exists, SUMPRODUCT(--ISNUMBER(MATCH(_xlpm._platform_keywords,_xlpm._original_keywords,0)))&gt;0,
_xlfn.IFS(AND(_xlpm._exists,LEFT($E95,1)="+"),"+",_xlpm._exists,"*",NOT(_xlpm._exists),"")
)</f>
        <v>+</v>
      </c>
      <c r="O95" s="33" t="str" cm="1">
        <f t="array" aca="1" ref="O9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($E95=CLASSIFICATION[[Keyword Aggr]:[Keyword Aggr]])*($D95=CLASSIFICATION[[Functional Scope Aggr]:[Functional Scope Aggr]])),
_xlpm._platform_keywords, _xlfn.TEXTSPLIT(SUBSTITUTE(SUBSTITUTE(VLOOKUP($D95,_xlpm._platform_range,3,FALSE),"+"&amp;CHAR(34),"+"),CHAR(34),""),", "),
_xlpm._exists, SUMPRODUCT(--ISNUMBER(MATCH(_xlpm._platform_keywords,_xlpm._original_keywords,0)))&gt;0,
_xlfn.IFS(AND(_xlpm._exists,LEFT($E95,1)="+"),"+",_xlpm._exists,"*",NOT(_xlpm._exists),"")
)</f>
        <v/>
      </c>
      <c r="Q95" s="33" t="str" cm="1">
        <f t="array" aca="1" ref="Q9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($E95=CLASSIFICATION[[Keyword Aggr]:[Keyword Aggr]])*($D95=CLASSIFICATION[[Functional Scope Aggr]:[Functional Scope Aggr]])),
_xlpm._platform_keywords, _xlfn.TEXTSPLIT(SUBSTITUTE(SUBSTITUTE(VLOOKUP($D95,_xlpm._platform_range,3,FALSE),"+"&amp;CHAR(34),"+"),CHAR(34),""),", "),
_xlpm._exists, SUMPRODUCT(--ISNUMBER(MATCH(_xlpm._platform_keywords,_xlpm._original_keywords,0)))&gt;0,
_xlfn.IFS(_xlpm._exists,1,NOT(_xlpm._exists),"")
)</f>
        <v/>
      </c>
      <c r="R95" s="33" t="str" cm="1">
        <f t="array" aca="1" ref="R9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($E95=CLASSIFICATION[[Keyword Aggr]:[Keyword Aggr]])*($D95=CLASSIFICATION[[Functional Scope Aggr]:[Functional Scope Aggr]])),
_xlpm._platform_keywords, _xlfn.TEXTSPLIT(SUBSTITUTE(SUBSTITUTE(VLOOKUP($D95,_xlpm._platform_range,3,FALSE),"+"&amp;CHAR(34),"+"),CHAR(34),""),", "),
_xlpm._exists, SUMPRODUCT(--ISNUMBER(MATCH(_xlpm._platform_keywords,_xlpm._original_keywords,0)))&gt;0,
_xlfn.IFS(_xlpm._exists,1,NOT(_xlpm._exists),"")
)</f>
        <v/>
      </c>
      <c r="S95" s="33" t="str" cm="1">
        <f t="array" aca="1" ref="S9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($E95=CLASSIFICATION[[Keyword Aggr]:[Keyword Aggr]])*($D95=CLASSIFICATION[[Functional Scope Aggr]:[Functional Scope Aggr]])),
_xlpm._platform_keywords, _xlfn.TEXTSPLIT(SUBSTITUTE(SUBSTITUTE(VLOOKUP($D95,_xlpm._platform_range,3,FALSE),"+"&amp;CHAR(34),"+"),CHAR(34),""),", "),
_xlpm._exists, SUMPRODUCT(--ISNUMBER(MATCH(_xlpm._platform_keywords,_xlpm._original_keywords,0)))&gt;0,
_xlfn.IFS(_xlpm._exists,1,NOT(_xlpm._exists),"")
)</f>
        <v/>
      </c>
      <c r="T95" s="33" t="str" cm="1">
        <f t="array" aca="1" ref="T9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($E95=CLASSIFICATION[[Keyword Aggr]:[Keyword Aggr]])*($D95=CLASSIFICATION[[Functional Scope Aggr]:[Functional Scope Aggr]])),
_xlpm._platform_keywords, _xlfn.TEXTSPLIT(SUBSTITUTE(SUBSTITUTE(VLOOKUP($D95,_xlpm._platform_range,3,FALSE),"+"&amp;CHAR(34),"+"),CHAR(34),""),", "),
_xlpm._exists, SUMPRODUCT(--ISNUMBER(MATCH(_xlpm._platform_keywords,_xlpm._original_keywords,0)))&gt;0,
_xlfn.IFS(_xlpm._exists,1,NOT(_xlpm._exists),"")
)</f>
        <v/>
      </c>
      <c r="U95" s="33" cm="1">
        <f t="array" aca="1" ref="U9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($E95=CLASSIFICATION[[Keyword Aggr]:[Keyword Aggr]])*($D95=CLASSIFICATION[[Functional Scope Aggr]:[Functional Scope Aggr]])),
_xlpm._platform_keywords, _xlfn.TEXTSPLIT(SUBSTITUTE(SUBSTITUTE(VLOOKUP($D95,_xlpm._platform_range,3,FALSE),"+"&amp;CHAR(34),"+"),CHAR(34),""),", "),
_xlpm._exists, SUMPRODUCT(--ISNUMBER(MATCH(_xlpm._platform_keywords,_xlpm._original_keywords,0)))&gt;0,
_xlfn.IFS(_xlpm._exists,1,NOT(_xlpm._exists),"")
)</f>
        <v>1</v>
      </c>
      <c r="V95" s="33" t="str" cm="1">
        <f t="array" aca="1" ref="V9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($E95=CLASSIFICATION[[Keyword Aggr]:[Keyword Aggr]])*($D95=CLASSIFICATION[[Functional Scope Aggr]:[Functional Scope Aggr]])),
_xlpm._platform_keywords, _xlfn.TEXTSPLIT(SUBSTITUTE(SUBSTITUTE(VLOOKUP($D95,_xlpm._platform_range,3,FALSE),"+"&amp;CHAR(34),"+"),CHAR(34),""),", "),
_xlpm._exists, SUMPRODUCT(--ISNUMBER(MATCH(_xlpm._platform_keywords,_xlpm._original_keywords,0)))&gt;0,
_xlfn.IFS(_xlpm._exists,1,NOT(_xlpm._exists),"")
)</f>
        <v/>
      </c>
      <c r="X95" s="33" t="str">
        <f t="shared" si="14"/>
        <v/>
      </c>
      <c r="Y95" s="33" t="str">
        <f t="shared" si="15"/>
        <v/>
      </c>
      <c r="Z95" s="33" t="str">
        <f t="shared" si="16"/>
        <v/>
      </c>
      <c r="AA95" s="33" t="str">
        <f t="shared" si="17"/>
        <v/>
      </c>
      <c r="AB95" s="33" t="str">
        <f t="shared" si="18"/>
        <v/>
      </c>
      <c r="AC95" s="33" t="str">
        <f t="shared" si="19"/>
        <v/>
      </c>
    </row>
    <row r="96" spans="1:29" x14ac:dyDescent="0.25">
      <c r="A96" s="19" t="str">
        <v>Development,GUI design and development,+GUI Style Editor</v>
      </c>
      <c r="B96" t="s">
        <v>377</v>
      </c>
      <c r="C96" s="19" t="str" cm="1">
        <f t="array" ref="C96:E96">_xlfn.TEXTSPLIT(A96,",")</f>
        <v>Development</v>
      </c>
      <c r="D96" s="19" t="str">
        <v>GUI design and development</v>
      </c>
      <c r="E96" s="19" t="str">
        <v>+GUI Style Editor</v>
      </c>
      <c r="F96" s="36" t="str" cm="1">
        <f t="array" ref="F96">_xlfn.TEXTJOIN(",",TRUE,_xlfn._xlws.FILTER(CLASSIFICATION[Keyword], ($E96=CLASSIFICATION[Keyword Aggr])*($D96=CLASSIFICATION[Functional Scope Aggr])))</f>
        <v>+GUI Style Editor ,Themes</v>
      </c>
      <c r="G96" s="32" t="str">
        <f t="shared" si="11"/>
        <v/>
      </c>
      <c r="H96" s="32" t="str">
        <f t="shared" si="12"/>
        <v/>
      </c>
      <c r="I96" s="32" t="str">
        <f t="shared" si="13"/>
        <v>+GUI Style Editor</v>
      </c>
      <c r="J96" s="33" t="str" cm="1">
        <f t="array" aca="1" ref="J9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($E96=CLASSIFICATION[[Keyword Aggr]:[Keyword Aggr]])*($D96=CLASSIFICATION[[Functional Scope Aggr]:[Functional Scope Aggr]])),
_xlpm._platform_keywords, _xlfn.TEXTSPLIT(SUBSTITUTE(SUBSTITUTE(VLOOKUP($D96,_xlpm._platform_range,3,FALSE),"+"&amp;CHAR(34),"+"),CHAR(34),""),", "),
_xlpm._exists, SUMPRODUCT(--ISNUMBER(MATCH(_xlpm._platform_keywords,_xlpm._original_keywords,0)))&gt;0,
_xlfn.IFS(AND(_xlpm._exists,LEFT($E96,1)="+"),"+",_xlpm._exists,"*",NOT(_xlpm._exists),"")
)</f>
        <v>+</v>
      </c>
      <c r="K96" s="33" t="str" cm="1">
        <f t="array" aca="1" ref="K9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($E96=CLASSIFICATION[[Keyword Aggr]:[Keyword Aggr]])*($D96=CLASSIFICATION[[Functional Scope Aggr]:[Functional Scope Aggr]])),
_xlpm._platform_keywords, _xlfn.TEXTSPLIT(SUBSTITUTE(SUBSTITUTE(VLOOKUP($D96,_xlpm._platform_range,3,FALSE),"+"&amp;CHAR(34),"+"),CHAR(34),""),", "),
_xlpm._exists, SUMPRODUCT(--ISNUMBER(MATCH(_xlpm._platform_keywords,_xlpm._original_keywords,0)))&gt;0,
_xlfn.IFS(AND(_xlpm._exists,LEFT($E96,1)="+"),"+",_xlpm._exists,"*",NOT(_xlpm._exists),"")
)</f>
        <v/>
      </c>
      <c r="L96" s="33" t="str" cm="1">
        <f t="array" aca="1" ref="L9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($E96=CLASSIFICATION[[Keyword Aggr]:[Keyword Aggr]])*($D96=CLASSIFICATION[[Functional Scope Aggr]:[Functional Scope Aggr]])),
_xlpm._platform_keywords, _xlfn.TEXTSPLIT(SUBSTITUTE(SUBSTITUTE(VLOOKUP($D96,_xlpm._platform_range,3,FALSE),"+"&amp;CHAR(34),"+"),CHAR(34),""),", "),
_xlpm._exists, SUMPRODUCT(--ISNUMBER(MATCH(_xlpm._platform_keywords,_xlpm._original_keywords,0)))&gt;0,
_xlfn.IFS(AND(_xlpm._exists,LEFT($E96,1)="+"),"+",_xlpm._exists,"*",NOT(_xlpm._exists),"")
)</f>
        <v>+</v>
      </c>
      <c r="M96" s="33" t="str" cm="1">
        <f t="array" aca="1" ref="M9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($E96=CLASSIFICATION[[Keyword Aggr]:[Keyword Aggr]])*($D96=CLASSIFICATION[[Functional Scope Aggr]:[Functional Scope Aggr]])),
_xlpm._platform_keywords, _xlfn.TEXTSPLIT(SUBSTITUTE(SUBSTITUTE(VLOOKUP($D96,_xlpm._platform_range,3,FALSE),"+"&amp;CHAR(34),"+"),CHAR(34),""),", "),
_xlpm._exists, SUMPRODUCT(--ISNUMBER(MATCH(_xlpm._platform_keywords,_xlpm._original_keywords,0)))&gt;0,
_xlfn.IFS(AND(_xlpm._exists,LEFT($E96,1)="+"),"+",_xlpm._exists,"*",NOT(_xlpm._exists),"")
)</f>
        <v/>
      </c>
      <c r="N96" s="33" t="str" cm="1">
        <f t="array" aca="1" ref="N9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($E96=CLASSIFICATION[[Keyword Aggr]:[Keyword Aggr]])*($D96=CLASSIFICATION[[Functional Scope Aggr]:[Functional Scope Aggr]])),
_xlpm._platform_keywords, _xlfn.TEXTSPLIT(SUBSTITUTE(SUBSTITUTE(VLOOKUP($D96,_xlpm._platform_range,3,FALSE),"+"&amp;CHAR(34),"+"),CHAR(34),""),", "),
_xlpm._exists, SUMPRODUCT(--ISNUMBER(MATCH(_xlpm._platform_keywords,_xlpm._original_keywords,0)))&gt;0,
_xlfn.IFS(AND(_xlpm._exists,LEFT($E96,1)="+"),"+",_xlpm._exists,"*",NOT(_xlpm._exists),"")
)</f>
        <v/>
      </c>
      <c r="O96" s="33" t="str" cm="1">
        <f t="array" aca="1" ref="O9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($E96=CLASSIFICATION[[Keyword Aggr]:[Keyword Aggr]])*($D96=CLASSIFICATION[[Functional Scope Aggr]:[Functional Scope Aggr]])),
_xlpm._platform_keywords, _xlfn.TEXTSPLIT(SUBSTITUTE(SUBSTITUTE(VLOOKUP($D96,_xlpm._platform_range,3,FALSE),"+"&amp;CHAR(34),"+"),CHAR(34),""),", "),
_xlpm._exists, SUMPRODUCT(--ISNUMBER(MATCH(_xlpm._platform_keywords,_xlpm._original_keywords,0)))&gt;0,
_xlfn.IFS(AND(_xlpm._exists,LEFT($E96,1)="+"),"+",_xlpm._exists,"*",NOT(_xlpm._exists),"")
)</f>
        <v/>
      </c>
      <c r="Q96" s="33" cm="1">
        <f t="array" aca="1" ref="Q9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($E96=CLASSIFICATION[[Keyword Aggr]:[Keyword Aggr]])*($D96=CLASSIFICATION[[Functional Scope Aggr]:[Functional Scope Aggr]])),
_xlpm._platform_keywords, _xlfn.TEXTSPLIT(SUBSTITUTE(SUBSTITUTE(VLOOKUP($D96,_xlpm._platform_range,3,FALSE),"+"&amp;CHAR(34),"+"),CHAR(34),""),", "),
_xlpm._exists, SUMPRODUCT(--ISNUMBER(MATCH(_xlpm._platform_keywords,_xlpm._original_keywords,0)))&gt;0,
_xlfn.IFS(_xlpm._exists,1,NOT(_xlpm._exists),"")
)</f>
        <v>1</v>
      </c>
      <c r="R96" s="33" t="str" cm="1">
        <f t="array" aca="1" ref="R9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($E96=CLASSIFICATION[[Keyword Aggr]:[Keyword Aggr]])*($D96=CLASSIFICATION[[Functional Scope Aggr]:[Functional Scope Aggr]])),
_xlpm._platform_keywords, _xlfn.TEXTSPLIT(SUBSTITUTE(SUBSTITUTE(VLOOKUP($D96,_xlpm._platform_range,3,FALSE),"+"&amp;CHAR(34),"+"),CHAR(34),""),", "),
_xlpm._exists, SUMPRODUCT(--ISNUMBER(MATCH(_xlpm._platform_keywords,_xlpm._original_keywords,0)))&gt;0,
_xlfn.IFS(_xlpm._exists,1,NOT(_xlpm._exists),"")
)</f>
        <v/>
      </c>
      <c r="S96" s="33" cm="1">
        <f t="array" aca="1" ref="S9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($E96=CLASSIFICATION[[Keyword Aggr]:[Keyword Aggr]])*($D96=CLASSIFICATION[[Functional Scope Aggr]:[Functional Scope Aggr]])),
_xlpm._platform_keywords, _xlfn.TEXTSPLIT(SUBSTITUTE(SUBSTITUTE(VLOOKUP($D96,_xlpm._platform_range,3,FALSE),"+"&amp;CHAR(34),"+"),CHAR(34),""),", "),
_xlpm._exists, SUMPRODUCT(--ISNUMBER(MATCH(_xlpm._platform_keywords,_xlpm._original_keywords,0)))&gt;0,
_xlfn.IFS(_xlpm._exists,1,NOT(_xlpm._exists),"")
)</f>
        <v>1</v>
      </c>
      <c r="T96" s="33" t="str" cm="1">
        <f t="array" aca="1" ref="T9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($E96=CLASSIFICATION[[Keyword Aggr]:[Keyword Aggr]])*($D96=CLASSIFICATION[[Functional Scope Aggr]:[Functional Scope Aggr]])),
_xlpm._platform_keywords, _xlfn.TEXTSPLIT(SUBSTITUTE(SUBSTITUTE(VLOOKUP($D96,_xlpm._platform_range,3,FALSE),"+"&amp;CHAR(34),"+"),CHAR(34),""),", "),
_xlpm._exists, SUMPRODUCT(--ISNUMBER(MATCH(_xlpm._platform_keywords,_xlpm._original_keywords,0)))&gt;0,
_xlfn.IFS(_xlpm._exists,1,NOT(_xlpm._exists),"")
)</f>
        <v/>
      </c>
      <c r="U96" s="33" t="str" cm="1">
        <f t="array" aca="1" ref="U9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($E96=CLASSIFICATION[[Keyword Aggr]:[Keyword Aggr]])*($D96=CLASSIFICATION[[Functional Scope Aggr]:[Functional Scope Aggr]])),
_xlpm._platform_keywords, _xlfn.TEXTSPLIT(SUBSTITUTE(SUBSTITUTE(VLOOKUP($D96,_xlpm._platform_range,3,FALSE),"+"&amp;CHAR(34),"+"),CHAR(34),""),", "),
_xlpm._exists, SUMPRODUCT(--ISNUMBER(MATCH(_xlpm._platform_keywords,_xlpm._original_keywords,0)))&gt;0,
_xlfn.IFS(_xlpm._exists,1,NOT(_xlpm._exists),"")
)</f>
        <v/>
      </c>
      <c r="V96" s="33" t="str" cm="1">
        <f t="array" aca="1" ref="V9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($E96=CLASSIFICATION[[Keyword Aggr]:[Keyword Aggr]])*($D96=CLASSIFICATION[[Functional Scope Aggr]:[Functional Scope Aggr]])),
_xlpm._platform_keywords, _xlfn.TEXTSPLIT(SUBSTITUTE(SUBSTITUTE(VLOOKUP($D96,_xlpm._platform_range,3,FALSE),"+"&amp;CHAR(34),"+"),CHAR(34),""),", "),
_xlpm._exists, SUMPRODUCT(--ISNUMBER(MATCH(_xlpm._platform_keywords,_xlpm._original_keywords,0)))&gt;0,
_xlfn.IFS(_xlpm._exists,1,NOT(_xlpm._exists),"")
)</f>
        <v/>
      </c>
      <c r="X96" s="33" t="str">
        <f t="shared" si="14"/>
        <v/>
      </c>
      <c r="Y96" s="33" t="str">
        <f t="shared" si="15"/>
        <v/>
      </c>
      <c r="Z96" s="33" t="str">
        <f t="shared" si="16"/>
        <v/>
      </c>
      <c r="AA96" s="33" t="str">
        <f t="shared" si="17"/>
        <v/>
      </c>
      <c r="AB96" s="33" t="str">
        <f t="shared" si="18"/>
        <v/>
      </c>
      <c r="AC96" s="33" t="str">
        <f t="shared" si="19"/>
        <v/>
      </c>
    </row>
    <row r="97" spans="1:29" x14ac:dyDescent="0.25">
      <c r="A97" s="19" t="str">
        <v>Development,GUI design and development,+Templatized Formulas</v>
      </c>
      <c r="B97" t="s">
        <v>377</v>
      </c>
      <c r="C97" s="19" t="str" cm="1">
        <f t="array" ref="C97:E97">_xlfn.TEXTSPLIT(A97,",")</f>
        <v>Development</v>
      </c>
      <c r="D97" s="19" t="str">
        <v>GUI design and development</v>
      </c>
      <c r="E97" s="19" t="str">
        <v>+Templatized Formulas</v>
      </c>
      <c r="F97" s="36" t="str" cm="1">
        <f t="array" ref="F97">_xlfn.TEXTJOIN(",",TRUE,_xlfn._xlws.FILTER(CLASSIFICATION[Keyword], ($E97=CLASSIFICATION[Keyword Aggr])*($D97=CLASSIFICATION[Functional Scope Aggr])))</f>
        <v>+Templatized Formulas</v>
      </c>
      <c r="G97" s="32" t="str">
        <f t="shared" si="11"/>
        <v/>
      </c>
      <c r="H97" s="32" t="str">
        <f t="shared" si="12"/>
        <v/>
      </c>
      <c r="I97" s="32" t="str">
        <f t="shared" si="13"/>
        <v>+Templatized Formulas</v>
      </c>
      <c r="J97" s="33" t="str" cm="1">
        <f t="array" aca="1" ref="J9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($E97=CLASSIFICATION[[Keyword Aggr]:[Keyword Aggr]])*($D97=CLASSIFICATION[[Functional Scope Aggr]:[Functional Scope Aggr]])),
_xlpm._platform_keywords, _xlfn.TEXTSPLIT(SUBSTITUTE(SUBSTITUTE(VLOOKUP($D97,_xlpm._platform_range,3,FALSE),"+"&amp;CHAR(34),"+"),CHAR(34),""),", "),
_xlpm._exists, SUMPRODUCT(--ISNUMBER(MATCH(_xlpm._platform_keywords,_xlpm._original_keywords,0)))&gt;0,
_xlfn.IFS(AND(_xlpm._exists,LEFT($E97,1)="+"),"+",_xlpm._exists,"*",NOT(_xlpm._exists),"")
)</f>
        <v/>
      </c>
      <c r="K97" s="33" t="str" cm="1">
        <f t="array" aca="1" ref="K9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($E97=CLASSIFICATION[[Keyword Aggr]:[Keyword Aggr]])*($D97=CLASSIFICATION[[Functional Scope Aggr]:[Functional Scope Aggr]])),
_xlpm._platform_keywords, _xlfn.TEXTSPLIT(SUBSTITUTE(SUBSTITUTE(VLOOKUP($D97,_xlpm._platform_range,3,FALSE),"+"&amp;CHAR(34),"+"),CHAR(34),""),", "),
_xlpm._exists, SUMPRODUCT(--ISNUMBER(MATCH(_xlpm._platform_keywords,_xlpm._original_keywords,0)))&gt;0,
_xlfn.IFS(AND(_xlpm._exists,LEFT($E97,1)="+"),"+",_xlpm._exists,"*",NOT(_xlpm._exists),"")
)</f>
        <v/>
      </c>
      <c r="L97" s="33" t="str" cm="1">
        <f t="array" aca="1" ref="L9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($E97=CLASSIFICATION[[Keyword Aggr]:[Keyword Aggr]])*($D97=CLASSIFICATION[[Functional Scope Aggr]:[Functional Scope Aggr]])),
_xlpm._platform_keywords, _xlfn.TEXTSPLIT(SUBSTITUTE(SUBSTITUTE(VLOOKUP($D97,_xlpm._platform_range,3,FALSE),"+"&amp;CHAR(34),"+"),CHAR(34),""),", "),
_xlpm._exists, SUMPRODUCT(--ISNUMBER(MATCH(_xlpm._platform_keywords,_xlpm._original_keywords,0)))&gt;0,
_xlfn.IFS(AND(_xlpm._exists,LEFT($E97,1)="+"),"+",_xlpm._exists,"*",NOT(_xlpm._exists),"")
)</f>
        <v/>
      </c>
      <c r="M97" s="33" t="str" cm="1">
        <f t="array" aca="1" ref="M9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($E97=CLASSIFICATION[[Keyword Aggr]:[Keyword Aggr]])*($D97=CLASSIFICATION[[Functional Scope Aggr]:[Functional Scope Aggr]])),
_xlpm._platform_keywords, _xlfn.TEXTSPLIT(SUBSTITUTE(SUBSTITUTE(VLOOKUP($D97,_xlpm._platform_range,3,FALSE),"+"&amp;CHAR(34),"+"),CHAR(34),""),", "),
_xlpm._exists, SUMPRODUCT(--ISNUMBER(MATCH(_xlpm._platform_keywords,_xlpm._original_keywords,0)))&gt;0,
_xlfn.IFS(AND(_xlpm._exists,LEFT($E97,1)="+"),"+",_xlpm._exists,"*",NOT(_xlpm._exists),"")
)</f>
        <v>+</v>
      </c>
      <c r="N97" s="33" t="str" cm="1">
        <f t="array" aca="1" ref="N9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($E97=CLASSIFICATION[[Keyword Aggr]:[Keyword Aggr]])*($D97=CLASSIFICATION[[Functional Scope Aggr]:[Functional Scope Aggr]])),
_xlpm._platform_keywords, _xlfn.TEXTSPLIT(SUBSTITUTE(SUBSTITUTE(VLOOKUP($D97,_xlpm._platform_range,3,FALSE),"+"&amp;CHAR(34),"+"),CHAR(34),""),", "),
_xlpm._exists, SUMPRODUCT(--ISNUMBER(MATCH(_xlpm._platform_keywords,_xlpm._original_keywords,0)))&gt;0,
_xlfn.IFS(AND(_xlpm._exists,LEFT($E97,1)="+"),"+",_xlpm._exists,"*",NOT(_xlpm._exists),"")
)</f>
        <v/>
      </c>
      <c r="O97" s="33" t="str" cm="1">
        <f t="array" aca="1" ref="O9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($E97=CLASSIFICATION[[Keyword Aggr]:[Keyword Aggr]])*($D97=CLASSIFICATION[[Functional Scope Aggr]:[Functional Scope Aggr]])),
_xlpm._platform_keywords, _xlfn.TEXTSPLIT(SUBSTITUTE(SUBSTITUTE(VLOOKUP($D97,_xlpm._platform_range,3,FALSE),"+"&amp;CHAR(34),"+"),CHAR(34),""),", "),
_xlpm._exists, SUMPRODUCT(--ISNUMBER(MATCH(_xlpm._platform_keywords,_xlpm._original_keywords,0)))&gt;0,
_xlfn.IFS(AND(_xlpm._exists,LEFT($E97,1)="+"),"+",_xlpm._exists,"*",NOT(_xlpm._exists),"")
)</f>
        <v/>
      </c>
      <c r="Q97" s="33" t="str" cm="1">
        <f t="array" aca="1" ref="Q9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($E97=CLASSIFICATION[[Keyword Aggr]:[Keyword Aggr]])*($D97=CLASSIFICATION[[Functional Scope Aggr]:[Functional Scope Aggr]])),
_xlpm._platform_keywords, _xlfn.TEXTSPLIT(SUBSTITUTE(SUBSTITUTE(VLOOKUP($D97,_xlpm._platform_range,3,FALSE),"+"&amp;CHAR(34),"+"),CHAR(34),""),", "),
_xlpm._exists, SUMPRODUCT(--ISNUMBER(MATCH(_xlpm._platform_keywords,_xlpm._original_keywords,0)))&gt;0,
_xlfn.IFS(_xlpm._exists,1,NOT(_xlpm._exists),"")
)</f>
        <v/>
      </c>
      <c r="R97" s="33" t="str" cm="1">
        <f t="array" aca="1" ref="R9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($E97=CLASSIFICATION[[Keyword Aggr]:[Keyword Aggr]])*($D97=CLASSIFICATION[[Functional Scope Aggr]:[Functional Scope Aggr]])),
_xlpm._platform_keywords, _xlfn.TEXTSPLIT(SUBSTITUTE(SUBSTITUTE(VLOOKUP($D97,_xlpm._platform_range,3,FALSE),"+"&amp;CHAR(34),"+"),CHAR(34),""),", "),
_xlpm._exists, SUMPRODUCT(--ISNUMBER(MATCH(_xlpm._platform_keywords,_xlpm._original_keywords,0)))&gt;0,
_xlfn.IFS(_xlpm._exists,1,NOT(_xlpm._exists),"")
)</f>
        <v/>
      </c>
      <c r="S97" s="33" t="str" cm="1">
        <f t="array" aca="1" ref="S9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($E97=CLASSIFICATION[[Keyword Aggr]:[Keyword Aggr]])*($D97=CLASSIFICATION[[Functional Scope Aggr]:[Functional Scope Aggr]])),
_xlpm._platform_keywords, _xlfn.TEXTSPLIT(SUBSTITUTE(SUBSTITUTE(VLOOKUP($D97,_xlpm._platform_range,3,FALSE),"+"&amp;CHAR(34),"+"),CHAR(34),""),", "),
_xlpm._exists, SUMPRODUCT(--ISNUMBER(MATCH(_xlpm._platform_keywords,_xlpm._original_keywords,0)))&gt;0,
_xlfn.IFS(_xlpm._exists,1,NOT(_xlpm._exists),"")
)</f>
        <v/>
      </c>
      <c r="T97" s="33" cm="1">
        <f t="array" aca="1" ref="T9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($E97=CLASSIFICATION[[Keyword Aggr]:[Keyword Aggr]])*($D97=CLASSIFICATION[[Functional Scope Aggr]:[Functional Scope Aggr]])),
_xlpm._platform_keywords, _xlfn.TEXTSPLIT(SUBSTITUTE(SUBSTITUTE(VLOOKUP($D97,_xlpm._platform_range,3,FALSE),"+"&amp;CHAR(34),"+"),CHAR(34),""),", "),
_xlpm._exists, SUMPRODUCT(--ISNUMBER(MATCH(_xlpm._platform_keywords,_xlpm._original_keywords,0)))&gt;0,
_xlfn.IFS(_xlpm._exists,1,NOT(_xlpm._exists),"")
)</f>
        <v>1</v>
      </c>
      <c r="U97" s="33" t="str" cm="1">
        <f t="array" aca="1" ref="U9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($E97=CLASSIFICATION[[Keyword Aggr]:[Keyword Aggr]])*($D97=CLASSIFICATION[[Functional Scope Aggr]:[Functional Scope Aggr]])),
_xlpm._platform_keywords, _xlfn.TEXTSPLIT(SUBSTITUTE(SUBSTITUTE(VLOOKUP($D97,_xlpm._platform_range,3,FALSE),"+"&amp;CHAR(34),"+"),CHAR(34),""),", "),
_xlpm._exists, SUMPRODUCT(--ISNUMBER(MATCH(_xlpm._platform_keywords,_xlpm._original_keywords,0)))&gt;0,
_xlfn.IFS(_xlpm._exists,1,NOT(_xlpm._exists),"")
)</f>
        <v/>
      </c>
      <c r="V97" s="33" t="str" cm="1">
        <f t="array" aca="1" ref="V9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($E97=CLASSIFICATION[[Keyword Aggr]:[Keyword Aggr]])*($D97=CLASSIFICATION[[Functional Scope Aggr]:[Functional Scope Aggr]])),
_xlpm._platform_keywords, _xlfn.TEXTSPLIT(SUBSTITUTE(SUBSTITUTE(VLOOKUP($D97,_xlpm._platform_range,3,FALSE),"+"&amp;CHAR(34),"+"),CHAR(34),""),", "),
_xlpm._exists, SUMPRODUCT(--ISNUMBER(MATCH(_xlpm._platform_keywords,_xlpm._original_keywords,0)))&gt;0,
_xlfn.IFS(_xlpm._exists,1,NOT(_xlpm._exists),"")
)</f>
        <v/>
      </c>
      <c r="X97" s="33" t="str">
        <f t="shared" si="14"/>
        <v/>
      </c>
      <c r="Y97" s="33" t="str">
        <f t="shared" si="15"/>
        <v/>
      </c>
      <c r="Z97" s="33" t="str">
        <f t="shared" si="16"/>
        <v/>
      </c>
      <c r="AA97" s="33" t="str">
        <f t="shared" si="17"/>
        <v/>
      </c>
      <c r="AB97" s="33" t="str">
        <f t="shared" si="18"/>
        <v/>
      </c>
      <c r="AC97" s="33" t="str">
        <f t="shared" si="19"/>
        <v/>
      </c>
    </row>
    <row r="98" spans="1:29" x14ac:dyDescent="0.25">
      <c r="A98" s="19" t="str">
        <v>Development,GUI design and development,+UI Branding</v>
      </c>
      <c r="B98" t="s">
        <v>377</v>
      </c>
      <c r="C98" s="19" t="str" cm="1">
        <f t="array" ref="C98:E98">_xlfn.TEXTSPLIT(A98,",")</f>
        <v>Development</v>
      </c>
      <c r="D98" s="19" t="str">
        <v>GUI design and development</v>
      </c>
      <c r="E98" s="19" t="str">
        <v>+UI Branding</v>
      </c>
      <c r="F98" s="36" t="str" cm="1">
        <f t="array" ref="F98">_xlfn.TEXTJOIN(",",TRUE,_xlfn._xlws.FILTER(CLASSIFICATION[Keyword], ($E98=CLASSIFICATION[Keyword Aggr])*($D98=CLASSIFICATION[Functional Scope Aggr])))</f>
        <v>+UI Branding</v>
      </c>
      <c r="G98" s="32" t="str">
        <f t="shared" si="11"/>
        <v/>
      </c>
      <c r="H98" s="32" t="str">
        <f t="shared" si="12"/>
        <v/>
      </c>
      <c r="I98" s="32" t="str">
        <f t="shared" si="13"/>
        <v>+UI Branding</v>
      </c>
      <c r="J98" s="33" t="str" cm="1">
        <f t="array" aca="1" ref="J9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($E98=CLASSIFICATION[[Keyword Aggr]:[Keyword Aggr]])*($D98=CLASSIFICATION[[Functional Scope Aggr]:[Functional Scope Aggr]])),
_xlpm._platform_keywords, _xlfn.TEXTSPLIT(SUBSTITUTE(SUBSTITUTE(VLOOKUP($D98,_xlpm._platform_range,3,FALSE),"+"&amp;CHAR(34),"+"),CHAR(34),""),", "),
_xlpm._exists, SUMPRODUCT(--ISNUMBER(MATCH(_xlpm._platform_keywords,_xlpm._original_keywords,0)))&gt;0,
_xlfn.IFS(AND(_xlpm._exists,LEFT($E98,1)="+"),"+",_xlpm._exists,"*",NOT(_xlpm._exists),"")
)</f>
        <v/>
      </c>
      <c r="K98" s="33" t="str" cm="1">
        <f t="array" aca="1" ref="K9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($E98=CLASSIFICATION[[Keyword Aggr]:[Keyword Aggr]])*($D98=CLASSIFICATION[[Functional Scope Aggr]:[Functional Scope Aggr]])),
_xlpm._platform_keywords, _xlfn.TEXTSPLIT(SUBSTITUTE(SUBSTITUTE(VLOOKUP($D98,_xlpm._platform_range,3,FALSE),"+"&amp;CHAR(34),"+"),CHAR(34),""),", "),
_xlpm._exists, SUMPRODUCT(--ISNUMBER(MATCH(_xlpm._platform_keywords,_xlpm._original_keywords,0)))&gt;0,
_xlfn.IFS(AND(_xlpm._exists,LEFT($E98,1)="+"),"+",_xlpm._exists,"*",NOT(_xlpm._exists),"")
)</f>
        <v/>
      </c>
      <c r="L98" s="33" t="str" cm="1">
        <f t="array" aca="1" ref="L9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($E98=CLASSIFICATION[[Keyword Aggr]:[Keyword Aggr]])*($D98=CLASSIFICATION[[Functional Scope Aggr]:[Functional Scope Aggr]])),
_xlpm._platform_keywords, _xlfn.TEXTSPLIT(SUBSTITUTE(SUBSTITUTE(VLOOKUP($D98,_xlpm._platform_range,3,FALSE),"+"&amp;CHAR(34),"+"),CHAR(34),""),", "),
_xlpm._exists, SUMPRODUCT(--ISNUMBER(MATCH(_xlpm._platform_keywords,_xlpm._original_keywords,0)))&gt;0,
_xlfn.IFS(AND(_xlpm._exists,LEFT($E98,1)="+"),"+",_xlpm._exists,"*",NOT(_xlpm._exists),"")
)</f>
        <v/>
      </c>
      <c r="M98" s="33" t="str" cm="1">
        <f t="array" aca="1" ref="M9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($E98=CLASSIFICATION[[Keyword Aggr]:[Keyword Aggr]])*($D98=CLASSIFICATION[[Functional Scope Aggr]:[Functional Scope Aggr]])),
_xlpm._platform_keywords, _xlfn.TEXTSPLIT(SUBSTITUTE(SUBSTITUTE(VLOOKUP($D98,_xlpm._platform_range,3,FALSE),"+"&amp;CHAR(34),"+"),CHAR(34),""),", "),
_xlpm._exists, SUMPRODUCT(--ISNUMBER(MATCH(_xlpm._platform_keywords,_xlpm._original_keywords,0)))&gt;0,
_xlfn.IFS(AND(_xlpm._exists,LEFT($E98,1)="+"),"+",_xlpm._exists,"*",NOT(_xlpm._exists),"")
)</f>
        <v/>
      </c>
      <c r="N98" s="33" t="str" cm="1">
        <f t="array" aca="1" ref="N9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($E98=CLASSIFICATION[[Keyword Aggr]:[Keyword Aggr]])*($D98=CLASSIFICATION[[Functional Scope Aggr]:[Functional Scope Aggr]])),
_xlpm._platform_keywords, _xlfn.TEXTSPLIT(SUBSTITUTE(SUBSTITUTE(VLOOKUP($D98,_xlpm._platform_range,3,FALSE),"+"&amp;CHAR(34),"+"),CHAR(34),""),", "),
_xlpm._exists, SUMPRODUCT(--ISNUMBER(MATCH(_xlpm._platform_keywords,_xlpm._original_keywords,0)))&gt;0,
_xlfn.IFS(AND(_xlpm._exists,LEFT($E98,1)="+"),"+",_xlpm._exists,"*",NOT(_xlpm._exists),"")
)</f>
        <v>+</v>
      </c>
      <c r="O98" s="33" t="str" cm="1">
        <f t="array" aca="1" ref="O9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($E98=CLASSIFICATION[[Keyword Aggr]:[Keyword Aggr]])*($D98=CLASSIFICATION[[Functional Scope Aggr]:[Functional Scope Aggr]])),
_xlpm._platform_keywords, _xlfn.TEXTSPLIT(SUBSTITUTE(SUBSTITUTE(VLOOKUP($D98,_xlpm._platform_range,3,FALSE),"+"&amp;CHAR(34),"+"),CHAR(34),""),", "),
_xlpm._exists, SUMPRODUCT(--ISNUMBER(MATCH(_xlpm._platform_keywords,_xlpm._original_keywords,0)))&gt;0,
_xlfn.IFS(AND(_xlpm._exists,LEFT($E98,1)="+"),"+",_xlpm._exists,"*",NOT(_xlpm._exists),"")
)</f>
        <v/>
      </c>
      <c r="Q98" s="33" t="str" cm="1">
        <f t="array" aca="1" ref="Q9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($E98=CLASSIFICATION[[Keyword Aggr]:[Keyword Aggr]])*($D98=CLASSIFICATION[[Functional Scope Aggr]:[Functional Scope Aggr]])),
_xlpm._platform_keywords, _xlfn.TEXTSPLIT(SUBSTITUTE(SUBSTITUTE(VLOOKUP($D98,_xlpm._platform_range,3,FALSE),"+"&amp;CHAR(34),"+"),CHAR(34),""),", "),
_xlpm._exists, SUMPRODUCT(--ISNUMBER(MATCH(_xlpm._platform_keywords,_xlpm._original_keywords,0)))&gt;0,
_xlfn.IFS(_xlpm._exists,1,NOT(_xlpm._exists),"")
)</f>
        <v/>
      </c>
      <c r="R98" s="33" t="str" cm="1">
        <f t="array" aca="1" ref="R9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($E98=CLASSIFICATION[[Keyword Aggr]:[Keyword Aggr]])*($D98=CLASSIFICATION[[Functional Scope Aggr]:[Functional Scope Aggr]])),
_xlpm._platform_keywords, _xlfn.TEXTSPLIT(SUBSTITUTE(SUBSTITUTE(VLOOKUP($D98,_xlpm._platform_range,3,FALSE),"+"&amp;CHAR(34),"+"),CHAR(34),""),", "),
_xlpm._exists, SUMPRODUCT(--ISNUMBER(MATCH(_xlpm._platform_keywords,_xlpm._original_keywords,0)))&gt;0,
_xlfn.IFS(_xlpm._exists,1,NOT(_xlpm._exists),"")
)</f>
        <v/>
      </c>
      <c r="S98" s="33" t="str" cm="1">
        <f t="array" aca="1" ref="S9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($E98=CLASSIFICATION[[Keyword Aggr]:[Keyword Aggr]])*($D98=CLASSIFICATION[[Functional Scope Aggr]:[Functional Scope Aggr]])),
_xlpm._platform_keywords, _xlfn.TEXTSPLIT(SUBSTITUTE(SUBSTITUTE(VLOOKUP($D98,_xlpm._platform_range,3,FALSE),"+"&amp;CHAR(34),"+"),CHAR(34),""),", "),
_xlpm._exists, SUMPRODUCT(--ISNUMBER(MATCH(_xlpm._platform_keywords,_xlpm._original_keywords,0)))&gt;0,
_xlfn.IFS(_xlpm._exists,1,NOT(_xlpm._exists),"")
)</f>
        <v/>
      </c>
      <c r="T98" s="33" t="str" cm="1">
        <f t="array" aca="1" ref="T9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($E98=CLASSIFICATION[[Keyword Aggr]:[Keyword Aggr]])*($D98=CLASSIFICATION[[Functional Scope Aggr]:[Functional Scope Aggr]])),
_xlpm._platform_keywords, _xlfn.TEXTSPLIT(SUBSTITUTE(SUBSTITUTE(VLOOKUP($D98,_xlpm._platform_range,3,FALSE),"+"&amp;CHAR(34),"+"),CHAR(34),""),", "),
_xlpm._exists, SUMPRODUCT(--ISNUMBER(MATCH(_xlpm._platform_keywords,_xlpm._original_keywords,0)))&gt;0,
_xlfn.IFS(_xlpm._exists,1,NOT(_xlpm._exists),"")
)</f>
        <v/>
      </c>
      <c r="U98" s="33" cm="1">
        <f t="array" aca="1" ref="U9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($E98=CLASSIFICATION[[Keyword Aggr]:[Keyword Aggr]])*($D98=CLASSIFICATION[[Functional Scope Aggr]:[Functional Scope Aggr]])),
_xlpm._platform_keywords, _xlfn.TEXTSPLIT(SUBSTITUTE(SUBSTITUTE(VLOOKUP($D98,_xlpm._platform_range,3,FALSE),"+"&amp;CHAR(34),"+"),CHAR(34),""),", "),
_xlpm._exists, SUMPRODUCT(--ISNUMBER(MATCH(_xlpm._platform_keywords,_xlpm._original_keywords,0)))&gt;0,
_xlfn.IFS(_xlpm._exists,1,NOT(_xlpm._exists),"")
)</f>
        <v>1</v>
      </c>
      <c r="V98" s="33" t="str" cm="1">
        <f t="array" aca="1" ref="V9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($E98=CLASSIFICATION[[Keyword Aggr]:[Keyword Aggr]])*($D98=CLASSIFICATION[[Functional Scope Aggr]:[Functional Scope Aggr]])),
_xlpm._platform_keywords, _xlfn.TEXTSPLIT(SUBSTITUTE(SUBSTITUTE(VLOOKUP($D98,_xlpm._platform_range,3,FALSE),"+"&amp;CHAR(34),"+"),CHAR(34),""),", "),
_xlpm._exists, SUMPRODUCT(--ISNUMBER(MATCH(_xlpm._platform_keywords,_xlpm._original_keywords,0)))&gt;0,
_xlfn.IFS(_xlpm._exists,1,NOT(_xlpm._exists),"")
)</f>
        <v/>
      </c>
      <c r="X98" s="33" t="str">
        <f t="shared" si="14"/>
        <v/>
      </c>
      <c r="Y98" s="33" t="str">
        <f t="shared" si="15"/>
        <v/>
      </c>
      <c r="Z98" s="33" t="str">
        <f t="shared" si="16"/>
        <v/>
      </c>
      <c r="AA98" s="33" t="str">
        <f t="shared" si="17"/>
        <v/>
      </c>
      <c r="AB98" s="33" t="str">
        <f t="shared" si="18"/>
        <v/>
      </c>
      <c r="AC98" s="33" t="str">
        <f t="shared" si="19"/>
        <v/>
      </c>
    </row>
    <row r="99" spans="1:29" x14ac:dyDescent="0.25">
      <c r="A99" s="19" t="str">
        <v>Development,GUI design and development,+View Types</v>
      </c>
      <c r="B99" t="s">
        <v>377</v>
      </c>
      <c r="C99" s="19" t="str" cm="1">
        <f t="array" ref="C99:E99">_xlfn.TEXTSPLIT(A99,",")</f>
        <v>Development</v>
      </c>
      <c r="D99" s="19" t="str">
        <v>GUI design and development</v>
      </c>
      <c r="E99" s="19" t="str">
        <v>+View Types</v>
      </c>
      <c r="F99" s="36" t="str" cm="1">
        <f t="array" ref="F99">_xlfn.TEXTJOIN(",",TRUE,_xlfn._xlws.FILTER(CLASSIFICATION[Keyword], ($E99=CLASSIFICATION[Keyword Aggr])*($D99=CLASSIFICATION[Functional Scope Aggr])))</f>
        <v>+View Types</v>
      </c>
      <c r="G99" s="32" t="str">
        <f t="shared" si="11"/>
        <v/>
      </c>
      <c r="H99" s="32" t="str">
        <f t="shared" si="12"/>
        <v/>
      </c>
      <c r="I99" s="32" t="str">
        <f t="shared" si="13"/>
        <v>+View Types</v>
      </c>
      <c r="J99" s="33" t="str" cm="1">
        <f t="array" aca="1" ref="J9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($E99=CLASSIFICATION[[Keyword Aggr]:[Keyword Aggr]])*($D99=CLASSIFICATION[[Functional Scope Aggr]:[Functional Scope Aggr]])),
_xlpm._platform_keywords, _xlfn.TEXTSPLIT(SUBSTITUTE(SUBSTITUTE(VLOOKUP($D99,_xlpm._platform_range,3,FALSE),"+"&amp;CHAR(34),"+"),CHAR(34),""),", "),
_xlpm._exists, SUMPRODUCT(--ISNUMBER(MATCH(_xlpm._platform_keywords,_xlpm._original_keywords,0)))&gt;0,
_xlfn.IFS(AND(_xlpm._exists,LEFT($E99,1)="+"),"+",_xlpm._exists,"*",NOT(_xlpm._exists),"")
)</f>
        <v/>
      </c>
      <c r="K99" s="33" t="str" cm="1">
        <f t="array" aca="1" ref="K9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($E99=CLASSIFICATION[[Keyword Aggr]:[Keyword Aggr]])*($D99=CLASSIFICATION[[Functional Scope Aggr]:[Functional Scope Aggr]])),
_xlpm._platform_keywords, _xlfn.TEXTSPLIT(SUBSTITUTE(SUBSTITUTE(VLOOKUP($D99,_xlpm._platform_range,3,FALSE),"+"&amp;CHAR(34),"+"),CHAR(34),""),", "),
_xlpm._exists, SUMPRODUCT(--ISNUMBER(MATCH(_xlpm._platform_keywords,_xlpm._original_keywords,0)))&gt;0,
_xlfn.IFS(AND(_xlpm._exists,LEFT($E99,1)="+"),"+",_xlpm._exists,"*",NOT(_xlpm._exists),"")
)</f>
        <v/>
      </c>
      <c r="L99" s="33" t="str" cm="1">
        <f t="array" aca="1" ref="L9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($E99=CLASSIFICATION[[Keyword Aggr]:[Keyword Aggr]])*($D99=CLASSIFICATION[[Functional Scope Aggr]:[Functional Scope Aggr]])),
_xlpm._platform_keywords, _xlfn.TEXTSPLIT(SUBSTITUTE(SUBSTITUTE(VLOOKUP($D99,_xlpm._platform_range,3,FALSE),"+"&amp;CHAR(34),"+"),CHAR(34),""),", "),
_xlpm._exists, SUMPRODUCT(--ISNUMBER(MATCH(_xlpm._platform_keywords,_xlpm._original_keywords,0)))&gt;0,
_xlfn.IFS(AND(_xlpm._exists,LEFT($E99,1)="+"),"+",_xlpm._exists,"*",NOT(_xlpm._exists),"")
)</f>
        <v/>
      </c>
      <c r="M99" s="33" t="str" cm="1">
        <f t="array" aca="1" ref="M9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($E99=CLASSIFICATION[[Keyword Aggr]:[Keyword Aggr]])*($D99=CLASSIFICATION[[Functional Scope Aggr]:[Functional Scope Aggr]])),
_xlpm._platform_keywords, _xlfn.TEXTSPLIT(SUBSTITUTE(SUBSTITUTE(VLOOKUP($D99,_xlpm._platform_range,3,FALSE),"+"&amp;CHAR(34),"+"),CHAR(34),""),", "),
_xlpm._exists, SUMPRODUCT(--ISNUMBER(MATCH(_xlpm._platform_keywords,_xlpm._original_keywords,0)))&gt;0,
_xlfn.IFS(AND(_xlpm._exists,LEFT($E99,1)="+"),"+",_xlpm._exists,"*",NOT(_xlpm._exists),"")
)</f>
        <v/>
      </c>
      <c r="N99" s="33" t="str" cm="1">
        <f t="array" aca="1" ref="N9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($E99=CLASSIFICATION[[Keyword Aggr]:[Keyword Aggr]])*($D99=CLASSIFICATION[[Functional Scope Aggr]:[Functional Scope Aggr]])),
_xlpm._platform_keywords, _xlfn.TEXTSPLIT(SUBSTITUTE(SUBSTITUTE(VLOOKUP($D99,_xlpm._platform_range,3,FALSE),"+"&amp;CHAR(34),"+"),CHAR(34),""),", "),
_xlpm._exists, SUMPRODUCT(--ISNUMBER(MATCH(_xlpm._platform_keywords,_xlpm._original_keywords,0)))&gt;0,
_xlfn.IFS(AND(_xlpm._exists,LEFT($E99,1)="+"),"+",_xlpm._exists,"*",NOT(_xlpm._exists),"")
)</f>
        <v>+</v>
      </c>
      <c r="O99" s="33" t="str" cm="1">
        <f t="array" aca="1" ref="O9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($E99=CLASSIFICATION[[Keyword Aggr]:[Keyword Aggr]])*($D99=CLASSIFICATION[[Functional Scope Aggr]:[Functional Scope Aggr]])),
_xlpm._platform_keywords, _xlfn.TEXTSPLIT(SUBSTITUTE(SUBSTITUTE(VLOOKUP($D99,_xlpm._platform_range,3,FALSE),"+"&amp;CHAR(34),"+"),CHAR(34),""),", "),
_xlpm._exists, SUMPRODUCT(--ISNUMBER(MATCH(_xlpm._platform_keywords,_xlpm._original_keywords,0)))&gt;0,
_xlfn.IFS(AND(_xlpm._exists,LEFT($E99,1)="+"),"+",_xlpm._exists,"*",NOT(_xlpm._exists),"")
)</f>
        <v/>
      </c>
      <c r="Q99" s="33" t="str" cm="1">
        <f t="array" aca="1" ref="Q9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($E99=CLASSIFICATION[[Keyword Aggr]:[Keyword Aggr]])*($D99=CLASSIFICATION[[Functional Scope Aggr]:[Functional Scope Aggr]])),
_xlpm._platform_keywords, _xlfn.TEXTSPLIT(SUBSTITUTE(SUBSTITUTE(VLOOKUP($D99,_xlpm._platform_range,3,FALSE),"+"&amp;CHAR(34),"+"),CHAR(34),""),", "),
_xlpm._exists, SUMPRODUCT(--ISNUMBER(MATCH(_xlpm._platform_keywords,_xlpm._original_keywords,0)))&gt;0,
_xlfn.IFS(_xlpm._exists,1,NOT(_xlpm._exists),"")
)</f>
        <v/>
      </c>
      <c r="R99" s="33" t="str" cm="1">
        <f t="array" aca="1" ref="R9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($E99=CLASSIFICATION[[Keyword Aggr]:[Keyword Aggr]])*($D99=CLASSIFICATION[[Functional Scope Aggr]:[Functional Scope Aggr]])),
_xlpm._platform_keywords, _xlfn.TEXTSPLIT(SUBSTITUTE(SUBSTITUTE(VLOOKUP($D99,_xlpm._platform_range,3,FALSE),"+"&amp;CHAR(34),"+"),CHAR(34),""),", "),
_xlpm._exists, SUMPRODUCT(--ISNUMBER(MATCH(_xlpm._platform_keywords,_xlpm._original_keywords,0)))&gt;0,
_xlfn.IFS(_xlpm._exists,1,NOT(_xlpm._exists),"")
)</f>
        <v/>
      </c>
      <c r="S99" s="33" t="str" cm="1">
        <f t="array" aca="1" ref="S9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($E99=CLASSIFICATION[[Keyword Aggr]:[Keyword Aggr]])*($D99=CLASSIFICATION[[Functional Scope Aggr]:[Functional Scope Aggr]])),
_xlpm._platform_keywords, _xlfn.TEXTSPLIT(SUBSTITUTE(SUBSTITUTE(VLOOKUP($D99,_xlpm._platform_range,3,FALSE),"+"&amp;CHAR(34),"+"),CHAR(34),""),", "),
_xlpm._exists, SUMPRODUCT(--ISNUMBER(MATCH(_xlpm._platform_keywords,_xlpm._original_keywords,0)))&gt;0,
_xlfn.IFS(_xlpm._exists,1,NOT(_xlpm._exists),"")
)</f>
        <v/>
      </c>
      <c r="T99" s="33" t="str" cm="1">
        <f t="array" aca="1" ref="T9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($E99=CLASSIFICATION[[Keyword Aggr]:[Keyword Aggr]])*($D99=CLASSIFICATION[[Functional Scope Aggr]:[Functional Scope Aggr]])),
_xlpm._platform_keywords, _xlfn.TEXTSPLIT(SUBSTITUTE(SUBSTITUTE(VLOOKUP($D99,_xlpm._platform_range,3,FALSE),"+"&amp;CHAR(34),"+"),CHAR(34),""),", "),
_xlpm._exists, SUMPRODUCT(--ISNUMBER(MATCH(_xlpm._platform_keywords,_xlpm._original_keywords,0)))&gt;0,
_xlfn.IFS(_xlpm._exists,1,NOT(_xlpm._exists),"")
)</f>
        <v/>
      </c>
      <c r="U99" s="33" cm="1">
        <f t="array" aca="1" ref="U9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($E99=CLASSIFICATION[[Keyword Aggr]:[Keyword Aggr]])*($D99=CLASSIFICATION[[Functional Scope Aggr]:[Functional Scope Aggr]])),
_xlpm._platform_keywords, _xlfn.TEXTSPLIT(SUBSTITUTE(SUBSTITUTE(VLOOKUP($D99,_xlpm._platform_range,3,FALSE),"+"&amp;CHAR(34),"+"),CHAR(34),""),", "),
_xlpm._exists, SUMPRODUCT(--ISNUMBER(MATCH(_xlpm._platform_keywords,_xlpm._original_keywords,0)))&gt;0,
_xlfn.IFS(_xlpm._exists,1,NOT(_xlpm._exists),"")
)</f>
        <v>1</v>
      </c>
      <c r="V99" s="33" t="str" cm="1">
        <f t="array" aca="1" ref="V9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($E99=CLASSIFICATION[[Keyword Aggr]:[Keyword Aggr]])*($D99=CLASSIFICATION[[Functional Scope Aggr]:[Functional Scope Aggr]])),
_xlpm._platform_keywords, _xlfn.TEXTSPLIT(SUBSTITUTE(SUBSTITUTE(VLOOKUP($D99,_xlpm._platform_range,3,FALSE),"+"&amp;CHAR(34),"+"),CHAR(34),""),", "),
_xlpm._exists, SUMPRODUCT(--ISNUMBER(MATCH(_xlpm._platform_keywords,_xlpm._original_keywords,0)))&gt;0,
_xlfn.IFS(_xlpm._exists,1,NOT(_xlpm._exists),"")
)</f>
        <v/>
      </c>
      <c r="X99" s="33" t="str">
        <f t="shared" si="14"/>
        <v/>
      </c>
      <c r="Y99" s="33" t="str">
        <f t="shared" si="15"/>
        <v/>
      </c>
      <c r="Z99" s="33" t="str">
        <f t="shared" si="16"/>
        <v/>
      </c>
      <c r="AA99" s="33" t="str">
        <f t="shared" si="17"/>
        <v/>
      </c>
      <c r="AB99" s="33" t="str">
        <f t="shared" si="18"/>
        <v/>
      </c>
      <c r="AC99" s="33" t="str">
        <f t="shared" si="19"/>
        <v/>
      </c>
    </row>
    <row r="100" spans="1:29" x14ac:dyDescent="0.25">
      <c r="A100" s="19" t="str">
        <v>Development,GUI design and development,+WYSIWYG</v>
      </c>
      <c r="B100" t="s">
        <v>377</v>
      </c>
      <c r="C100" s="19" t="str" cm="1">
        <f t="array" ref="C100:E100">_xlfn.TEXTSPLIT(A100,",")</f>
        <v>Development</v>
      </c>
      <c r="D100" s="19" t="str">
        <v>GUI design and development</v>
      </c>
      <c r="E100" s="19" t="str">
        <v>+WYSIWYG</v>
      </c>
      <c r="F100" s="36" t="str" cm="1">
        <f t="array" ref="F100">_xlfn.TEXTJOIN(",",TRUE,_xlfn._xlws.FILTER(CLASSIFICATION[Keyword], ($E100=CLASSIFICATION[Keyword Aggr])*($D100=CLASSIFICATION[Functional Scope Aggr])))</f>
        <v>+WYSIWYG</v>
      </c>
      <c r="G100" s="32" t="str">
        <f t="shared" si="11"/>
        <v/>
      </c>
      <c r="H100" s="32" t="str">
        <f t="shared" si="12"/>
        <v/>
      </c>
      <c r="I100" s="32" t="str">
        <f t="shared" si="13"/>
        <v>+WYSIWYG</v>
      </c>
      <c r="J100" s="33" t="str" cm="1">
        <f t="array" aca="1" ref="J10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($E100=CLASSIFICATION[[Keyword Aggr]:[Keyword Aggr]])*($D100=CLASSIFICATION[[Functional Scope Aggr]:[Functional Scope Aggr]])),
_xlpm._platform_keywords, _xlfn.TEXTSPLIT(SUBSTITUTE(SUBSTITUTE(VLOOKUP($D100,_xlpm._platform_range,3,FALSE),"+"&amp;CHAR(34),"+"),CHAR(34),""),", "),
_xlpm._exists, SUMPRODUCT(--ISNUMBER(MATCH(_xlpm._platform_keywords,_xlpm._original_keywords,0)))&gt;0,
_xlfn.IFS(AND(_xlpm._exists,LEFT($E100,1)="+"),"+",_xlpm._exists,"*",NOT(_xlpm._exists),"")
)</f>
        <v/>
      </c>
      <c r="K100" s="33" t="str" cm="1">
        <f t="array" aca="1" ref="K10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($E100=CLASSIFICATION[[Keyword Aggr]:[Keyword Aggr]])*($D100=CLASSIFICATION[[Functional Scope Aggr]:[Functional Scope Aggr]])),
_xlpm._platform_keywords, _xlfn.TEXTSPLIT(SUBSTITUTE(SUBSTITUTE(VLOOKUP($D100,_xlpm._platform_range,3,FALSE),"+"&amp;CHAR(34),"+"),CHAR(34),""),", "),
_xlpm._exists, SUMPRODUCT(--ISNUMBER(MATCH(_xlpm._platform_keywords,_xlpm._original_keywords,0)))&gt;0,
_xlfn.IFS(AND(_xlpm._exists,LEFT($E100,1)="+"),"+",_xlpm._exists,"*",NOT(_xlpm._exists),"")
)</f>
        <v/>
      </c>
      <c r="L100" s="33" t="str" cm="1">
        <f t="array" aca="1" ref="L10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($E100=CLASSIFICATION[[Keyword Aggr]:[Keyword Aggr]])*($D100=CLASSIFICATION[[Functional Scope Aggr]:[Functional Scope Aggr]])),
_xlpm._platform_keywords, _xlfn.TEXTSPLIT(SUBSTITUTE(SUBSTITUTE(VLOOKUP($D100,_xlpm._platform_range,3,FALSE),"+"&amp;CHAR(34),"+"),CHAR(34),""),", "),
_xlpm._exists, SUMPRODUCT(--ISNUMBER(MATCH(_xlpm._platform_keywords,_xlpm._original_keywords,0)))&gt;0,
_xlfn.IFS(AND(_xlpm._exists,LEFT($E100,1)="+"),"+",_xlpm._exists,"*",NOT(_xlpm._exists),"")
)</f>
        <v>+</v>
      </c>
      <c r="M100" s="33" t="str" cm="1">
        <f t="array" aca="1" ref="M10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($E100=CLASSIFICATION[[Keyword Aggr]:[Keyword Aggr]])*($D100=CLASSIFICATION[[Functional Scope Aggr]:[Functional Scope Aggr]])),
_xlpm._platform_keywords, _xlfn.TEXTSPLIT(SUBSTITUTE(SUBSTITUTE(VLOOKUP($D100,_xlpm._platform_range,3,FALSE),"+"&amp;CHAR(34),"+"),CHAR(34),""),", "),
_xlpm._exists, SUMPRODUCT(--ISNUMBER(MATCH(_xlpm._platform_keywords,_xlpm._original_keywords,0)))&gt;0,
_xlfn.IFS(AND(_xlpm._exists,LEFT($E100,1)="+"),"+",_xlpm._exists,"*",NOT(_xlpm._exists),"")
)</f>
        <v/>
      </c>
      <c r="N100" s="33" t="str" cm="1">
        <f t="array" aca="1" ref="N10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($E100=CLASSIFICATION[[Keyword Aggr]:[Keyword Aggr]])*($D100=CLASSIFICATION[[Functional Scope Aggr]:[Functional Scope Aggr]])),
_xlpm._platform_keywords, _xlfn.TEXTSPLIT(SUBSTITUTE(SUBSTITUTE(VLOOKUP($D100,_xlpm._platform_range,3,FALSE),"+"&amp;CHAR(34),"+"),CHAR(34),""),", "),
_xlpm._exists, SUMPRODUCT(--ISNUMBER(MATCH(_xlpm._platform_keywords,_xlpm._original_keywords,0)))&gt;0,
_xlfn.IFS(AND(_xlpm._exists,LEFT($E100,1)="+"),"+",_xlpm._exists,"*",NOT(_xlpm._exists),"")
)</f>
        <v/>
      </c>
      <c r="O100" s="33" t="str" cm="1">
        <f t="array" aca="1" ref="O10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($E100=CLASSIFICATION[[Keyword Aggr]:[Keyword Aggr]])*($D100=CLASSIFICATION[[Functional Scope Aggr]:[Functional Scope Aggr]])),
_xlpm._platform_keywords, _xlfn.TEXTSPLIT(SUBSTITUTE(SUBSTITUTE(VLOOKUP($D100,_xlpm._platform_range,3,FALSE),"+"&amp;CHAR(34),"+"),CHAR(34),""),", "),
_xlpm._exists, SUMPRODUCT(--ISNUMBER(MATCH(_xlpm._platform_keywords,_xlpm._original_keywords,0)))&gt;0,
_xlfn.IFS(AND(_xlpm._exists,LEFT($E100,1)="+"),"+",_xlpm._exists,"*",NOT(_xlpm._exists),"")
)</f>
        <v>+</v>
      </c>
      <c r="Q100" s="33" t="str" cm="1">
        <f t="array" aca="1" ref="Q10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($E100=CLASSIFICATION[[Keyword Aggr]:[Keyword Aggr]])*($D100=CLASSIFICATION[[Functional Scope Aggr]:[Functional Scope Aggr]])),
_xlpm._platform_keywords, _xlfn.TEXTSPLIT(SUBSTITUTE(SUBSTITUTE(VLOOKUP($D100,_xlpm._platform_range,3,FALSE),"+"&amp;CHAR(34),"+"),CHAR(34),""),", "),
_xlpm._exists, SUMPRODUCT(--ISNUMBER(MATCH(_xlpm._platform_keywords,_xlpm._original_keywords,0)))&gt;0,
_xlfn.IFS(_xlpm._exists,1,NOT(_xlpm._exists),"")
)</f>
        <v/>
      </c>
      <c r="R100" s="33" t="str" cm="1">
        <f t="array" aca="1" ref="R10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($E100=CLASSIFICATION[[Keyword Aggr]:[Keyword Aggr]])*($D100=CLASSIFICATION[[Functional Scope Aggr]:[Functional Scope Aggr]])),
_xlpm._platform_keywords, _xlfn.TEXTSPLIT(SUBSTITUTE(SUBSTITUTE(VLOOKUP($D100,_xlpm._platform_range,3,FALSE),"+"&amp;CHAR(34),"+"),CHAR(34),""),", "),
_xlpm._exists, SUMPRODUCT(--ISNUMBER(MATCH(_xlpm._platform_keywords,_xlpm._original_keywords,0)))&gt;0,
_xlfn.IFS(_xlpm._exists,1,NOT(_xlpm._exists),"")
)</f>
        <v/>
      </c>
      <c r="S100" s="33" cm="1">
        <f t="array" aca="1" ref="S10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($E100=CLASSIFICATION[[Keyword Aggr]:[Keyword Aggr]])*($D100=CLASSIFICATION[[Functional Scope Aggr]:[Functional Scope Aggr]])),
_xlpm._platform_keywords, _xlfn.TEXTSPLIT(SUBSTITUTE(SUBSTITUTE(VLOOKUP($D100,_xlpm._platform_range,3,FALSE),"+"&amp;CHAR(34),"+"),CHAR(34),""),", "),
_xlpm._exists, SUMPRODUCT(--ISNUMBER(MATCH(_xlpm._platform_keywords,_xlpm._original_keywords,0)))&gt;0,
_xlfn.IFS(_xlpm._exists,1,NOT(_xlpm._exists),"")
)</f>
        <v>1</v>
      </c>
      <c r="T100" s="33" t="str" cm="1">
        <f t="array" aca="1" ref="T10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($E100=CLASSIFICATION[[Keyword Aggr]:[Keyword Aggr]])*($D100=CLASSIFICATION[[Functional Scope Aggr]:[Functional Scope Aggr]])),
_xlpm._platform_keywords, _xlfn.TEXTSPLIT(SUBSTITUTE(SUBSTITUTE(VLOOKUP($D100,_xlpm._platform_range,3,FALSE),"+"&amp;CHAR(34),"+"),CHAR(34),""),", "),
_xlpm._exists, SUMPRODUCT(--ISNUMBER(MATCH(_xlpm._platform_keywords,_xlpm._original_keywords,0)))&gt;0,
_xlfn.IFS(_xlpm._exists,1,NOT(_xlpm._exists),"")
)</f>
        <v/>
      </c>
      <c r="U100" s="33" t="str" cm="1">
        <f t="array" aca="1" ref="U10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($E100=CLASSIFICATION[[Keyword Aggr]:[Keyword Aggr]])*($D100=CLASSIFICATION[[Functional Scope Aggr]:[Functional Scope Aggr]])),
_xlpm._platform_keywords, _xlfn.TEXTSPLIT(SUBSTITUTE(SUBSTITUTE(VLOOKUP($D100,_xlpm._platform_range,3,FALSE),"+"&amp;CHAR(34),"+"),CHAR(34),""),", "),
_xlpm._exists, SUMPRODUCT(--ISNUMBER(MATCH(_xlpm._platform_keywords,_xlpm._original_keywords,0)))&gt;0,
_xlfn.IFS(_xlpm._exists,1,NOT(_xlpm._exists),"")
)</f>
        <v/>
      </c>
      <c r="V100" s="33" cm="1">
        <f t="array" aca="1" ref="V10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($E100=CLASSIFICATION[[Keyword Aggr]:[Keyword Aggr]])*($D100=CLASSIFICATION[[Functional Scope Aggr]:[Functional Scope Aggr]])),
_xlpm._platform_keywords, _xlfn.TEXTSPLIT(SUBSTITUTE(SUBSTITUTE(VLOOKUP($D100,_xlpm._platform_range,3,FALSE),"+"&amp;CHAR(34),"+"),CHAR(34),""),", "),
_xlpm._exists, SUMPRODUCT(--ISNUMBER(MATCH(_xlpm._platform_keywords,_xlpm._original_keywords,0)))&gt;0,
_xlfn.IFS(_xlpm._exists,1,NOT(_xlpm._exists),"")
)</f>
        <v>1</v>
      </c>
      <c r="X100" s="33" t="str">
        <f t="shared" si="14"/>
        <v/>
      </c>
      <c r="Y100" s="33" t="str">
        <f t="shared" si="15"/>
        <v/>
      </c>
      <c r="Z100" s="33" t="str">
        <f t="shared" si="16"/>
        <v/>
      </c>
      <c r="AA100" s="33" t="str">
        <f t="shared" si="17"/>
        <v/>
      </c>
      <c r="AB100" s="33" t="str">
        <f t="shared" si="18"/>
        <v/>
      </c>
      <c r="AC100" s="33" t="str">
        <f t="shared" si="19"/>
        <v/>
      </c>
    </row>
    <row r="101" spans="1:29" x14ac:dyDescent="0.25">
      <c r="A101" s="19" t="str">
        <v>Development,GUI design and development,CSS/SCSS</v>
      </c>
      <c r="B101" t="s">
        <v>377</v>
      </c>
      <c r="C101" s="19" t="str" cm="1">
        <f t="array" ref="C101:E101">_xlfn.TEXTSPLIT(A101,",")</f>
        <v>Development</v>
      </c>
      <c r="D101" s="19" t="str">
        <v>GUI design and development</v>
      </c>
      <c r="E101" s="19" t="str">
        <v>CSS/SCSS</v>
      </c>
      <c r="F101" s="36" t="str" cm="1">
        <f t="array" ref="F101">_xlfn.TEXTJOIN(",",TRUE,_xlfn._xlws.FILTER(CLASSIFICATION[Keyword], ($E101=CLASSIFICATION[Keyword Aggr])*($D101=CLASSIFICATION[Functional Scope Aggr])))</f>
        <v>CSS,SASS (SCSS),Style Classes</v>
      </c>
      <c r="G101" s="32" t="str">
        <f t="shared" si="11"/>
        <v/>
      </c>
      <c r="H101" s="32" t="str">
        <f t="shared" si="12"/>
        <v/>
      </c>
      <c r="I101" s="32" t="str">
        <f t="shared" si="13"/>
        <v>CSS/SCSS</v>
      </c>
      <c r="J101" s="33" t="str" cm="1">
        <f t="array" aca="1" ref="J10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($E101=CLASSIFICATION[[Keyword Aggr]:[Keyword Aggr]])*($D101=CLASSIFICATION[[Functional Scope Aggr]:[Functional Scope Aggr]])),
_xlpm._platform_keywords, _xlfn.TEXTSPLIT(SUBSTITUTE(SUBSTITUTE(VLOOKUP($D101,_xlpm._platform_range,3,FALSE),"+"&amp;CHAR(34),"+"),CHAR(34),""),", "),
_xlpm._exists, SUMPRODUCT(--ISNUMBER(MATCH(_xlpm._platform_keywords,_xlpm._original_keywords,0)))&gt;0,
_xlfn.IFS(AND(_xlpm._exists,LEFT($E101,1)="+"),"+",_xlpm._exists,"*",NOT(_xlpm._exists),"")
)</f>
        <v>*</v>
      </c>
      <c r="K101" s="33" t="str" cm="1">
        <f t="array" aca="1" ref="K10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($E101=CLASSIFICATION[[Keyword Aggr]:[Keyword Aggr]])*($D101=CLASSIFICATION[[Functional Scope Aggr]:[Functional Scope Aggr]])),
_xlpm._platform_keywords, _xlfn.TEXTSPLIT(SUBSTITUTE(SUBSTITUTE(VLOOKUP($D101,_xlpm._platform_range,3,FALSE),"+"&amp;CHAR(34),"+"),CHAR(34),""),", "),
_xlpm._exists, SUMPRODUCT(--ISNUMBER(MATCH(_xlpm._platform_keywords,_xlpm._original_keywords,0)))&gt;0,
_xlfn.IFS(AND(_xlpm._exists,LEFT($E101,1)="+"),"+",_xlpm._exists,"*",NOT(_xlpm._exists),"")
)</f>
        <v>*</v>
      </c>
      <c r="L101" s="33" t="str" cm="1">
        <f t="array" aca="1" ref="L10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($E101=CLASSIFICATION[[Keyword Aggr]:[Keyword Aggr]])*($D101=CLASSIFICATION[[Functional Scope Aggr]:[Functional Scope Aggr]])),
_xlpm._platform_keywords, _xlfn.TEXTSPLIT(SUBSTITUTE(SUBSTITUTE(VLOOKUP($D101,_xlpm._platform_range,3,FALSE),"+"&amp;CHAR(34),"+"),CHAR(34),""),", "),
_xlpm._exists, SUMPRODUCT(--ISNUMBER(MATCH(_xlpm._platform_keywords,_xlpm._original_keywords,0)))&gt;0,
_xlfn.IFS(AND(_xlpm._exists,LEFT($E101,1)="+"),"+",_xlpm._exists,"*",NOT(_xlpm._exists),"")
)</f>
        <v/>
      </c>
      <c r="M101" s="33" t="str" cm="1">
        <f t="array" aca="1" ref="M10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($E101=CLASSIFICATION[[Keyword Aggr]:[Keyword Aggr]])*($D101=CLASSIFICATION[[Functional Scope Aggr]:[Functional Scope Aggr]])),
_xlpm._platform_keywords, _xlfn.TEXTSPLIT(SUBSTITUTE(SUBSTITUTE(VLOOKUP($D101,_xlpm._platform_range,3,FALSE),"+"&amp;CHAR(34),"+"),CHAR(34),""),", "),
_xlpm._exists, SUMPRODUCT(--ISNUMBER(MATCH(_xlpm._platform_keywords,_xlpm._original_keywords,0)))&gt;0,
_xlfn.IFS(AND(_xlpm._exists,LEFT($E101,1)="+"),"+",_xlpm._exists,"*",NOT(_xlpm._exists),"")
)</f>
        <v/>
      </c>
      <c r="N101" s="33" t="str" cm="1">
        <f t="array" aca="1" ref="N10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($E101=CLASSIFICATION[[Keyword Aggr]:[Keyword Aggr]])*($D101=CLASSIFICATION[[Functional Scope Aggr]:[Functional Scope Aggr]])),
_xlpm._platform_keywords, _xlfn.TEXTSPLIT(SUBSTITUTE(SUBSTITUTE(VLOOKUP($D101,_xlpm._platform_range,3,FALSE),"+"&amp;CHAR(34),"+"),CHAR(34),""),", "),
_xlpm._exists, SUMPRODUCT(--ISNUMBER(MATCH(_xlpm._platform_keywords,_xlpm._original_keywords,0)))&gt;0,
_xlfn.IFS(AND(_xlpm._exists,LEFT($E101,1)="+"),"+",_xlpm._exists,"*",NOT(_xlpm._exists),"")
)</f>
        <v/>
      </c>
      <c r="O101" s="33" t="str" cm="1">
        <f t="array" aca="1" ref="O10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($E101=CLASSIFICATION[[Keyword Aggr]:[Keyword Aggr]])*($D101=CLASSIFICATION[[Functional Scope Aggr]:[Functional Scope Aggr]])),
_xlpm._platform_keywords, _xlfn.TEXTSPLIT(SUBSTITUTE(SUBSTITUTE(VLOOKUP($D101,_xlpm._platform_range,3,FALSE),"+"&amp;CHAR(34),"+"),CHAR(34),""),", "),
_xlpm._exists, SUMPRODUCT(--ISNUMBER(MATCH(_xlpm._platform_keywords,_xlpm._original_keywords,0)))&gt;0,
_xlfn.IFS(AND(_xlpm._exists,LEFT($E101,1)="+"),"+",_xlpm._exists,"*",NOT(_xlpm._exists),"")
)</f>
        <v/>
      </c>
      <c r="Q101" s="33" cm="1">
        <f t="array" aca="1" ref="Q10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($E101=CLASSIFICATION[[Keyword Aggr]:[Keyword Aggr]])*($D101=CLASSIFICATION[[Functional Scope Aggr]:[Functional Scope Aggr]])),
_xlpm._platform_keywords, _xlfn.TEXTSPLIT(SUBSTITUTE(SUBSTITUTE(VLOOKUP($D101,_xlpm._platform_range,3,FALSE),"+"&amp;CHAR(34),"+"),CHAR(34),""),", "),
_xlpm._exists, SUMPRODUCT(--ISNUMBER(MATCH(_xlpm._platform_keywords,_xlpm._original_keywords,0)))&gt;0,
_xlfn.IFS(_xlpm._exists,1,NOT(_xlpm._exists),"")
)</f>
        <v>1</v>
      </c>
      <c r="R101" s="33" cm="1">
        <f t="array" aca="1" ref="R10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($E101=CLASSIFICATION[[Keyword Aggr]:[Keyword Aggr]])*($D101=CLASSIFICATION[[Functional Scope Aggr]:[Functional Scope Aggr]])),
_xlpm._platform_keywords, _xlfn.TEXTSPLIT(SUBSTITUTE(SUBSTITUTE(VLOOKUP($D101,_xlpm._platform_range,3,FALSE),"+"&amp;CHAR(34),"+"),CHAR(34),""),", "),
_xlpm._exists, SUMPRODUCT(--ISNUMBER(MATCH(_xlpm._platform_keywords,_xlpm._original_keywords,0)))&gt;0,
_xlfn.IFS(_xlpm._exists,1,NOT(_xlpm._exists),"")
)</f>
        <v>1</v>
      </c>
      <c r="S101" s="33" t="str" cm="1">
        <f t="array" aca="1" ref="S10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($E101=CLASSIFICATION[[Keyword Aggr]:[Keyword Aggr]])*($D101=CLASSIFICATION[[Functional Scope Aggr]:[Functional Scope Aggr]])),
_xlpm._platform_keywords, _xlfn.TEXTSPLIT(SUBSTITUTE(SUBSTITUTE(VLOOKUP($D101,_xlpm._platform_range,3,FALSE),"+"&amp;CHAR(34),"+"),CHAR(34),""),", "),
_xlpm._exists, SUMPRODUCT(--ISNUMBER(MATCH(_xlpm._platform_keywords,_xlpm._original_keywords,0)))&gt;0,
_xlfn.IFS(_xlpm._exists,1,NOT(_xlpm._exists),"")
)</f>
        <v/>
      </c>
      <c r="T101" s="33" t="str" cm="1">
        <f t="array" aca="1" ref="T10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($E101=CLASSIFICATION[[Keyword Aggr]:[Keyword Aggr]])*($D101=CLASSIFICATION[[Functional Scope Aggr]:[Functional Scope Aggr]])),
_xlpm._platform_keywords, _xlfn.TEXTSPLIT(SUBSTITUTE(SUBSTITUTE(VLOOKUP($D101,_xlpm._platform_range,3,FALSE),"+"&amp;CHAR(34),"+"),CHAR(34),""),", "),
_xlpm._exists, SUMPRODUCT(--ISNUMBER(MATCH(_xlpm._platform_keywords,_xlpm._original_keywords,0)))&gt;0,
_xlfn.IFS(_xlpm._exists,1,NOT(_xlpm._exists),"")
)</f>
        <v/>
      </c>
      <c r="U101" s="33" t="str" cm="1">
        <f t="array" aca="1" ref="U10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($E101=CLASSIFICATION[[Keyword Aggr]:[Keyword Aggr]])*($D101=CLASSIFICATION[[Functional Scope Aggr]:[Functional Scope Aggr]])),
_xlpm._platform_keywords, _xlfn.TEXTSPLIT(SUBSTITUTE(SUBSTITUTE(VLOOKUP($D101,_xlpm._platform_range,3,FALSE),"+"&amp;CHAR(34),"+"),CHAR(34),""),", "),
_xlpm._exists, SUMPRODUCT(--ISNUMBER(MATCH(_xlpm._platform_keywords,_xlpm._original_keywords,0)))&gt;0,
_xlfn.IFS(_xlpm._exists,1,NOT(_xlpm._exists),"")
)</f>
        <v/>
      </c>
      <c r="V101" s="33" t="str" cm="1">
        <f t="array" aca="1" ref="V10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($E101=CLASSIFICATION[[Keyword Aggr]:[Keyword Aggr]])*($D101=CLASSIFICATION[[Functional Scope Aggr]:[Functional Scope Aggr]])),
_xlpm._platform_keywords, _xlfn.TEXTSPLIT(SUBSTITUTE(SUBSTITUTE(VLOOKUP($D101,_xlpm._platform_range,3,FALSE),"+"&amp;CHAR(34),"+"),CHAR(34),""),", "),
_xlpm._exists, SUMPRODUCT(--ISNUMBER(MATCH(_xlpm._platform_keywords,_xlpm._original_keywords,0)))&gt;0,
_xlfn.IFS(_xlpm._exists,1,NOT(_xlpm._exists),"")
)</f>
        <v/>
      </c>
      <c r="X101" s="33" t="str">
        <f t="shared" si="14"/>
        <v/>
      </c>
      <c r="Y101" s="33" t="str">
        <f t="shared" si="15"/>
        <v/>
      </c>
      <c r="Z101" s="33" t="str">
        <f t="shared" si="16"/>
        <v/>
      </c>
      <c r="AA101" s="33" t="str">
        <f t="shared" si="17"/>
        <v/>
      </c>
      <c r="AB101" s="33" t="str">
        <f t="shared" si="18"/>
        <v/>
      </c>
      <c r="AC101" s="33" t="str">
        <f t="shared" si="19"/>
        <v/>
      </c>
    </row>
    <row r="102" spans="1:29" x14ac:dyDescent="0.25">
      <c r="A102" s="19" t="str">
        <v>Development,GUI design and development,Event Propagation</v>
      </c>
      <c r="B102" t="s">
        <v>377</v>
      </c>
      <c r="C102" s="19" t="str" cm="1">
        <f t="array" ref="C102:E102">_xlfn.TEXTSPLIT(A102,",")</f>
        <v>Development</v>
      </c>
      <c r="D102" s="19" t="str">
        <v>GUI design and development</v>
      </c>
      <c r="E102" s="19" t="str">
        <v>Event Propagation</v>
      </c>
      <c r="F102" s="36" t="str" cm="1">
        <f t="array" ref="F102">_xlfn.TEXTJOIN(",",TRUE,_xlfn._xlws.FILTER(CLASSIFICATION[Keyword], ($E102=CLASSIFICATION[Keyword Aggr])*($D102=CLASSIFICATION[Functional Scope Aggr])))</f>
        <v>Event Propagation</v>
      </c>
      <c r="G102" s="32" t="str">
        <f t="shared" si="11"/>
        <v/>
      </c>
      <c r="H102" s="32" t="str">
        <f t="shared" si="12"/>
        <v/>
      </c>
      <c r="I102" s="32" t="str">
        <f t="shared" si="13"/>
        <v>Event Propagation</v>
      </c>
      <c r="J102" s="33" t="str" cm="1">
        <f t="array" aca="1" ref="J10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($E102=CLASSIFICATION[[Keyword Aggr]:[Keyword Aggr]])*($D102=CLASSIFICATION[[Functional Scope Aggr]:[Functional Scope Aggr]])),
_xlpm._platform_keywords, _xlfn.TEXTSPLIT(SUBSTITUTE(SUBSTITUTE(VLOOKUP($D102,_xlpm._platform_range,3,FALSE),"+"&amp;CHAR(34),"+"),CHAR(34),""),", "),
_xlpm._exists, SUMPRODUCT(--ISNUMBER(MATCH(_xlpm._platform_keywords,_xlpm._original_keywords,0)))&gt;0,
_xlfn.IFS(AND(_xlpm._exists,LEFT($E102,1)="+"),"+",_xlpm._exists,"*",NOT(_xlpm._exists),"")
)</f>
        <v/>
      </c>
      <c r="K102" s="33" t="str" cm="1">
        <f t="array" aca="1" ref="K10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($E102=CLASSIFICATION[[Keyword Aggr]:[Keyword Aggr]])*($D102=CLASSIFICATION[[Functional Scope Aggr]:[Functional Scope Aggr]])),
_xlpm._platform_keywords, _xlfn.TEXTSPLIT(SUBSTITUTE(SUBSTITUTE(VLOOKUP($D102,_xlpm._platform_range,3,FALSE),"+"&amp;CHAR(34),"+"),CHAR(34),""),", "),
_xlpm._exists, SUMPRODUCT(--ISNUMBER(MATCH(_xlpm._platform_keywords,_xlpm._original_keywords,0)))&gt;0,
_xlfn.IFS(AND(_xlpm._exists,LEFT($E102,1)="+"),"+",_xlpm._exists,"*",NOT(_xlpm._exists),"")
)</f>
        <v>*</v>
      </c>
      <c r="L102" s="33" t="str" cm="1">
        <f t="array" aca="1" ref="L10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($E102=CLASSIFICATION[[Keyword Aggr]:[Keyword Aggr]])*($D102=CLASSIFICATION[[Functional Scope Aggr]:[Functional Scope Aggr]])),
_xlpm._platform_keywords, _xlfn.TEXTSPLIT(SUBSTITUTE(SUBSTITUTE(VLOOKUP($D102,_xlpm._platform_range,3,FALSE),"+"&amp;CHAR(34),"+"),CHAR(34),""),", "),
_xlpm._exists, SUMPRODUCT(--ISNUMBER(MATCH(_xlpm._platform_keywords,_xlpm._original_keywords,0)))&gt;0,
_xlfn.IFS(AND(_xlpm._exists,LEFT($E102,1)="+"),"+",_xlpm._exists,"*",NOT(_xlpm._exists),"")
)</f>
        <v/>
      </c>
      <c r="M102" s="33" t="str" cm="1">
        <f t="array" aca="1" ref="M10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($E102=CLASSIFICATION[[Keyword Aggr]:[Keyword Aggr]])*($D102=CLASSIFICATION[[Functional Scope Aggr]:[Functional Scope Aggr]])),
_xlpm._platform_keywords, _xlfn.TEXTSPLIT(SUBSTITUTE(SUBSTITUTE(VLOOKUP($D102,_xlpm._platform_range,3,FALSE),"+"&amp;CHAR(34),"+"),CHAR(34),""),", "),
_xlpm._exists, SUMPRODUCT(--ISNUMBER(MATCH(_xlpm._platform_keywords,_xlpm._original_keywords,0)))&gt;0,
_xlfn.IFS(AND(_xlpm._exists,LEFT($E102,1)="+"),"+",_xlpm._exists,"*",NOT(_xlpm._exists),"")
)</f>
        <v/>
      </c>
      <c r="N102" s="33" t="str" cm="1">
        <f t="array" aca="1" ref="N10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($E102=CLASSIFICATION[[Keyword Aggr]:[Keyword Aggr]])*($D102=CLASSIFICATION[[Functional Scope Aggr]:[Functional Scope Aggr]])),
_xlpm._platform_keywords, _xlfn.TEXTSPLIT(SUBSTITUTE(SUBSTITUTE(VLOOKUP($D102,_xlpm._platform_range,3,FALSE),"+"&amp;CHAR(34),"+"),CHAR(34),""),", "),
_xlpm._exists, SUMPRODUCT(--ISNUMBER(MATCH(_xlpm._platform_keywords,_xlpm._original_keywords,0)))&gt;0,
_xlfn.IFS(AND(_xlpm._exists,LEFT($E102,1)="+"),"+",_xlpm._exists,"*",NOT(_xlpm._exists),"")
)</f>
        <v/>
      </c>
      <c r="O102" s="33" t="str" cm="1">
        <f t="array" aca="1" ref="O10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($E102=CLASSIFICATION[[Keyword Aggr]:[Keyword Aggr]])*($D102=CLASSIFICATION[[Functional Scope Aggr]:[Functional Scope Aggr]])),
_xlpm._platform_keywords, _xlfn.TEXTSPLIT(SUBSTITUTE(SUBSTITUTE(VLOOKUP($D102,_xlpm._platform_range,3,FALSE),"+"&amp;CHAR(34),"+"),CHAR(34),""),", "),
_xlpm._exists, SUMPRODUCT(--ISNUMBER(MATCH(_xlpm._platform_keywords,_xlpm._original_keywords,0)))&gt;0,
_xlfn.IFS(AND(_xlpm._exists,LEFT($E102,1)="+"),"+",_xlpm._exists,"*",NOT(_xlpm._exists),"")
)</f>
        <v/>
      </c>
      <c r="Q102" s="33" t="str" cm="1">
        <f t="array" aca="1" ref="Q10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($E102=CLASSIFICATION[[Keyword Aggr]:[Keyword Aggr]])*($D102=CLASSIFICATION[[Functional Scope Aggr]:[Functional Scope Aggr]])),
_xlpm._platform_keywords, _xlfn.TEXTSPLIT(SUBSTITUTE(SUBSTITUTE(VLOOKUP($D102,_xlpm._platform_range,3,FALSE),"+"&amp;CHAR(34),"+"),CHAR(34),""),", "),
_xlpm._exists, SUMPRODUCT(--ISNUMBER(MATCH(_xlpm._platform_keywords,_xlpm._original_keywords,0)))&gt;0,
_xlfn.IFS(_xlpm._exists,1,NOT(_xlpm._exists),"")
)</f>
        <v/>
      </c>
      <c r="R102" s="33" cm="1">
        <f t="array" aca="1" ref="R10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($E102=CLASSIFICATION[[Keyword Aggr]:[Keyword Aggr]])*($D102=CLASSIFICATION[[Functional Scope Aggr]:[Functional Scope Aggr]])),
_xlpm._platform_keywords, _xlfn.TEXTSPLIT(SUBSTITUTE(SUBSTITUTE(VLOOKUP($D102,_xlpm._platform_range,3,FALSE),"+"&amp;CHAR(34),"+"),CHAR(34),""),", "),
_xlpm._exists, SUMPRODUCT(--ISNUMBER(MATCH(_xlpm._platform_keywords,_xlpm._original_keywords,0)))&gt;0,
_xlfn.IFS(_xlpm._exists,1,NOT(_xlpm._exists),"")
)</f>
        <v>1</v>
      </c>
      <c r="S102" s="33" t="str" cm="1">
        <f t="array" aca="1" ref="S10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($E102=CLASSIFICATION[[Keyword Aggr]:[Keyword Aggr]])*($D102=CLASSIFICATION[[Functional Scope Aggr]:[Functional Scope Aggr]])),
_xlpm._platform_keywords, _xlfn.TEXTSPLIT(SUBSTITUTE(SUBSTITUTE(VLOOKUP($D102,_xlpm._platform_range,3,FALSE),"+"&amp;CHAR(34),"+"),CHAR(34),""),", "),
_xlpm._exists, SUMPRODUCT(--ISNUMBER(MATCH(_xlpm._platform_keywords,_xlpm._original_keywords,0)))&gt;0,
_xlfn.IFS(_xlpm._exists,1,NOT(_xlpm._exists),"")
)</f>
        <v/>
      </c>
      <c r="T102" s="33" t="str" cm="1">
        <f t="array" aca="1" ref="T10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($E102=CLASSIFICATION[[Keyword Aggr]:[Keyword Aggr]])*($D102=CLASSIFICATION[[Functional Scope Aggr]:[Functional Scope Aggr]])),
_xlpm._platform_keywords, _xlfn.TEXTSPLIT(SUBSTITUTE(SUBSTITUTE(VLOOKUP($D102,_xlpm._platform_range,3,FALSE),"+"&amp;CHAR(34),"+"),CHAR(34),""),", "),
_xlpm._exists, SUMPRODUCT(--ISNUMBER(MATCH(_xlpm._platform_keywords,_xlpm._original_keywords,0)))&gt;0,
_xlfn.IFS(_xlpm._exists,1,NOT(_xlpm._exists),"")
)</f>
        <v/>
      </c>
      <c r="U102" s="33" t="str" cm="1">
        <f t="array" aca="1" ref="U10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($E102=CLASSIFICATION[[Keyword Aggr]:[Keyword Aggr]])*($D102=CLASSIFICATION[[Functional Scope Aggr]:[Functional Scope Aggr]])),
_xlpm._platform_keywords, _xlfn.TEXTSPLIT(SUBSTITUTE(SUBSTITUTE(VLOOKUP($D102,_xlpm._platform_range,3,FALSE),"+"&amp;CHAR(34),"+"),CHAR(34),""),", "),
_xlpm._exists, SUMPRODUCT(--ISNUMBER(MATCH(_xlpm._platform_keywords,_xlpm._original_keywords,0)))&gt;0,
_xlfn.IFS(_xlpm._exists,1,NOT(_xlpm._exists),"")
)</f>
        <v/>
      </c>
      <c r="V102" s="33" t="str" cm="1">
        <f t="array" aca="1" ref="V10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($E102=CLASSIFICATION[[Keyword Aggr]:[Keyword Aggr]])*($D102=CLASSIFICATION[[Functional Scope Aggr]:[Functional Scope Aggr]])),
_xlpm._platform_keywords, _xlfn.TEXTSPLIT(SUBSTITUTE(SUBSTITUTE(VLOOKUP($D102,_xlpm._platform_range,3,FALSE),"+"&amp;CHAR(34),"+"),CHAR(34),""),", "),
_xlpm._exists, SUMPRODUCT(--ISNUMBER(MATCH(_xlpm._platform_keywords,_xlpm._original_keywords,0)))&gt;0,
_xlfn.IFS(_xlpm._exists,1,NOT(_xlpm._exists),"")
)</f>
        <v/>
      </c>
      <c r="X102" s="33" t="str">
        <f t="shared" si="14"/>
        <v/>
      </c>
      <c r="Y102" s="33" t="str">
        <f t="shared" si="15"/>
        <v/>
      </c>
      <c r="Z102" s="33" t="str">
        <f t="shared" si="16"/>
        <v/>
      </c>
      <c r="AA102" s="33" t="str">
        <f t="shared" si="17"/>
        <v/>
      </c>
      <c r="AB102" s="33" t="str">
        <f t="shared" si="18"/>
        <v/>
      </c>
      <c r="AC102" s="33" t="str">
        <f t="shared" si="19"/>
        <v/>
      </c>
    </row>
    <row r="103" spans="1:29" x14ac:dyDescent="0.25">
      <c r="A103" s="19" t="str">
        <v>Development,GUI design and development,Responsive Web Design</v>
      </c>
      <c r="B103" t="s">
        <v>377</v>
      </c>
      <c r="C103" s="19" t="str" cm="1">
        <f t="array" ref="C103:E103">_xlfn.TEXTSPLIT(A103,",")</f>
        <v>Development</v>
      </c>
      <c r="D103" s="19" t="str">
        <v>GUI design and development</v>
      </c>
      <c r="E103" s="19" t="str">
        <v>Responsive Web Design</v>
      </c>
      <c r="F103" s="36" t="str" cm="1">
        <f t="array" ref="F103">_xlfn.TEXTJOIN(",",TRUE,_xlfn._xlws.FILTER(CLASSIFICATION[Keyword], ($E103=CLASSIFICATION[Keyword Aggr])*($D103=CLASSIFICATION[Functional Scope Aggr])))</f>
        <v>Grid,Reactive Web App,Responsive Breakpoints,Responsive Web Design</v>
      </c>
      <c r="G103" s="32" t="str">
        <f t="shared" si="11"/>
        <v/>
      </c>
      <c r="H103" s="32" t="str">
        <f t="shared" si="12"/>
        <v/>
      </c>
      <c r="I103" s="32" t="str">
        <f t="shared" si="13"/>
        <v>Responsive Web Design</v>
      </c>
      <c r="J103" s="33" t="str" cm="1">
        <f t="array" aca="1" ref="J10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($E103=CLASSIFICATION[[Keyword Aggr]:[Keyword Aggr]])*($D103=CLASSIFICATION[[Functional Scope Aggr]:[Functional Scope Aggr]])),
_xlpm._platform_keywords, _xlfn.TEXTSPLIT(SUBSTITUTE(SUBSTITUTE(VLOOKUP($D103,_xlpm._platform_range,3,FALSE),"+"&amp;CHAR(34),"+"),CHAR(34),""),", "),
_xlpm._exists, SUMPRODUCT(--ISNUMBER(MATCH(_xlpm._platform_keywords,_xlpm._original_keywords,0)))&gt;0,
_xlfn.IFS(AND(_xlpm._exists,LEFT($E103,1)="+"),"+",_xlpm._exists,"*",NOT(_xlpm._exists),"")
)</f>
        <v/>
      </c>
      <c r="K103" s="33" t="str" cm="1">
        <f t="array" aca="1" ref="K10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($E103=CLASSIFICATION[[Keyword Aggr]:[Keyword Aggr]])*($D103=CLASSIFICATION[[Functional Scope Aggr]:[Functional Scope Aggr]])),
_xlpm._platform_keywords, _xlfn.TEXTSPLIT(SUBSTITUTE(SUBSTITUTE(VLOOKUP($D103,_xlpm._platform_range,3,FALSE),"+"&amp;CHAR(34),"+"),CHAR(34),""),", "),
_xlpm._exists, SUMPRODUCT(--ISNUMBER(MATCH(_xlpm._platform_keywords,_xlpm._original_keywords,0)))&gt;0,
_xlfn.IFS(AND(_xlpm._exists,LEFT($E103,1)="+"),"+",_xlpm._exists,"*",NOT(_xlpm._exists),"")
)</f>
        <v>*</v>
      </c>
      <c r="L103" s="33" t="str" cm="1">
        <f t="array" aca="1" ref="L10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($E103=CLASSIFICATION[[Keyword Aggr]:[Keyword Aggr]])*($D103=CLASSIFICATION[[Functional Scope Aggr]:[Functional Scope Aggr]])),
_xlpm._platform_keywords, _xlfn.TEXTSPLIT(SUBSTITUTE(SUBSTITUTE(VLOOKUP($D103,_xlpm._platform_range,3,FALSE),"+"&amp;CHAR(34),"+"),CHAR(34),""),", "),
_xlpm._exists, SUMPRODUCT(--ISNUMBER(MATCH(_xlpm._platform_keywords,_xlpm._original_keywords,0)))&gt;0,
_xlfn.IFS(AND(_xlpm._exists,LEFT($E103,1)="+"),"+",_xlpm._exists,"*",NOT(_xlpm._exists),"")
)</f>
        <v/>
      </c>
      <c r="M103" s="33" t="str" cm="1">
        <f t="array" aca="1" ref="M10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($E103=CLASSIFICATION[[Keyword Aggr]:[Keyword Aggr]])*($D103=CLASSIFICATION[[Functional Scope Aggr]:[Functional Scope Aggr]])),
_xlpm._platform_keywords, _xlfn.TEXTSPLIT(SUBSTITUTE(SUBSTITUTE(VLOOKUP($D103,_xlpm._platform_range,3,FALSE),"+"&amp;CHAR(34),"+"),CHAR(34),""),", "),
_xlpm._exists, SUMPRODUCT(--ISNUMBER(MATCH(_xlpm._platform_keywords,_xlpm._original_keywords,0)))&gt;0,
_xlfn.IFS(AND(_xlpm._exists,LEFT($E103,1)="+"),"+",_xlpm._exists,"*",NOT(_xlpm._exists),"")
)</f>
        <v/>
      </c>
      <c r="N103" s="33" t="str" cm="1">
        <f t="array" aca="1" ref="N10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($E103=CLASSIFICATION[[Keyword Aggr]:[Keyword Aggr]])*($D103=CLASSIFICATION[[Functional Scope Aggr]:[Functional Scope Aggr]])),
_xlpm._platform_keywords, _xlfn.TEXTSPLIT(SUBSTITUTE(SUBSTITUTE(VLOOKUP($D103,_xlpm._platform_range,3,FALSE),"+"&amp;CHAR(34),"+"),CHAR(34),""),", "),
_xlpm._exists, SUMPRODUCT(--ISNUMBER(MATCH(_xlpm._platform_keywords,_xlpm._original_keywords,0)))&gt;0,
_xlfn.IFS(AND(_xlpm._exists,LEFT($E103,1)="+"),"+",_xlpm._exists,"*",NOT(_xlpm._exists),"")
)</f>
        <v/>
      </c>
      <c r="O103" s="33" t="str" cm="1">
        <f t="array" aca="1" ref="O10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($E103=CLASSIFICATION[[Keyword Aggr]:[Keyword Aggr]])*($D103=CLASSIFICATION[[Functional Scope Aggr]:[Functional Scope Aggr]])),
_xlpm._platform_keywords, _xlfn.TEXTSPLIT(SUBSTITUTE(SUBSTITUTE(VLOOKUP($D103,_xlpm._platform_range,3,FALSE),"+"&amp;CHAR(34),"+"),CHAR(34),""),", "),
_xlpm._exists, SUMPRODUCT(--ISNUMBER(MATCH(_xlpm._platform_keywords,_xlpm._original_keywords,0)))&gt;0,
_xlfn.IFS(AND(_xlpm._exists,LEFT($E103,1)="+"),"+",_xlpm._exists,"*",NOT(_xlpm._exists),"")
)</f>
        <v/>
      </c>
      <c r="Q103" s="33" t="str" cm="1">
        <f t="array" aca="1" ref="Q10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($E103=CLASSIFICATION[[Keyword Aggr]:[Keyword Aggr]])*($D103=CLASSIFICATION[[Functional Scope Aggr]:[Functional Scope Aggr]])),
_xlpm._platform_keywords, _xlfn.TEXTSPLIT(SUBSTITUTE(SUBSTITUTE(VLOOKUP($D103,_xlpm._platform_range,3,FALSE),"+"&amp;CHAR(34),"+"),CHAR(34),""),", "),
_xlpm._exists, SUMPRODUCT(--ISNUMBER(MATCH(_xlpm._platform_keywords,_xlpm._original_keywords,0)))&gt;0,
_xlfn.IFS(_xlpm._exists,1,NOT(_xlpm._exists),"")
)</f>
        <v/>
      </c>
      <c r="R103" s="33" cm="1">
        <f t="array" aca="1" ref="R10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($E103=CLASSIFICATION[[Keyword Aggr]:[Keyword Aggr]])*($D103=CLASSIFICATION[[Functional Scope Aggr]:[Functional Scope Aggr]])),
_xlpm._platform_keywords, _xlfn.TEXTSPLIT(SUBSTITUTE(SUBSTITUTE(VLOOKUP($D103,_xlpm._platform_range,3,FALSE),"+"&amp;CHAR(34),"+"),CHAR(34),""),", "),
_xlpm._exists, SUMPRODUCT(--ISNUMBER(MATCH(_xlpm._platform_keywords,_xlpm._original_keywords,0)))&gt;0,
_xlfn.IFS(_xlpm._exists,1,NOT(_xlpm._exists),"")
)</f>
        <v>1</v>
      </c>
      <c r="S103" s="33" t="str" cm="1">
        <f t="array" aca="1" ref="S10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($E103=CLASSIFICATION[[Keyword Aggr]:[Keyword Aggr]])*($D103=CLASSIFICATION[[Functional Scope Aggr]:[Functional Scope Aggr]])),
_xlpm._platform_keywords, _xlfn.TEXTSPLIT(SUBSTITUTE(SUBSTITUTE(VLOOKUP($D103,_xlpm._platform_range,3,FALSE),"+"&amp;CHAR(34),"+"),CHAR(34),""),", "),
_xlpm._exists, SUMPRODUCT(--ISNUMBER(MATCH(_xlpm._platform_keywords,_xlpm._original_keywords,0)))&gt;0,
_xlfn.IFS(_xlpm._exists,1,NOT(_xlpm._exists),"")
)</f>
        <v/>
      </c>
      <c r="T103" s="33" t="str" cm="1">
        <f t="array" aca="1" ref="T10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($E103=CLASSIFICATION[[Keyword Aggr]:[Keyword Aggr]])*($D103=CLASSIFICATION[[Functional Scope Aggr]:[Functional Scope Aggr]])),
_xlpm._platform_keywords, _xlfn.TEXTSPLIT(SUBSTITUTE(SUBSTITUTE(VLOOKUP($D103,_xlpm._platform_range,3,FALSE),"+"&amp;CHAR(34),"+"),CHAR(34),""),", "),
_xlpm._exists, SUMPRODUCT(--ISNUMBER(MATCH(_xlpm._platform_keywords,_xlpm._original_keywords,0)))&gt;0,
_xlfn.IFS(_xlpm._exists,1,NOT(_xlpm._exists),"")
)</f>
        <v/>
      </c>
      <c r="U103" s="33" t="str" cm="1">
        <f t="array" aca="1" ref="U10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($E103=CLASSIFICATION[[Keyword Aggr]:[Keyword Aggr]])*($D103=CLASSIFICATION[[Functional Scope Aggr]:[Functional Scope Aggr]])),
_xlpm._platform_keywords, _xlfn.TEXTSPLIT(SUBSTITUTE(SUBSTITUTE(VLOOKUP($D103,_xlpm._platform_range,3,FALSE),"+"&amp;CHAR(34),"+"),CHAR(34),""),", "),
_xlpm._exists, SUMPRODUCT(--ISNUMBER(MATCH(_xlpm._platform_keywords,_xlpm._original_keywords,0)))&gt;0,
_xlfn.IFS(_xlpm._exists,1,NOT(_xlpm._exists),"")
)</f>
        <v/>
      </c>
      <c r="V103" s="33" t="str" cm="1">
        <f t="array" aca="1" ref="V10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($E103=CLASSIFICATION[[Keyword Aggr]:[Keyword Aggr]])*($D103=CLASSIFICATION[[Functional Scope Aggr]:[Functional Scope Aggr]])),
_xlpm._platform_keywords, _xlfn.TEXTSPLIT(SUBSTITUTE(SUBSTITUTE(VLOOKUP($D103,_xlpm._platform_range,3,FALSE),"+"&amp;CHAR(34),"+"),CHAR(34),""),", "),
_xlpm._exists, SUMPRODUCT(--ISNUMBER(MATCH(_xlpm._platform_keywords,_xlpm._original_keywords,0)))&gt;0,
_xlfn.IFS(_xlpm._exists,1,NOT(_xlpm._exists),"")
)</f>
        <v/>
      </c>
      <c r="X103" s="33" t="str">
        <f t="shared" si="14"/>
        <v/>
      </c>
      <c r="Y103" s="33" t="str">
        <f t="shared" si="15"/>
        <v/>
      </c>
      <c r="Z103" s="33" t="str">
        <f t="shared" si="16"/>
        <v/>
      </c>
      <c r="AA103" s="33" t="str">
        <f t="shared" si="17"/>
        <v/>
      </c>
      <c r="AB103" s="33" t="str">
        <f t="shared" si="18"/>
        <v/>
      </c>
      <c r="AC103" s="33" t="str">
        <f t="shared" si="19"/>
        <v/>
      </c>
    </row>
    <row r="104" spans="1:29" x14ac:dyDescent="0.25">
      <c r="A104" s="19" t="str">
        <v>Development,GUI design and development,HTML</v>
      </c>
      <c r="B104" t="s">
        <v>377</v>
      </c>
      <c r="C104" s="19" t="str" cm="1">
        <f t="array" ref="C104:E104">_xlfn.TEXTSPLIT(A104,",")</f>
        <v>Development</v>
      </c>
      <c r="D104" s="19" t="str">
        <v>GUI design and development</v>
      </c>
      <c r="E104" s="19" t="str">
        <v>HTML</v>
      </c>
      <c r="F104" s="36" t="str" cm="1">
        <f t="array" ref="F104">_xlfn.TEXTJOIN(",",TRUE,_xlfn._xlws.FILTER(CLASSIFICATION[Keyword], ($E104=CLASSIFICATION[Keyword Aggr])*($D104=CLASSIFICATION[Functional Scope Aggr])))</f>
        <v>HTML</v>
      </c>
      <c r="G104" s="32" t="str">
        <f t="shared" si="11"/>
        <v/>
      </c>
      <c r="H104" s="32" t="str">
        <f t="shared" si="12"/>
        <v/>
      </c>
      <c r="I104" s="32" t="str">
        <f t="shared" si="13"/>
        <v>HTML</v>
      </c>
      <c r="J104" s="33" t="str" cm="1">
        <f t="array" aca="1" ref="J10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($E104=CLASSIFICATION[[Keyword Aggr]:[Keyword Aggr]])*($D104=CLASSIFICATION[[Functional Scope Aggr]:[Functional Scope Aggr]])),
_xlpm._platform_keywords, _xlfn.TEXTSPLIT(SUBSTITUTE(SUBSTITUTE(VLOOKUP($D104,_xlpm._platform_range,3,FALSE),"+"&amp;CHAR(34),"+"),CHAR(34),""),", "),
_xlpm._exists, SUMPRODUCT(--ISNUMBER(MATCH(_xlpm._platform_keywords,_xlpm._original_keywords,0)))&gt;0,
_xlfn.IFS(AND(_xlpm._exists,LEFT($E104,1)="+"),"+",_xlpm._exists,"*",NOT(_xlpm._exists),"")
)</f>
        <v>*</v>
      </c>
      <c r="K104" s="33" t="str" cm="1">
        <f t="array" aca="1" ref="K10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($E104=CLASSIFICATION[[Keyword Aggr]:[Keyword Aggr]])*($D104=CLASSIFICATION[[Functional Scope Aggr]:[Functional Scope Aggr]])),
_xlpm._platform_keywords, _xlfn.TEXTSPLIT(SUBSTITUTE(SUBSTITUTE(VLOOKUP($D104,_xlpm._platform_range,3,FALSE),"+"&amp;CHAR(34),"+"),CHAR(34),""),", "),
_xlpm._exists, SUMPRODUCT(--ISNUMBER(MATCH(_xlpm._platform_keywords,_xlpm._original_keywords,0)))&gt;0,
_xlfn.IFS(AND(_xlpm._exists,LEFT($E104,1)="+"),"+",_xlpm._exists,"*",NOT(_xlpm._exists),"")
)</f>
        <v>*</v>
      </c>
      <c r="L104" s="33" t="str" cm="1">
        <f t="array" aca="1" ref="L10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($E104=CLASSIFICATION[[Keyword Aggr]:[Keyword Aggr]])*($D104=CLASSIFICATION[[Functional Scope Aggr]:[Functional Scope Aggr]])),
_xlpm._platform_keywords, _xlfn.TEXTSPLIT(SUBSTITUTE(SUBSTITUTE(VLOOKUP($D104,_xlpm._platform_range,3,FALSE),"+"&amp;CHAR(34),"+"),CHAR(34),""),", "),
_xlpm._exists, SUMPRODUCT(--ISNUMBER(MATCH(_xlpm._platform_keywords,_xlpm._original_keywords,0)))&gt;0,
_xlfn.IFS(AND(_xlpm._exists,LEFT($E104,1)="+"),"+",_xlpm._exists,"*",NOT(_xlpm._exists),"")
)</f>
        <v>*</v>
      </c>
      <c r="M104" s="33" t="str" cm="1">
        <f t="array" aca="1" ref="M10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($E104=CLASSIFICATION[[Keyword Aggr]:[Keyword Aggr]])*($D104=CLASSIFICATION[[Functional Scope Aggr]:[Functional Scope Aggr]])),
_xlpm._platform_keywords, _xlfn.TEXTSPLIT(SUBSTITUTE(SUBSTITUTE(VLOOKUP($D104,_xlpm._platform_range,3,FALSE),"+"&amp;CHAR(34),"+"),CHAR(34),""),", "),
_xlpm._exists, SUMPRODUCT(--ISNUMBER(MATCH(_xlpm._platform_keywords,_xlpm._original_keywords,0)))&gt;0,
_xlfn.IFS(AND(_xlpm._exists,LEFT($E104,1)="+"),"+",_xlpm._exists,"*",NOT(_xlpm._exists),"")
)</f>
        <v/>
      </c>
      <c r="N104" s="33" t="str" cm="1">
        <f t="array" aca="1" ref="N10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($E104=CLASSIFICATION[[Keyword Aggr]:[Keyword Aggr]])*($D104=CLASSIFICATION[[Functional Scope Aggr]:[Functional Scope Aggr]])),
_xlpm._platform_keywords, _xlfn.TEXTSPLIT(SUBSTITUTE(SUBSTITUTE(VLOOKUP($D104,_xlpm._platform_range,3,FALSE),"+"&amp;CHAR(34),"+"),CHAR(34),""),", "),
_xlpm._exists, SUMPRODUCT(--ISNUMBER(MATCH(_xlpm._platform_keywords,_xlpm._original_keywords,0)))&gt;0,
_xlfn.IFS(AND(_xlpm._exists,LEFT($E104,1)="+"),"+",_xlpm._exists,"*",NOT(_xlpm._exists),"")
)</f>
        <v/>
      </c>
      <c r="O104" s="33" t="str" cm="1">
        <f t="array" aca="1" ref="O10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($E104=CLASSIFICATION[[Keyword Aggr]:[Keyword Aggr]])*($D104=CLASSIFICATION[[Functional Scope Aggr]:[Functional Scope Aggr]])),
_xlpm._platform_keywords, _xlfn.TEXTSPLIT(SUBSTITUTE(SUBSTITUTE(VLOOKUP($D104,_xlpm._platform_range,3,FALSE),"+"&amp;CHAR(34),"+"),CHAR(34),""),", "),
_xlpm._exists, SUMPRODUCT(--ISNUMBER(MATCH(_xlpm._platform_keywords,_xlpm._original_keywords,0)))&gt;0,
_xlfn.IFS(AND(_xlpm._exists,LEFT($E104,1)="+"),"+",_xlpm._exists,"*",NOT(_xlpm._exists),"")
)</f>
        <v/>
      </c>
      <c r="Q104" s="33" cm="1">
        <f t="array" aca="1" ref="Q10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($E104=CLASSIFICATION[[Keyword Aggr]:[Keyword Aggr]])*($D104=CLASSIFICATION[[Functional Scope Aggr]:[Functional Scope Aggr]])),
_xlpm._platform_keywords, _xlfn.TEXTSPLIT(SUBSTITUTE(SUBSTITUTE(VLOOKUP($D104,_xlpm._platform_range,3,FALSE),"+"&amp;CHAR(34),"+"),CHAR(34),""),", "),
_xlpm._exists, SUMPRODUCT(--ISNUMBER(MATCH(_xlpm._platform_keywords,_xlpm._original_keywords,0)))&gt;0,
_xlfn.IFS(_xlpm._exists,1,NOT(_xlpm._exists),"")
)</f>
        <v>1</v>
      </c>
      <c r="R104" s="33" cm="1">
        <f t="array" aca="1" ref="R10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($E104=CLASSIFICATION[[Keyword Aggr]:[Keyword Aggr]])*($D104=CLASSIFICATION[[Functional Scope Aggr]:[Functional Scope Aggr]])),
_xlpm._platform_keywords, _xlfn.TEXTSPLIT(SUBSTITUTE(SUBSTITUTE(VLOOKUP($D104,_xlpm._platform_range,3,FALSE),"+"&amp;CHAR(34),"+"),CHAR(34),""),", "),
_xlpm._exists, SUMPRODUCT(--ISNUMBER(MATCH(_xlpm._platform_keywords,_xlpm._original_keywords,0)))&gt;0,
_xlfn.IFS(_xlpm._exists,1,NOT(_xlpm._exists),"")
)</f>
        <v>1</v>
      </c>
      <c r="S104" s="33" cm="1">
        <f t="array" aca="1" ref="S10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($E104=CLASSIFICATION[[Keyword Aggr]:[Keyword Aggr]])*($D104=CLASSIFICATION[[Functional Scope Aggr]:[Functional Scope Aggr]])),
_xlpm._platform_keywords, _xlfn.TEXTSPLIT(SUBSTITUTE(SUBSTITUTE(VLOOKUP($D104,_xlpm._platform_range,3,FALSE),"+"&amp;CHAR(34),"+"),CHAR(34),""),", "),
_xlpm._exists, SUMPRODUCT(--ISNUMBER(MATCH(_xlpm._platform_keywords,_xlpm._original_keywords,0)))&gt;0,
_xlfn.IFS(_xlpm._exists,1,NOT(_xlpm._exists),"")
)</f>
        <v>1</v>
      </c>
      <c r="T104" s="33" t="str" cm="1">
        <f t="array" aca="1" ref="T10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($E104=CLASSIFICATION[[Keyword Aggr]:[Keyword Aggr]])*($D104=CLASSIFICATION[[Functional Scope Aggr]:[Functional Scope Aggr]])),
_xlpm._platform_keywords, _xlfn.TEXTSPLIT(SUBSTITUTE(SUBSTITUTE(VLOOKUP($D104,_xlpm._platform_range,3,FALSE),"+"&amp;CHAR(34),"+"),CHAR(34),""),", "),
_xlpm._exists, SUMPRODUCT(--ISNUMBER(MATCH(_xlpm._platform_keywords,_xlpm._original_keywords,0)))&gt;0,
_xlfn.IFS(_xlpm._exists,1,NOT(_xlpm._exists),"")
)</f>
        <v/>
      </c>
      <c r="U104" s="33" t="str" cm="1">
        <f t="array" aca="1" ref="U10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($E104=CLASSIFICATION[[Keyword Aggr]:[Keyword Aggr]])*($D104=CLASSIFICATION[[Functional Scope Aggr]:[Functional Scope Aggr]])),
_xlpm._platform_keywords, _xlfn.TEXTSPLIT(SUBSTITUTE(SUBSTITUTE(VLOOKUP($D104,_xlpm._platform_range,3,FALSE),"+"&amp;CHAR(34),"+"),CHAR(34),""),", "),
_xlpm._exists, SUMPRODUCT(--ISNUMBER(MATCH(_xlpm._platform_keywords,_xlpm._original_keywords,0)))&gt;0,
_xlfn.IFS(_xlpm._exists,1,NOT(_xlpm._exists),"")
)</f>
        <v/>
      </c>
      <c r="V104" s="33" t="str" cm="1">
        <f t="array" aca="1" ref="V10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($E104=CLASSIFICATION[[Keyword Aggr]:[Keyword Aggr]])*($D104=CLASSIFICATION[[Functional Scope Aggr]:[Functional Scope Aggr]])),
_xlpm._platform_keywords, _xlfn.TEXTSPLIT(SUBSTITUTE(SUBSTITUTE(VLOOKUP($D104,_xlpm._platform_range,3,FALSE),"+"&amp;CHAR(34),"+"),CHAR(34),""),", "),
_xlpm._exists, SUMPRODUCT(--ISNUMBER(MATCH(_xlpm._platform_keywords,_xlpm._original_keywords,0)))&gt;0,
_xlfn.IFS(_xlpm._exists,1,NOT(_xlpm._exists),"")
)</f>
        <v/>
      </c>
      <c r="X104" s="33" t="str">
        <f t="shared" si="14"/>
        <v/>
      </c>
      <c r="Y104" s="33" t="str">
        <f t="shared" si="15"/>
        <v/>
      </c>
      <c r="Z104" s="33" t="str">
        <f t="shared" si="16"/>
        <v/>
      </c>
      <c r="AA104" s="33" t="str">
        <f t="shared" si="17"/>
        <v/>
      </c>
      <c r="AB104" s="33" t="str">
        <f t="shared" si="18"/>
        <v/>
      </c>
      <c r="AC104" s="33" t="str">
        <f t="shared" si="19"/>
        <v/>
      </c>
    </row>
    <row r="105" spans="1:29" x14ac:dyDescent="0.25">
      <c r="A105" s="19" t="str">
        <v>Development,GUI design and development,IT Data Types</v>
      </c>
      <c r="B105" t="s">
        <v>377</v>
      </c>
      <c r="C105" s="19" t="str" cm="1">
        <f t="array" ref="C105:E105">_xlfn.TEXTSPLIT(A105,",")</f>
        <v>Development</v>
      </c>
      <c r="D105" s="19" t="str">
        <v>GUI design and development</v>
      </c>
      <c r="E105" s="19" t="str">
        <v>IT Data Types</v>
      </c>
      <c r="F105" s="36" t="str" cm="1">
        <f t="array" ref="F105">_xlfn.TEXTJOIN(",",TRUE,_xlfn._xlws.FILTER(CLASSIFICATION[Keyword], ($E105=CLASSIFICATION[Keyword Aggr])*($D105=CLASSIFICATION[Functional Scope Aggr])))</f>
        <v>IT Data Types</v>
      </c>
      <c r="G105" s="32" t="str">
        <f t="shared" si="11"/>
        <v/>
      </c>
      <c r="H105" s="32" t="str">
        <f t="shared" si="12"/>
        <v/>
      </c>
      <c r="I105" s="32" t="str">
        <f t="shared" si="13"/>
        <v>IT Data Types</v>
      </c>
      <c r="J105" s="33" t="str" cm="1">
        <f t="array" aca="1" ref="J10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($E105=CLASSIFICATION[[Keyword Aggr]:[Keyword Aggr]])*($D105=CLASSIFICATION[[Functional Scope Aggr]:[Functional Scope Aggr]])),
_xlpm._platform_keywords, _xlfn.TEXTSPLIT(SUBSTITUTE(SUBSTITUTE(VLOOKUP($D105,_xlpm._platform_range,3,FALSE),"+"&amp;CHAR(34),"+"),CHAR(34),""),", "),
_xlpm._exists, SUMPRODUCT(--ISNUMBER(MATCH(_xlpm._platform_keywords,_xlpm._original_keywords,0)))&gt;0,
_xlfn.IFS(AND(_xlpm._exists,LEFT($E105,1)="+"),"+",_xlpm._exists,"*",NOT(_xlpm._exists),"")
)</f>
        <v/>
      </c>
      <c r="K105" s="33" t="str" cm="1">
        <f t="array" aca="1" ref="K10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($E105=CLASSIFICATION[[Keyword Aggr]:[Keyword Aggr]])*($D105=CLASSIFICATION[[Functional Scope Aggr]:[Functional Scope Aggr]])),
_xlpm._platform_keywords, _xlfn.TEXTSPLIT(SUBSTITUTE(SUBSTITUTE(VLOOKUP($D105,_xlpm._platform_range,3,FALSE),"+"&amp;CHAR(34),"+"),CHAR(34),""),", "),
_xlpm._exists, SUMPRODUCT(--ISNUMBER(MATCH(_xlpm._platform_keywords,_xlpm._original_keywords,0)))&gt;0,
_xlfn.IFS(AND(_xlpm._exists,LEFT($E105,1)="+"),"+",_xlpm._exists,"*",NOT(_xlpm._exists),"")
)</f>
        <v>*</v>
      </c>
      <c r="L105" s="33" t="str" cm="1">
        <f t="array" aca="1" ref="L10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($E105=CLASSIFICATION[[Keyword Aggr]:[Keyword Aggr]])*($D105=CLASSIFICATION[[Functional Scope Aggr]:[Functional Scope Aggr]])),
_xlpm._platform_keywords, _xlfn.TEXTSPLIT(SUBSTITUTE(SUBSTITUTE(VLOOKUP($D105,_xlpm._platform_range,3,FALSE),"+"&amp;CHAR(34),"+"),CHAR(34),""),", "),
_xlpm._exists, SUMPRODUCT(--ISNUMBER(MATCH(_xlpm._platform_keywords,_xlpm._original_keywords,0)))&gt;0,
_xlfn.IFS(AND(_xlpm._exists,LEFT($E105,1)="+"),"+",_xlpm._exists,"*",NOT(_xlpm._exists),"")
)</f>
        <v>*</v>
      </c>
      <c r="M105" s="33" t="str" cm="1">
        <f t="array" aca="1" ref="M10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($E105=CLASSIFICATION[[Keyword Aggr]:[Keyword Aggr]])*($D105=CLASSIFICATION[[Functional Scope Aggr]:[Functional Scope Aggr]])),
_xlpm._platform_keywords, _xlfn.TEXTSPLIT(SUBSTITUTE(SUBSTITUTE(VLOOKUP($D105,_xlpm._platform_range,3,FALSE),"+"&amp;CHAR(34),"+"),CHAR(34),""),", "),
_xlpm._exists, SUMPRODUCT(--ISNUMBER(MATCH(_xlpm._platform_keywords,_xlpm._original_keywords,0)))&gt;0,
_xlfn.IFS(AND(_xlpm._exists,LEFT($E105,1)="+"),"+",_xlpm._exists,"*",NOT(_xlpm._exists),"")
)</f>
        <v>*</v>
      </c>
      <c r="N105" s="33" t="str" cm="1">
        <f t="array" aca="1" ref="N10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($E105=CLASSIFICATION[[Keyword Aggr]:[Keyword Aggr]])*($D105=CLASSIFICATION[[Functional Scope Aggr]:[Functional Scope Aggr]])),
_xlpm._platform_keywords, _xlfn.TEXTSPLIT(SUBSTITUTE(SUBSTITUTE(VLOOKUP($D105,_xlpm._platform_range,3,FALSE),"+"&amp;CHAR(34),"+"),CHAR(34),""),", "),
_xlpm._exists, SUMPRODUCT(--ISNUMBER(MATCH(_xlpm._platform_keywords,_xlpm._original_keywords,0)))&gt;0,
_xlfn.IFS(AND(_xlpm._exists,LEFT($E105,1)="+"),"+",_xlpm._exists,"*",NOT(_xlpm._exists),"")
)</f>
        <v/>
      </c>
      <c r="O105" s="33" t="str" cm="1">
        <f t="array" aca="1" ref="O10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($E105=CLASSIFICATION[[Keyword Aggr]:[Keyword Aggr]])*($D105=CLASSIFICATION[[Functional Scope Aggr]:[Functional Scope Aggr]])),
_xlpm._platform_keywords, _xlfn.TEXTSPLIT(SUBSTITUTE(SUBSTITUTE(VLOOKUP($D105,_xlpm._platform_range,3,FALSE),"+"&amp;CHAR(34),"+"),CHAR(34),""),", "),
_xlpm._exists, SUMPRODUCT(--ISNUMBER(MATCH(_xlpm._platform_keywords,_xlpm._original_keywords,0)))&gt;0,
_xlfn.IFS(AND(_xlpm._exists,LEFT($E105,1)="+"),"+",_xlpm._exists,"*",NOT(_xlpm._exists),"")
)</f>
        <v/>
      </c>
      <c r="Q105" s="33" t="str" cm="1">
        <f t="array" aca="1" ref="Q10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($E105=CLASSIFICATION[[Keyword Aggr]:[Keyword Aggr]])*($D105=CLASSIFICATION[[Functional Scope Aggr]:[Functional Scope Aggr]])),
_xlpm._platform_keywords, _xlfn.TEXTSPLIT(SUBSTITUTE(SUBSTITUTE(VLOOKUP($D105,_xlpm._platform_range,3,FALSE),"+"&amp;CHAR(34),"+"),CHAR(34),""),", "),
_xlpm._exists, SUMPRODUCT(--ISNUMBER(MATCH(_xlpm._platform_keywords,_xlpm._original_keywords,0)))&gt;0,
_xlfn.IFS(_xlpm._exists,1,NOT(_xlpm._exists),"")
)</f>
        <v/>
      </c>
      <c r="R105" s="33" cm="1">
        <f t="array" aca="1" ref="R10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($E105=CLASSIFICATION[[Keyword Aggr]:[Keyword Aggr]])*($D105=CLASSIFICATION[[Functional Scope Aggr]:[Functional Scope Aggr]])),
_xlpm._platform_keywords, _xlfn.TEXTSPLIT(SUBSTITUTE(SUBSTITUTE(VLOOKUP($D105,_xlpm._platform_range,3,FALSE),"+"&amp;CHAR(34),"+"),CHAR(34),""),", "),
_xlpm._exists, SUMPRODUCT(--ISNUMBER(MATCH(_xlpm._platform_keywords,_xlpm._original_keywords,0)))&gt;0,
_xlfn.IFS(_xlpm._exists,1,NOT(_xlpm._exists),"")
)</f>
        <v>1</v>
      </c>
      <c r="S105" s="33" cm="1">
        <f t="array" aca="1" ref="S10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($E105=CLASSIFICATION[[Keyword Aggr]:[Keyword Aggr]])*($D105=CLASSIFICATION[[Functional Scope Aggr]:[Functional Scope Aggr]])),
_xlpm._platform_keywords, _xlfn.TEXTSPLIT(SUBSTITUTE(SUBSTITUTE(VLOOKUP($D105,_xlpm._platform_range,3,FALSE),"+"&amp;CHAR(34),"+"),CHAR(34),""),", "),
_xlpm._exists, SUMPRODUCT(--ISNUMBER(MATCH(_xlpm._platform_keywords,_xlpm._original_keywords,0)))&gt;0,
_xlfn.IFS(_xlpm._exists,1,NOT(_xlpm._exists),"")
)</f>
        <v>1</v>
      </c>
      <c r="T105" s="33" cm="1">
        <f t="array" aca="1" ref="T10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($E105=CLASSIFICATION[[Keyword Aggr]:[Keyword Aggr]])*($D105=CLASSIFICATION[[Functional Scope Aggr]:[Functional Scope Aggr]])),
_xlpm._platform_keywords, _xlfn.TEXTSPLIT(SUBSTITUTE(SUBSTITUTE(VLOOKUP($D105,_xlpm._platform_range,3,FALSE),"+"&amp;CHAR(34),"+"),CHAR(34),""),", "),
_xlpm._exists, SUMPRODUCT(--ISNUMBER(MATCH(_xlpm._platform_keywords,_xlpm._original_keywords,0)))&gt;0,
_xlfn.IFS(_xlpm._exists,1,NOT(_xlpm._exists),"")
)</f>
        <v>1</v>
      </c>
      <c r="U105" s="33" t="str" cm="1">
        <f t="array" aca="1" ref="U10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($E105=CLASSIFICATION[[Keyword Aggr]:[Keyword Aggr]])*($D105=CLASSIFICATION[[Functional Scope Aggr]:[Functional Scope Aggr]])),
_xlpm._platform_keywords, _xlfn.TEXTSPLIT(SUBSTITUTE(SUBSTITUTE(VLOOKUP($D105,_xlpm._platform_range,3,FALSE),"+"&amp;CHAR(34),"+"),CHAR(34),""),", "),
_xlpm._exists, SUMPRODUCT(--ISNUMBER(MATCH(_xlpm._platform_keywords,_xlpm._original_keywords,0)))&gt;0,
_xlfn.IFS(_xlpm._exists,1,NOT(_xlpm._exists),"")
)</f>
        <v/>
      </c>
      <c r="V105" s="33" t="str" cm="1">
        <f t="array" aca="1" ref="V10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($E105=CLASSIFICATION[[Keyword Aggr]:[Keyword Aggr]])*($D105=CLASSIFICATION[[Functional Scope Aggr]:[Functional Scope Aggr]])),
_xlpm._platform_keywords, _xlfn.TEXTSPLIT(SUBSTITUTE(SUBSTITUTE(VLOOKUP($D105,_xlpm._platform_range,3,FALSE),"+"&amp;CHAR(34),"+"),CHAR(34),""),", "),
_xlpm._exists, SUMPRODUCT(--ISNUMBER(MATCH(_xlpm._platform_keywords,_xlpm._original_keywords,0)))&gt;0,
_xlfn.IFS(_xlpm._exists,1,NOT(_xlpm._exists),"")
)</f>
        <v/>
      </c>
      <c r="X105" s="33" t="str">
        <f t="shared" si="14"/>
        <v/>
      </c>
      <c r="Y105" s="33" t="str">
        <f t="shared" si="15"/>
        <v/>
      </c>
      <c r="Z105" s="33" t="str">
        <f t="shared" si="16"/>
        <v/>
      </c>
      <c r="AA105" s="33" t="str">
        <f t="shared" si="17"/>
        <v/>
      </c>
      <c r="AB105" s="33" t="str">
        <f t="shared" si="18"/>
        <v/>
      </c>
      <c r="AC105" s="33" t="str">
        <f t="shared" si="19"/>
        <v/>
      </c>
    </row>
    <row r="106" spans="1:29" x14ac:dyDescent="0.25">
      <c r="A106" s="19" t="str">
        <v>Development,GUI design and development,JavaScript</v>
      </c>
      <c r="B106" t="s">
        <v>377</v>
      </c>
      <c r="C106" s="19" t="str" cm="1">
        <f t="array" ref="C106:E106">_xlfn.TEXTSPLIT(A106,",")</f>
        <v>Development</v>
      </c>
      <c r="D106" s="19" t="str">
        <v>GUI design and development</v>
      </c>
      <c r="E106" s="19" t="str">
        <v>JavaScript</v>
      </c>
      <c r="F106" s="36" t="str" cm="1">
        <f t="array" ref="F106">_xlfn.TEXTJOIN(",",TRUE,_xlfn._xlws.FILTER(CLASSIFICATION[Keyword], ($E106=CLASSIFICATION[Keyword Aggr])*($D106=CLASSIFICATION[Functional Scope Aggr])))</f>
        <v>JavaScript</v>
      </c>
      <c r="G106" s="32" t="str">
        <f t="shared" si="11"/>
        <v/>
      </c>
      <c r="H106" s="32" t="str">
        <f t="shared" si="12"/>
        <v/>
      </c>
      <c r="I106" s="32" t="str">
        <f t="shared" si="13"/>
        <v>JavaScript</v>
      </c>
      <c r="J106" s="33" t="str" cm="1">
        <f t="array" aca="1" ref="J10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($E106=CLASSIFICATION[[Keyword Aggr]:[Keyword Aggr]])*($D106=CLASSIFICATION[[Functional Scope Aggr]:[Functional Scope Aggr]])),
_xlpm._platform_keywords, _xlfn.TEXTSPLIT(SUBSTITUTE(SUBSTITUTE(VLOOKUP($D106,_xlpm._platform_range,3,FALSE),"+"&amp;CHAR(34),"+"),CHAR(34),""),", "),
_xlpm._exists, SUMPRODUCT(--ISNUMBER(MATCH(_xlpm._platform_keywords,_xlpm._original_keywords,0)))&gt;0,
_xlfn.IFS(AND(_xlpm._exists,LEFT($E106,1)="+"),"+",_xlpm._exists,"*",NOT(_xlpm._exists),"")
)</f>
        <v/>
      </c>
      <c r="K106" s="33" t="str" cm="1">
        <f t="array" aca="1" ref="K10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($E106=CLASSIFICATION[[Keyword Aggr]:[Keyword Aggr]])*($D106=CLASSIFICATION[[Functional Scope Aggr]:[Functional Scope Aggr]])),
_xlpm._platform_keywords, _xlfn.TEXTSPLIT(SUBSTITUTE(SUBSTITUTE(VLOOKUP($D106,_xlpm._platform_range,3,FALSE),"+"&amp;CHAR(34),"+"),CHAR(34),""),", "),
_xlpm._exists, SUMPRODUCT(--ISNUMBER(MATCH(_xlpm._platform_keywords,_xlpm._original_keywords,0)))&gt;0,
_xlfn.IFS(AND(_xlpm._exists,LEFT($E106,1)="+"),"+",_xlpm._exists,"*",NOT(_xlpm._exists),"")
)</f>
        <v/>
      </c>
      <c r="L106" s="33" t="str" cm="1">
        <f t="array" aca="1" ref="L10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($E106=CLASSIFICATION[[Keyword Aggr]:[Keyword Aggr]])*($D106=CLASSIFICATION[[Functional Scope Aggr]:[Functional Scope Aggr]])),
_xlpm._platform_keywords, _xlfn.TEXTSPLIT(SUBSTITUTE(SUBSTITUTE(VLOOKUP($D106,_xlpm._platform_range,3,FALSE),"+"&amp;CHAR(34),"+"),CHAR(34),""),", "),
_xlpm._exists, SUMPRODUCT(--ISNUMBER(MATCH(_xlpm._platform_keywords,_xlpm._original_keywords,0)))&gt;0,
_xlfn.IFS(AND(_xlpm._exists,LEFT($E106,1)="+"),"+",_xlpm._exists,"*",NOT(_xlpm._exists),"")
)</f>
        <v/>
      </c>
      <c r="M106" s="33" t="str" cm="1">
        <f t="array" aca="1" ref="M10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($E106=CLASSIFICATION[[Keyword Aggr]:[Keyword Aggr]])*($D106=CLASSIFICATION[[Functional Scope Aggr]:[Functional Scope Aggr]])),
_xlpm._platform_keywords, _xlfn.TEXTSPLIT(SUBSTITUTE(SUBSTITUTE(VLOOKUP($D106,_xlpm._platform_range,3,FALSE),"+"&amp;CHAR(34),"+"),CHAR(34),""),", "),
_xlpm._exists, SUMPRODUCT(--ISNUMBER(MATCH(_xlpm._platform_keywords,_xlpm._original_keywords,0)))&gt;0,
_xlfn.IFS(AND(_xlpm._exists,LEFT($E106,1)="+"),"+",_xlpm._exists,"*",NOT(_xlpm._exists),"")
)</f>
        <v>*</v>
      </c>
      <c r="N106" s="33" t="str" cm="1">
        <f t="array" aca="1" ref="N10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($E106=CLASSIFICATION[[Keyword Aggr]:[Keyword Aggr]])*($D106=CLASSIFICATION[[Functional Scope Aggr]:[Functional Scope Aggr]])),
_xlpm._platform_keywords, _xlfn.TEXTSPLIT(SUBSTITUTE(SUBSTITUTE(VLOOKUP($D106,_xlpm._platform_range,3,FALSE),"+"&amp;CHAR(34),"+"),CHAR(34),""),", "),
_xlpm._exists, SUMPRODUCT(--ISNUMBER(MATCH(_xlpm._platform_keywords,_xlpm._original_keywords,0)))&gt;0,
_xlfn.IFS(AND(_xlpm._exists,LEFT($E106,1)="+"),"+",_xlpm._exists,"*",NOT(_xlpm._exists),"")
)</f>
        <v/>
      </c>
      <c r="O106" s="33" t="str" cm="1">
        <f t="array" aca="1" ref="O10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($E106=CLASSIFICATION[[Keyword Aggr]:[Keyword Aggr]])*($D106=CLASSIFICATION[[Functional Scope Aggr]:[Functional Scope Aggr]])),
_xlpm._platform_keywords, _xlfn.TEXTSPLIT(SUBSTITUTE(SUBSTITUTE(VLOOKUP($D106,_xlpm._platform_range,3,FALSE),"+"&amp;CHAR(34),"+"),CHAR(34),""),", "),
_xlpm._exists, SUMPRODUCT(--ISNUMBER(MATCH(_xlpm._platform_keywords,_xlpm._original_keywords,0)))&gt;0,
_xlfn.IFS(AND(_xlpm._exists,LEFT($E106,1)="+"),"+",_xlpm._exists,"*",NOT(_xlpm._exists),"")
)</f>
        <v/>
      </c>
      <c r="Q106" s="33" t="str" cm="1">
        <f t="array" aca="1" ref="Q10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($E106=CLASSIFICATION[[Keyword Aggr]:[Keyword Aggr]])*($D106=CLASSIFICATION[[Functional Scope Aggr]:[Functional Scope Aggr]])),
_xlpm._platform_keywords, _xlfn.TEXTSPLIT(SUBSTITUTE(SUBSTITUTE(VLOOKUP($D106,_xlpm._platform_range,3,FALSE),"+"&amp;CHAR(34),"+"),CHAR(34),""),", "),
_xlpm._exists, SUMPRODUCT(--ISNUMBER(MATCH(_xlpm._platform_keywords,_xlpm._original_keywords,0)))&gt;0,
_xlfn.IFS(_xlpm._exists,1,NOT(_xlpm._exists),"")
)</f>
        <v/>
      </c>
      <c r="R106" s="33" t="str" cm="1">
        <f t="array" aca="1" ref="R10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($E106=CLASSIFICATION[[Keyword Aggr]:[Keyword Aggr]])*($D106=CLASSIFICATION[[Functional Scope Aggr]:[Functional Scope Aggr]])),
_xlpm._platform_keywords, _xlfn.TEXTSPLIT(SUBSTITUTE(SUBSTITUTE(VLOOKUP($D106,_xlpm._platform_range,3,FALSE),"+"&amp;CHAR(34),"+"),CHAR(34),""),", "),
_xlpm._exists, SUMPRODUCT(--ISNUMBER(MATCH(_xlpm._platform_keywords,_xlpm._original_keywords,0)))&gt;0,
_xlfn.IFS(_xlpm._exists,1,NOT(_xlpm._exists),"")
)</f>
        <v/>
      </c>
      <c r="S106" s="33" t="str" cm="1">
        <f t="array" aca="1" ref="S10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($E106=CLASSIFICATION[[Keyword Aggr]:[Keyword Aggr]])*($D106=CLASSIFICATION[[Functional Scope Aggr]:[Functional Scope Aggr]])),
_xlpm._platform_keywords, _xlfn.TEXTSPLIT(SUBSTITUTE(SUBSTITUTE(VLOOKUP($D106,_xlpm._platform_range,3,FALSE),"+"&amp;CHAR(34),"+"),CHAR(34),""),", "),
_xlpm._exists, SUMPRODUCT(--ISNUMBER(MATCH(_xlpm._platform_keywords,_xlpm._original_keywords,0)))&gt;0,
_xlfn.IFS(_xlpm._exists,1,NOT(_xlpm._exists),"")
)</f>
        <v/>
      </c>
      <c r="T106" s="33" cm="1">
        <f t="array" aca="1" ref="T10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($E106=CLASSIFICATION[[Keyword Aggr]:[Keyword Aggr]])*($D106=CLASSIFICATION[[Functional Scope Aggr]:[Functional Scope Aggr]])),
_xlpm._platform_keywords, _xlfn.TEXTSPLIT(SUBSTITUTE(SUBSTITUTE(VLOOKUP($D106,_xlpm._platform_range,3,FALSE),"+"&amp;CHAR(34),"+"),CHAR(34),""),", "),
_xlpm._exists, SUMPRODUCT(--ISNUMBER(MATCH(_xlpm._platform_keywords,_xlpm._original_keywords,0)))&gt;0,
_xlfn.IFS(_xlpm._exists,1,NOT(_xlpm._exists),"")
)</f>
        <v>1</v>
      </c>
      <c r="U106" s="33" t="str" cm="1">
        <f t="array" aca="1" ref="U10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($E106=CLASSIFICATION[[Keyword Aggr]:[Keyword Aggr]])*($D106=CLASSIFICATION[[Functional Scope Aggr]:[Functional Scope Aggr]])),
_xlpm._platform_keywords, _xlfn.TEXTSPLIT(SUBSTITUTE(SUBSTITUTE(VLOOKUP($D106,_xlpm._platform_range,3,FALSE),"+"&amp;CHAR(34),"+"),CHAR(34),""),", "),
_xlpm._exists, SUMPRODUCT(--ISNUMBER(MATCH(_xlpm._platform_keywords,_xlpm._original_keywords,0)))&gt;0,
_xlfn.IFS(_xlpm._exists,1,NOT(_xlpm._exists),"")
)</f>
        <v/>
      </c>
      <c r="V106" s="33" t="str" cm="1">
        <f t="array" aca="1" ref="V10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($E106=CLASSIFICATION[[Keyword Aggr]:[Keyword Aggr]])*($D106=CLASSIFICATION[[Functional Scope Aggr]:[Functional Scope Aggr]])),
_xlpm._platform_keywords, _xlfn.TEXTSPLIT(SUBSTITUTE(SUBSTITUTE(VLOOKUP($D106,_xlpm._platform_range,3,FALSE),"+"&amp;CHAR(34),"+"),CHAR(34),""),", "),
_xlpm._exists, SUMPRODUCT(--ISNUMBER(MATCH(_xlpm._platform_keywords,_xlpm._original_keywords,0)))&gt;0,
_xlfn.IFS(_xlpm._exists,1,NOT(_xlpm._exists),"")
)</f>
        <v/>
      </c>
      <c r="X106" s="33" t="str">
        <f t="shared" si="14"/>
        <v/>
      </c>
      <c r="Y106" s="33" t="str">
        <f t="shared" si="15"/>
        <v/>
      </c>
      <c r="Z106" s="33" t="str">
        <f t="shared" si="16"/>
        <v/>
      </c>
      <c r="AA106" s="33" t="str">
        <f t="shared" si="17"/>
        <v/>
      </c>
      <c r="AB106" s="33" t="str">
        <f t="shared" si="18"/>
        <v/>
      </c>
      <c r="AC106" s="33" t="str">
        <f t="shared" si="19"/>
        <v/>
      </c>
    </row>
    <row r="107" spans="1:29" x14ac:dyDescent="0.25">
      <c r="A107" s="19" t="str">
        <v>Development,GUI design and development,Master Detail</v>
      </c>
      <c r="B107" t="s">
        <v>377</v>
      </c>
      <c r="C107" s="19" t="str" cm="1">
        <f t="array" ref="C107:E107">_xlfn.TEXTSPLIT(A107,",")</f>
        <v>Development</v>
      </c>
      <c r="D107" s="19" t="str">
        <v>GUI design and development</v>
      </c>
      <c r="E107" s="19" t="str">
        <v>Master Detail</v>
      </c>
      <c r="F107" s="36" t="str" cm="1">
        <f t="array" ref="F107">_xlfn.TEXTJOIN(",",TRUE,_xlfn._xlws.FILTER(CLASSIFICATION[Keyword], ($E107=CLASSIFICATION[Keyword Aggr])*($D107=CLASSIFICATION[Functional Scope Aggr])))</f>
        <v>Master Detail</v>
      </c>
      <c r="G107" s="32" t="str">
        <f t="shared" si="11"/>
        <v/>
      </c>
      <c r="H107" s="32" t="str">
        <f t="shared" si="12"/>
        <v/>
      </c>
      <c r="I107" s="32" t="str">
        <f t="shared" si="13"/>
        <v>Master Detail</v>
      </c>
      <c r="J107" s="33" t="str" cm="1">
        <f t="array" aca="1" ref="J10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($E107=CLASSIFICATION[[Keyword Aggr]:[Keyword Aggr]])*($D107=CLASSIFICATION[[Functional Scope Aggr]:[Functional Scope Aggr]])),
_xlpm._platform_keywords, _xlfn.TEXTSPLIT(SUBSTITUTE(SUBSTITUTE(VLOOKUP($D107,_xlpm._platform_range,3,FALSE),"+"&amp;CHAR(34),"+"),CHAR(34),""),", "),
_xlpm._exists, SUMPRODUCT(--ISNUMBER(MATCH(_xlpm._platform_keywords,_xlpm._original_keywords,0)))&gt;0,
_xlfn.IFS(AND(_xlpm._exists,LEFT($E107,1)="+"),"+",_xlpm._exists,"*",NOT(_xlpm._exists),"")
)</f>
        <v/>
      </c>
      <c r="K107" s="33" t="str" cm="1">
        <f t="array" aca="1" ref="K10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($E107=CLASSIFICATION[[Keyword Aggr]:[Keyword Aggr]])*($D107=CLASSIFICATION[[Functional Scope Aggr]:[Functional Scope Aggr]])),
_xlpm._platform_keywords, _xlfn.TEXTSPLIT(SUBSTITUTE(SUBSTITUTE(VLOOKUP($D107,_xlpm._platform_range,3,FALSE),"+"&amp;CHAR(34),"+"),CHAR(34),""),", "),
_xlpm._exists, SUMPRODUCT(--ISNUMBER(MATCH(_xlpm._platform_keywords,_xlpm._original_keywords,0)))&gt;0,
_xlfn.IFS(AND(_xlpm._exists,LEFT($E107,1)="+"),"+",_xlpm._exists,"*",NOT(_xlpm._exists),"")
)</f>
        <v>*</v>
      </c>
      <c r="L107" s="33" t="str" cm="1">
        <f t="array" aca="1" ref="L10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($E107=CLASSIFICATION[[Keyword Aggr]:[Keyword Aggr]])*($D107=CLASSIFICATION[[Functional Scope Aggr]:[Functional Scope Aggr]])),
_xlpm._platform_keywords, _xlfn.TEXTSPLIT(SUBSTITUTE(SUBSTITUTE(VLOOKUP($D107,_xlpm._platform_range,3,FALSE),"+"&amp;CHAR(34),"+"),CHAR(34),""),", "),
_xlpm._exists, SUMPRODUCT(--ISNUMBER(MATCH(_xlpm._platform_keywords,_xlpm._original_keywords,0)))&gt;0,
_xlfn.IFS(AND(_xlpm._exists,LEFT($E107,1)="+"),"+",_xlpm._exists,"*",NOT(_xlpm._exists),"")
)</f>
        <v/>
      </c>
      <c r="M107" s="33" t="str" cm="1">
        <f t="array" aca="1" ref="M10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($E107=CLASSIFICATION[[Keyword Aggr]:[Keyword Aggr]])*($D107=CLASSIFICATION[[Functional Scope Aggr]:[Functional Scope Aggr]])),
_xlpm._platform_keywords, _xlfn.TEXTSPLIT(SUBSTITUTE(SUBSTITUTE(VLOOKUP($D107,_xlpm._platform_range,3,FALSE),"+"&amp;CHAR(34),"+"),CHAR(34),""),", "),
_xlpm._exists, SUMPRODUCT(--ISNUMBER(MATCH(_xlpm._platform_keywords,_xlpm._original_keywords,0)))&gt;0,
_xlfn.IFS(AND(_xlpm._exists,LEFT($E107,1)="+"),"+",_xlpm._exists,"*",NOT(_xlpm._exists),"")
)</f>
        <v/>
      </c>
      <c r="N107" s="33" t="str" cm="1">
        <f t="array" aca="1" ref="N10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($E107=CLASSIFICATION[[Keyword Aggr]:[Keyword Aggr]])*($D107=CLASSIFICATION[[Functional Scope Aggr]:[Functional Scope Aggr]])),
_xlpm._platform_keywords, _xlfn.TEXTSPLIT(SUBSTITUTE(SUBSTITUTE(VLOOKUP($D107,_xlpm._platform_range,3,FALSE),"+"&amp;CHAR(34),"+"),CHAR(34),""),", "),
_xlpm._exists, SUMPRODUCT(--ISNUMBER(MATCH(_xlpm._platform_keywords,_xlpm._original_keywords,0)))&gt;0,
_xlfn.IFS(AND(_xlpm._exists,LEFT($E107,1)="+"),"+",_xlpm._exists,"*",NOT(_xlpm._exists),"")
)</f>
        <v/>
      </c>
      <c r="O107" s="33" t="str" cm="1">
        <f t="array" aca="1" ref="O10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($E107=CLASSIFICATION[[Keyword Aggr]:[Keyword Aggr]])*($D107=CLASSIFICATION[[Functional Scope Aggr]:[Functional Scope Aggr]])),
_xlpm._platform_keywords, _xlfn.TEXTSPLIT(SUBSTITUTE(SUBSTITUTE(VLOOKUP($D107,_xlpm._platform_range,3,FALSE),"+"&amp;CHAR(34),"+"),CHAR(34),""),", "),
_xlpm._exists, SUMPRODUCT(--ISNUMBER(MATCH(_xlpm._platform_keywords,_xlpm._original_keywords,0)))&gt;0,
_xlfn.IFS(AND(_xlpm._exists,LEFT($E107,1)="+"),"+",_xlpm._exists,"*",NOT(_xlpm._exists),"")
)</f>
        <v/>
      </c>
      <c r="Q107" s="33" t="str" cm="1">
        <f t="array" aca="1" ref="Q10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($E107=CLASSIFICATION[[Keyword Aggr]:[Keyword Aggr]])*($D107=CLASSIFICATION[[Functional Scope Aggr]:[Functional Scope Aggr]])),
_xlpm._platform_keywords, _xlfn.TEXTSPLIT(SUBSTITUTE(SUBSTITUTE(VLOOKUP($D107,_xlpm._platform_range,3,FALSE),"+"&amp;CHAR(34),"+"),CHAR(34),""),", "),
_xlpm._exists, SUMPRODUCT(--ISNUMBER(MATCH(_xlpm._platform_keywords,_xlpm._original_keywords,0)))&gt;0,
_xlfn.IFS(_xlpm._exists,1,NOT(_xlpm._exists),"")
)</f>
        <v/>
      </c>
      <c r="R107" s="33" cm="1">
        <f t="array" aca="1" ref="R10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($E107=CLASSIFICATION[[Keyword Aggr]:[Keyword Aggr]])*($D107=CLASSIFICATION[[Functional Scope Aggr]:[Functional Scope Aggr]])),
_xlpm._platform_keywords, _xlfn.TEXTSPLIT(SUBSTITUTE(SUBSTITUTE(VLOOKUP($D107,_xlpm._platform_range,3,FALSE),"+"&amp;CHAR(34),"+"),CHAR(34),""),", "),
_xlpm._exists, SUMPRODUCT(--ISNUMBER(MATCH(_xlpm._platform_keywords,_xlpm._original_keywords,0)))&gt;0,
_xlfn.IFS(_xlpm._exists,1,NOT(_xlpm._exists),"")
)</f>
        <v>1</v>
      </c>
      <c r="S107" s="33" t="str" cm="1">
        <f t="array" aca="1" ref="S10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($E107=CLASSIFICATION[[Keyword Aggr]:[Keyword Aggr]])*($D107=CLASSIFICATION[[Functional Scope Aggr]:[Functional Scope Aggr]])),
_xlpm._platform_keywords, _xlfn.TEXTSPLIT(SUBSTITUTE(SUBSTITUTE(VLOOKUP($D107,_xlpm._platform_range,3,FALSE),"+"&amp;CHAR(34),"+"),CHAR(34),""),", "),
_xlpm._exists, SUMPRODUCT(--ISNUMBER(MATCH(_xlpm._platform_keywords,_xlpm._original_keywords,0)))&gt;0,
_xlfn.IFS(_xlpm._exists,1,NOT(_xlpm._exists),"")
)</f>
        <v/>
      </c>
      <c r="T107" s="33" t="str" cm="1">
        <f t="array" aca="1" ref="T10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($E107=CLASSIFICATION[[Keyword Aggr]:[Keyword Aggr]])*($D107=CLASSIFICATION[[Functional Scope Aggr]:[Functional Scope Aggr]])),
_xlpm._platform_keywords, _xlfn.TEXTSPLIT(SUBSTITUTE(SUBSTITUTE(VLOOKUP($D107,_xlpm._platform_range,3,FALSE),"+"&amp;CHAR(34),"+"),CHAR(34),""),", "),
_xlpm._exists, SUMPRODUCT(--ISNUMBER(MATCH(_xlpm._platform_keywords,_xlpm._original_keywords,0)))&gt;0,
_xlfn.IFS(_xlpm._exists,1,NOT(_xlpm._exists),"")
)</f>
        <v/>
      </c>
      <c r="U107" s="33" t="str" cm="1">
        <f t="array" aca="1" ref="U10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($E107=CLASSIFICATION[[Keyword Aggr]:[Keyword Aggr]])*($D107=CLASSIFICATION[[Functional Scope Aggr]:[Functional Scope Aggr]])),
_xlpm._platform_keywords, _xlfn.TEXTSPLIT(SUBSTITUTE(SUBSTITUTE(VLOOKUP($D107,_xlpm._platform_range,3,FALSE),"+"&amp;CHAR(34),"+"),CHAR(34),""),", "),
_xlpm._exists, SUMPRODUCT(--ISNUMBER(MATCH(_xlpm._platform_keywords,_xlpm._original_keywords,0)))&gt;0,
_xlfn.IFS(_xlpm._exists,1,NOT(_xlpm._exists),"")
)</f>
        <v/>
      </c>
      <c r="V107" s="33" t="str" cm="1">
        <f t="array" aca="1" ref="V10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($E107=CLASSIFICATION[[Keyword Aggr]:[Keyword Aggr]])*($D107=CLASSIFICATION[[Functional Scope Aggr]:[Functional Scope Aggr]])),
_xlpm._platform_keywords, _xlfn.TEXTSPLIT(SUBSTITUTE(SUBSTITUTE(VLOOKUP($D107,_xlpm._platform_range,3,FALSE),"+"&amp;CHAR(34),"+"),CHAR(34),""),", "),
_xlpm._exists, SUMPRODUCT(--ISNUMBER(MATCH(_xlpm._platform_keywords,_xlpm._original_keywords,0)))&gt;0,
_xlfn.IFS(_xlpm._exists,1,NOT(_xlpm._exists),"")
)</f>
        <v/>
      </c>
      <c r="X107" s="33" t="str">
        <f t="shared" si="14"/>
        <v/>
      </c>
      <c r="Y107" s="33" t="str">
        <f t="shared" si="15"/>
        <v/>
      </c>
      <c r="Z107" s="33" t="str">
        <f t="shared" si="16"/>
        <v/>
      </c>
      <c r="AA107" s="33" t="str">
        <f t="shared" si="17"/>
        <v/>
      </c>
      <c r="AB107" s="33" t="str">
        <f t="shared" si="18"/>
        <v/>
      </c>
      <c r="AC107" s="33" t="str">
        <f t="shared" si="19"/>
        <v/>
      </c>
    </row>
    <row r="108" spans="1:29" x14ac:dyDescent="0.25">
      <c r="A108" s="19" t="str">
        <v>Development,GUI design and development,Programming Functions</v>
      </c>
      <c r="B108" t="s">
        <v>377</v>
      </c>
      <c r="C108" s="19" t="str" cm="1">
        <f t="array" ref="C108:E108">_xlfn.TEXTSPLIT(A108,",")</f>
        <v>Development</v>
      </c>
      <c r="D108" s="19" t="str">
        <v>GUI design and development</v>
      </c>
      <c r="E108" s="19" t="str">
        <v>Programming Functions</v>
      </c>
      <c r="F108" s="36" t="str" cm="1">
        <f t="array" ref="F108">_xlfn.TEXTJOIN(",",TRUE,_xlfn._xlws.FILTER(CLASSIFICATION[Keyword], ($E108=CLASSIFICATION[Keyword Aggr])*($D108=CLASSIFICATION[Functional Scope Aggr])))</f>
        <v>Programming Functions</v>
      </c>
      <c r="G108" s="32" t="str">
        <f t="shared" si="11"/>
        <v/>
      </c>
      <c r="H108" s="32" t="str">
        <f t="shared" si="12"/>
        <v/>
      </c>
      <c r="I108" s="32" t="str">
        <f t="shared" si="13"/>
        <v>Programming Functions</v>
      </c>
      <c r="J108" s="33" t="str" cm="1">
        <f t="array" aca="1" ref="J10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($E108=CLASSIFICATION[[Keyword Aggr]:[Keyword Aggr]])*($D108=CLASSIFICATION[[Functional Scope Aggr]:[Functional Scope Aggr]])),
_xlpm._platform_keywords, _xlfn.TEXTSPLIT(SUBSTITUTE(SUBSTITUTE(VLOOKUP($D108,_xlpm._platform_range,3,FALSE),"+"&amp;CHAR(34),"+"),CHAR(34),""),", "),
_xlpm._exists, SUMPRODUCT(--ISNUMBER(MATCH(_xlpm._platform_keywords,_xlpm._original_keywords,0)))&gt;0,
_xlfn.IFS(AND(_xlpm._exists,LEFT($E108,1)="+"),"+",_xlpm._exists,"*",NOT(_xlpm._exists),"")
)</f>
        <v/>
      </c>
      <c r="K108" s="33" t="str" cm="1">
        <f t="array" aca="1" ref="K10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($E108=CLASSIFICATION[[Keyword Aggr]:[Keyword Aggr]])*($D108=CLASSIFICATION[[Functional Scope Aggr]:[Functional Scope Aggr]])),
_xlpm._platform_keywords, _xlfn.TEXTSPLIT(SUBSTITUTE(SUBSTITUTE(VLOOKUP($D108,_xlpm._platform_range,3,FALSE),"+"&amp;CHAR(34),"+"),CHAR(34),""),", "),
_xlpm._exists, SUMPRODUCT(--ISNUMBER(MATCH(_xlpm._platform_keywords,_xlpm._original_keywords,0)))&gt;0,
_xlfn.IFS(AND(_xlpm._exists,LEFT($E108,1)="+"),"+",_xlpm._exists,"*",NOT(_xlpm._exists),"")
)</f>
        <v>*</v>
      </c>
      <c r="L108" s="33" t="str" cm="1">
        <f t="array" aca="1" ref="L10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($E108=CLASSIFICATION[[Keyword Aggr]:[Keyword Aggr]])*($D108=CLASSIFICATION[[Functional Scope Aggr]:[Functional Scope Aggr]])),
_xlpm._platform_keywords, _xlfn.TEXTSPLIT(SUBSTITUTE(SUBSTITUTE(VLOOKUP($D108,_xlpm._platform_range,3,FALSE),"+"&amp;CHAR(34),"+"),CHAR(34),""),", "),
_xlpm._exists, SUMPRODUCT(--ISNUMBER(MATCH(_xlpm._platform_keywords,_xlpm._original_keywords,0)))&gt;0,
_xlfn.IFS(AND(_xlpm._exists,LEFT($E108,1)="+"),"+",_xlpm._exists,"*",NOT(_xlpm._exists),"")
)</f>
        <v>*</v>
      </c>
      <c r="M108" s="33" t="str" cm="1">
        <f t="array" aca="1" ref="M10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($E108=CLASSIFICATION[[Keyword Aggr]:[Keyword Aggr]])*($D108=CLASSIFICATION[[Functional Scope Aggr]:[Functional Scope Aggr]])),
_xlpm._platform_keywords, _xlfn.TEXTSPLIT(SUBSTITUTE(SUBSTITUTE(VLOOKUP($D108,_xlpm._platform_range,3,FALSE),"+"&amp;CHAR(34),"+"),CHAR(34),""),", "),
_xlpm._exists, SUMPRODUCT(--ISNUMBER(MATCH(_xlpm._platform_keywords,_xlpm._original_keywords,0)))&gt;0,
_xlfn.IFS(AND(_xlpm._exists,LEFT($E108,1)="+"),"+",_xlpm._exists,"*",NOT(_xlpm._exists),"")
)</f>
        <v>*</v>
      </c>
      <c r="N108" s="33" t="str" cm="1">
        <f t="array" aca="1" ref="N10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($E108=CLASSIFICATION[[Keyword Aggr]:[Keyword Aggr]])*($D108=CLASSIFICATION[[Functional Scope Aggr]:[Functional Scope Aggr]])),
_xlpm._platform_keywords, _xlfn.TEXTSPLIT(SUBSTITUTE(SUBSTITUTE(VLOOKUP($D108,_xlpm._platform_range,3,FALSE),"+"&amp;CHAR(34),"+"),CHAR(34),""),", "),
_xlpm._exists, SUMPRODUCT(--ISNUMBER(MATCH(_xlpm._platform_keywords,_xlpm._original_keywords,0)))&gt;0,
_xlfn.IFS(AND(_xlpm._exists,LEFT($E108,1)="+"),"+",_xlpm._exists,"*",NOT(_xlpm._exists),"")
)</f>
        <v/>
      </c>
      <c r="O108" s="33" t="str" cm="1">
        <f t="array" aca="1" ref="O10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($E108=CLASSIFICATION[[Keyword Aggr]:[Keyword Aggr]])*($D108=CLASSIFICATION[[Functional Scope Aggr]:[Functional Scope Aggr]])),
_xlpm._platform_keywords, _xlfn.TEXTSPLIT(SUBSTITUTE(SUBSTITUTE(VLOOKUP($D108,_xlpm._platform_range,3,FALSE),"+"&amp;CHAR(34),"+"),CHAR(34),""),", "),
_xlpm._exists, SUMPRODUCT(--ISNUMBER(MATCH(_xlpm._platform_keywords,_xlpm._original_keywords,0)))&gt;0,
_xlfn.IFS(AND(_xlpm._exists,LEFT($E108,1)="+"),"+",_xlpm._exists,"*",NOT(_xlpm._exists),"")
)</f>
        <v/>
      </c>
      <c r="Q108" s="33" t="str" cm="1">
        <f t="array" aca="1" ref="Q10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($E108=CLASSIFICATION[[Keyword Aggr]:[Keyword Aggr]])*($D108=CLASSIFICATION[[Functional Scope Aggr]:[Functional Scope Aggr]])),
_xlpm._platform_keywords, _xlfn.TEXTSPLIT(SUBSTITUTE(SUBSTITUTE(VLOOKUP($D108,_xlpm._platform_range,3,FALSE),"+"&amp;CHAR(34),"+"),CHAR(34),""),", "),
_xlpm._exists, SUMPRODUCT(--ISNUMBER(MATCH(_xlpm._platform_keywords,_xlpm._original_keywords,0)))&gt;0,
_xlfn.IFS(_xlpm._exists,1,NOT(_xlpm._exists),"")
)</f>
        <v/>
      </c>
      <c r="R108" s="33" cm="1">
        <f t="array" aca="1" ref="R10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($E108=CLASSIFICATION[[Keyword Aggr]:[Keyword Aggr]])*($D108=CLASSIFICATION[[Functional Scope Aggr]:[Functional Scope Aggr]])),
_xlpm._platform_keywords, _xlfn.TEXTSPLIT(SUBSTITUTE(SUBSTITUTE(VLOOKUP($D108,_xlpm._platform_range,3,FALSE),"+"&amp;CHAR(34),"+"),CHAR(34),""),", "),
_xlpm._exists, SUMPRODUCT(--ISNUMBER(MATCH(_xlpm._platform_keywords,_xlpm._original_keywords,0)))&gt;0,
_xlfn.IFS(_xlpm._exists,1,NOT(_xlpm._exists),"")
)</f>
        <v>1</v>
      </c>
      <c r="S108" s="33" cm="1">
        <f t="array" aca="1" ref="S10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($E108=CLASSIFICATION[[Keyword Aggr]:[Keyword Aggr]])*($D108=CLASSIFICATION[[Functional Scope Aggr]:[Functional Scope Aggr]])),
_xlpm._platform_keywords, _xlfn.TEXTSPLIT(SUBSTITUTE(SUBSTITUTE(VLOOKUP($D108,_xlpm._platform_range,3,FALSE),"+"&amp;CHAR(34),"+"),CHAR(34),""),", "),
_xlpm._exists, SUMPRODUCT(--ISNUMBER(MATCH(_xlpm._platform_keywords,_xlpm._original_keywords,0)))&gt;0,
_xlfn.IFS(_xlpm._exists,1,NOT(_xlpm._exists),"")
)</f>
        <v>1</v>
      </c>
      <c r="T108" s="33" cm="1">
        <f t="array" aca="1" ref="T10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($E108=CLASSIFICATION[[Keyword Aggr]:[Keyword Aggr]])*($D108=CLASSIFICATION[[Functional Scope Aggr]:[Functional Scope Aggr]])),
_xlpm._platform_keywords, _xlfn.TEXTSPLIT(SUBSTITUTE(SUBSTITUTE(VLOOKUP($D108,_xlpm._platform_range,3,FALSE),"+"&amp;CHAR(34),"+"),CHAR(34),""),", "),
_xlpm._exists, SUMPRODUCT(--ISNUMBER(MATCH(_xlpm._platform_keywords,_xlpm._original_keywords,0)))&gt;0,
_xlfn.IFS(_xlpm._exists,1,NOT(_xlpm._exists),"")
)</f>
        <v>1</v>
      </c>
      <c r="U108" s="33" t="str" cm="1">
        <f t="array" aca="1" ref="U10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($E108=CLASSIFICATION[[Keyword Aggr]:[Keyword Aggr]])*($D108=CLASSIFICATION[[Functional Scope Aggr]:[Functional Scope Aggr]])),
_xlpm._platform_keywords, _xlfn.TEXTSPLIT(SUBSTITUTE(SUBSTITUTE(VLOOKUP($D108,_xlpm._platform_range,3,FALSE),"+"&amp;CHAR(34),"+"),CHAR(34),""),", "),
_xlpm._exists, SUMPRODUCT(--ISNUMBER(MATCH(_xlpm._platform_keywords,_xlpm._original_keywords,0)))&gt;0,
_xlfn.IFS(_xlpm._exists,1,NOT(_xlpm._exists),"")
)</f>
        <v/>
      </c>
      <c r="V108" s="33" t="str" cm="1">
        <f t="array" aca="1" ref="V10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($E108=CLASSIFICATION[[Keyword Aggr]:[Keyword Aggr]])*($D108=CLASSIFICATION[[Functional Scope Aggr]:[Functional Scope Aggr]])),
_xlpm._platform_keywords, _xlfn.TEXTSPLIT(SUBSTITUTE(SUBSTITUTE(VLOOKUP($D108,_xlpm._platform_range,3,FALSE),"+"&amp;CHAR(34),"+"),CHAR(34),""),", "),
_xlpm._exists, SUMPRODUCT(--ISNUMBER(MATCH(_xlpm._platform_keywords,_xlpm._original_keywords,0)))&gt;0,
_xlfn.IFS(_xlpm._exists,1,NOT(_xlpm._exists),"")
)</f>
        <v/>
      </c>
      <c r="X108" s="33" t="str">
        <f t="shared" si="14"/>
        <v/>
      </c>
      <c r="Y108" s="33" t="str">
        <f t="shared" si="15"/>
        <v/>
      </c>
      <c r="Z108" s="33" t="str">
        <f t="shared" si="16"/>
        <v/>
      </c>
      <c r="AA108" s="33" t="str">
        <f t="shared" si="17"/>
        <v/>
      </c>
      <c r="AB108" s="33" t="str">
        <f t="shared" si="18"/>
        <v/>
      </c>
      <c r="AC108" s="33" t="str">
        <f t="shared" si="19"/>
        <v/>
      </c>
    </row>
    <row r="109" spans="1:29" x14ac:dyDescent="0.25">
      <c r="A109" s="19" t="str">
        <v>Development,GUI design and development,Scripts</v>
      </c>
      <c r="B109" t="s">
        <v>377</v>
      </c>
      <c r="C109" s="19" t="str" cm="1">
        <f t="array" ref="C109:E109">_xlfn.TEXTSPLIT(A109,",")</f>
        <v>Development</v>
      </c>
      <c r="D109" s="19" t="str">
        <v>GUI design and development</v>
      </c>
      <c r="E109" s="19" t="str">
        <v>Scripts</v>
      </c>
      <c r="F109" s="36" t="str" cm="1">
        <f t="array" ref="F109">_xlfn.TEXTJOIN(",",TRUE,_xlfn._xlws.FILTER(CLASSIFICATION[Keyword], ($E109=CLASSIFICATION[Keyword Aggr])*($D109=CLASSIFICATION[Functional Scope Aggr])))</f>
        <v>Scripts</v>
      </c>
      <c r="G109" s="32" t="str">
        <f t="shared" si="11"/>
        <v/>
      </c>
      <c r="H109" s="32" t="str">
        <f t="shared" si="12"/>
        <v/>
      </c>
      <c r="I109" s="32" t="str">
        <f t="shared" si="13"/>
        <v>Scripts</v>
      </c>
      <c r="J109" s="33" t="str" cm="1">
        <f t="array" aca="1" ref="J10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($E109=CLASSIFICATION[[Keyword Aggr]:[Keyword Aggr]])*($D109=CLASSIFICATION[[Functional Scope Aggr]:[Functional Scope Aggr]])),
_xlpm._platform_keywords, _xlfn.TEXTSPLIT(SUBSTITUTE(SUBSTITUTE(VLOOKUP($D109,_xlpm._platform_range,3,FALSE),"+"&amp;CHAR(34),"+"),CHAR(34),""),", "),
_xlpm._exists, SUMPRODUCT(--ISNUMBER(MATCH(_xlpm._platform_keywords,_xlpm._original_keywords,0)))&gt;0,
_xlfn.IFS(AND(_xlpm._exists,LEFT($E109,1)="+"),"+",_xlpm._exists,"*",NOT(_xlpm._exists),"")
)</f>
        <v/>
      </c>
      <c r="K109" s="33" t="str" cm="1">
        <f t="array" aca="1" ref="K10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($E109=CLASSIFICATION[[Keyword Aggr]:[Keyword Aggr]])*($D109=CLASSIFICATION[[Functional Scope Aggr]:[Functional Scope Aggr]])),
_xlpm._platform_keywords, _xlfn.TEXTSPLIT(SUBSTITUTE(SUBSTITUTE(VLOOKUP($D109,_xlpm._platform_range,3,FALSE),"+"&amp;CHAR(34),"+"),CHAR(34),""),", "),
_xlpm._exists, SUMPRODUCT(--ISNUMBER(MATCH(_xlpm._platform_keywords,_xlpm._original_keywords,0)))&gt;0,
_xlfn.IFS(AND(_xlpm._exists,LEFT($E109,1)="+"),"+",_xlpm._exists,"*",NOT(_xlpm._exists),"")
)</f>
        <v/>
      </c>
      <c r="L109" s="33" t="str" cm="1">
        <f t="array" aca="1" ref="L10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($E109=CLASSIFICATION[[Keyword Aggr]:[Keyword Aggr]])*($D109=CLASSIFICATION[[Functional Scope Aggr]:[Functional Scope Aggr]])),
_xlpm._platform_keywords, _xlfn.TEXTSPLIT(SUBSTITUTE(SUBSTITUTE(VLOOKUP($D109,_xlpm._platform_range,3,FALSE),"+"&amp;CHAR(34),"+"),CHAR(34),""),", "),
_xlpm._exists, SUMPRODUCT(--ISNUMBER(MATCH(_xlpm._platform_keywords,_xlpm._original_keywords,0)))&gt;0,
_xlfn.IFS(AND(_xlpm._exists,LEFT($E109,1)="+"),"+",_xlpm._exists,"*",NOT(_xlpm._exists),"")
)</f>
        <v>*</v>
      </c>
      <c r="M109" s="33" t="str" cm="1">
        <f t="array" aca="1" ref="M10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($E109=CLASSIFICATION[[Keyword Aggr]:[Keyword Aggr]])*($D109=CLASSIFICATION[[Functional Scope Aggr]:[Functional Scope Aggr]])),
_xlpm._platform_keywords, _xlfn.TEXTSPLIT(SUBSTITUTE(SUBSTITUTE(VLOOKUP($D109,_xlpm._platform_range,3,FALSE),"+"&amp;CHAR(34),"+"),CHAR(34),""),", "),
_xlpm._exists, SUMPRODUCT(--ISNUMBER(MATCH(_xlpm._platform_keywords,_xlpm._original_keywords,0)))&gt;0,
_xlfn.IFS(AND(_xlpm._exists,LEFT($E109,1)="+"),"+",_xlpm._exists,"*",NOT(_xlpm._exists),"")
)</f>
        <v/>
      </c>
      <c r="N109" s="33" t="str" cm="1">
        <f t="array" aca="1" ref="N10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($E109=CLASSIFICATION[[Keyword Aggr]:[Keyword Aggr]])*($D109=CLASSIFICATION[[Functional Scope Aggr]:[Functional Scope Aggr]])),
_xlpm._platform_keywords, _xlfn.TEXTSPLIT(SUBSTITUTE(SUBSTITUTE(VLOOKUP($D109,_xlpm._platform_range,3,FALSE),"+"&amp;CHAR(34),"+"),CHAR(34),""),", "),
_xlpm._exists, SUMPRODUCT(--ISNUMBER(MATCH(_xlpm._platform_keywords,_xlpm._original_keywords,0)))&gt;0,
_xlfn.IFS(AND(_xlpm._exists,LEFT($E109,1)="+"),"+",_xlpm._exists,"*",NOT(_xlpm._exists),"")
)</f>
        <v/>
      </c>
      <c r="O109" s="33" t="str" cm="1">
        <f t="array" aca="1" ref="O10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($E109=CLASSIFICATION[[Keyword Aggr]:[Keyword Aggr]])*($D109=CLASSIFICATION[[Functional Scope Aggr]:[Functional Scope Aggr]])),
_xlpm._platform_keywords, _xlfn.TEXTSPLIT(SUBSTITUTE(SUBSTITUTE(VLOOKUP($D109,_xlpm._platform_range,3,FALSE),"+"&amp;CHAR(34),"+"),CHAR(34),""),", "),
_xlpm._exists, SUMPRODUCT(--ISNUMBER(MATCH(_xlpm._platform_keywords,_xlpm._original_keywords,0)))&gt;0,
_xlfn.IFS(AND(_xlpm._exists,LEFT($E109,1)="+"),"+",_xlpm._exists,"*",NOT(_xlpm._exists),"")
)</f>
        <v/>
      </c>
      <c r="Q109" s="33" t="str" cm="1">
        <f t="array" aca="1" ref="Q10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($E109=CLASSIFICATION[[Keyword Aggr]:[Keyword Aggr]])*($D109=CLASSIFICATION[[Functional Scope Aggr]:[Functional Scope Aggr]])),
_xlpm._platform_keywords, _xlfn.TEXTSPLIT(SUBSTITUTE(SUBSTITUTE(VLOOKUP($D109,_xlpm._platform_range,3,FALSE),"+"&amp;CHAR(34),"+"),CHAR(34),""),", "),
_xlpm._exists, SUMPRODUCT(--ISNUMBER(MATCH(_xlpm._platform_keywords,_xlpm._original_keywords,0)))&gt;0,
_xlfn.IFS(_xlpm._exists,1,NOT(_xlpm._exists),"")
)</f>
        <v/>
      </c>
      <c r="R109" s="33" t="str" cm="1">
        <f t="array" aca="1" ref="R10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($E109=CLASSIFICATION[[Keyword Aggr]:[Keyword Aggr]])*($D109=CLASSIFICATION[[Functional Scope Aggr]:[Functional Scope Aggr]])),
_xlpm._platform_keywords, _xlfn.TEXTSPLIT(SUBSTITUTE(SUBSTITUTE(VLOOKUP($D109,_xlpm._platform_range,3,FALSE),"+"&amp;CHAR(34),"+"),CHAR(34),""),", "),
_xlpm._exists, SUMPRODUCT(--ISNUMBER(MATCH(_xlpm._platform_keywords,_xlpm._original_keywords,0)))&gt;0,
_xlfn.IFS(_xlpm._exists,1,NOT(_xlpm._exists),"")
)</f>
        <v/>
      </c>
      <c r="S109" s="33" cm="1">
        <f t="array" aca="1" ref="S10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($E109=CLASSIFICATION[[Keyword Aggr]:[Keyword Aggr]])*($D109=CLASSIFICATION[[Functional Scope Aggr]:[Functional Scope Aggr]])),
_xlpm._platform_keywords, _xlfn.TEXTSPLIT(SUBSTITUTE(SUBSTITUTE(VLOOKUP($D109,_xlpm._platform_range,3,FALSE),"+"&amp;CHAR(34),"+"),CHAR(34),""),", "),
_xlpm._exists, SUMPRODUCT(--ISNUMBER(MATCH(_xlpm._platform_keywords,_xlpm._original_keywords,0)))&gt;0,
_xlfn.IFS(_xlpm._exists,1,NOT(_xlpm._exists),"")
)</f>
        <v>1</v>
      </c>
      <c r="T109" s="33" t="str" cm="1">
        <f t="array" aca="1" ref="T10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($E109=CLASSIFICATION[[Keyword Aggr]:[Keyword Aggr]])*($D109=CLASSIFICATION[[Functional Scope Aggr]:[Functional Scope Aggr]])),
_xlpm._platform_keywords, _xlfn.TEXTSPLIT(SUBSTITUTE(SUBSTITUTE(VLOOKUP($D109,_xlpm._platform_range,3,FALSE),"+"&amp;CHAR(34),"+"),CHAR(34),""),", "),
_xlpm._exists, SUMPRODUCT(--ISNUMBER(MATCH(_xlpm._platform_keywords,_xlpm._original_keywords,0)))&gt;0,
_xlfn.IFS(_xlpm._exists,1,NOT(_xlpm._exists),"")
)</f>
        <v/>
      </c>
      <c r="U109" s="33" t="str" cm="1">
        <f t="array" aca="1" ref="U10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($E109=CLASSIFICATION[[Keyword Aggr]:[Keyword Aggr]])*($D109=CLASSIFICATION[[Functional Scope Aggr]:[Functional Scope Aggr]])),
_xlpm._platform_keywords, _xlfn.TEXTSPLIT(SUBSTITUTE(SUBSTITUTE(VLOOKUP($D109,_xlpm._platform_range,3,FALSE),"+"&amp;CHAR(34),"+"),CHAR(34),""),", "),
_xlpm._exists, SUMPRODUCT(--ISNUMBER(MATCH(_xlpm._platform_keywords,_xlpm._original_keywords,0)))&gt;0,
_xlfn.IFS(_xlpm._exists,1,NOT(_xlpm._exists),"")
)</f>
        <v/>
      </c>
      <c r="V109" s="33" t="str" cm="1">
        <f t="array" aca="1" ref="V10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($E109=CLASSIFICATION[[Keyword Aggr]:[Keyword Aggr]])*($D109=CLASSIFICATION[[Functional Scope Aggr]:[Functional Scope Aggr]])),
_xlpm._platform_keywords, _xlfn.TEXTSPLIT(SUBSTITUTE(SUBSTITUTE(VLOOKUP($D109,_xlpm._platform_range,3,FALSE),"+"&amp;CHAR(34),"+"),CHAR(34),""),", "),
_xlpm._exists, SUMPRODUCT(--ISNUMBER(MATCH(_xlpm._platform_keywords,_xlpm._original_keywords,0)))&gt;0,
_xlfn.IFS(_xlpm._exists,1,NOT(_xlpm._exists),"")
)</f>
        <v/>
      </c>
      <c r="X109" s="33" t="str">
        <f t="shared" si="14"/>
        <v/>
      </c>
      <c r="Y109" s="33" t="str">
        <f t="shared" si="15"/>
        <v/>
      </c>
      <c r="Z109" s="33" t="str">
        <f t="shared" si="16"/>
        <v/>
      </c>
      <c r="AA109" s="33" t="str">
        <f t="shared" si="17"/>
        <v/>
      </c>
      <c r="AB109" s="33" t="str">
        <f t="shared" si="18"/>
        <v/>
      </c>
      <c r="AC109" s="33" t="str">
        <f t="shared" si="19"/>
        <v/>
      </c>
    </row>
    <row r="110" spans="1:29" x14ac:dyDescent="0.25">
      <c r="A110" s="19" t="str">
        <v>Development,GUI design and development,Snippets</v>
      </c>
      <c r="B110" t="s">
        <v>377</v>
      </c>
      <c r="C110" s="19" t="str" cm="1">
        <f t="array" ref="C110:E110">_xlfn.TEXTSPLIT(A110,",")</f>
        <v>Development</v>
      </c>
      <c r="D110" s="19" t="str">
        <v>GUI design and development</v>
      </c>
      <c r="E110" s="19" t="str">
        <v>Snippets</v>
      </c>
      <c r="F110" s="36" t="str" cm="1">
        <f t="array" ref="F110">_xlfn.TEXTJOIN(",",TRUE,_xlfn._xlws.FILTER(CLASSIFICATION[Keyword], ($E110=CLASSIFICATION[Keyword Aggr])*($D110=CLASSIFICATION[Functional Scope Aggr])))</f>
        <v>Snippets</v>
      </c>
      <c r="G110" s="32" t="str">
        <f t="shared" si="11"/>
        <v/>
      </c>
      <c r="H110" s="32" t="str">
        <f t="shared" si="12"/>
        <v/>
      </c>
      <c r="I110" s="32" t="str">
        <f t="shared" si="13"/>
        <v>Snippets</v>
      </c>
      <c r="J110" s="33" t="str" cm="1">
        <f t="array" aca="1" ref="J11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($E110=CLASSIFICATION[[Keyword Aggr]:[Keyword Aggr]])*($D110=CLASSIFICATION[[Functional Scope Aggr]:[Functional Scope Aggr]])),
_xlpm._platform_keywords, _xlfn.TEXTSPLIT(SUBSTITUTE(SUBSTITUTE(VLOOKUP($D110,_xlpm._platform_range,3,FALSE),"+"&amp;CHAR(34),"+"),CHAR(34),""),", "),
_xlpm._exists, SUMPRODUCT(--ISNUMBER(MATCH(_xlpm._platform_keywords,_xlpm._original_keywords,0)))&gt;0,
_xlfn.IFS(AND(_xlpm._exists,LEFT($E110,1)="+"),"+",_xlpm._exists,"*",NOT(_xlpm._exists),"")
)</f>
        <v/>
      </c>
      <c r="K110" s="33" t="str" cm="1">
        <f t="array" aca="1" ref="K11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($E110=CLASSIFICATION[[Keyword Aggr]:[Keyword Aggr]])*($D110=CLASSIFICATION[[Functional Scope Aggr]:[Functional Scope Aggr]])),
_xlpm._platform_keywords, _xlfn.TEXTSPLIT(SUBSTITUTE(SUBSTITUTE(VLOOKUP($D110,_xlpm._platform_range,3,FALSE),"+"&amp;CHAR(34),"+"),CHAR(34),""),", "),
_xlpm._exists, SUMPRODUCT(--ISNUMBER(MATCH(_xlpm._platform_keywords,_xlpm._original_keywords,0)))&gt;0,
_xlfn.IFS(AND(_xlpm._exists,LEFT($E110,1)="+"),"+",_xlpm._exists,"*",NOT(_xlpm._exists),"")
)</f>
        <v/>
      </c>
      <c r="L110" s="33" t="str" cm="1">
        <f t="array" aca="1" ref="L11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($E110=CLASSIFICATION[[Keyword Aggr]:[Keyword Aggr]])*($D110=CLASSIFICATION[[Functional Scope Aggr]:[Functional Scope Aggr]])),
_xlpm._platform_keywords, _xlfn.TEXTSPLIT(SUBSTITUTE(SUBSTITUTE(VLOOKUP($D110,_xlpm._platform_range,3,FALSE),"+"&amp;CHAR(34),"+"),CHAR(34),""),", "),
_xlpm._exists, SUMPRODUCT(--ISNUMBER(MATCH(_xlpm._platform_keywords,_xlpm._original_keywords,0)))&gt;0,
_xlfn.IFS(AND(_xlpm._exists,LEFT($E110,1)="+"),"+",_xlpm._exists,"*",NOT(_xlpm._exists),"")
)</f>
        <v>*</v>
      </c>
      <c r="M110" s="33" t="str" cm="1">
        <f t="array" aca="1" ref="M11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($E110=CLASSIFICATION[[Keyword Aggr]:[Keyword Aggr]])*($D110=CLASSIFICATION[[Functional Scope Aggr]:[Functional Scope Aggr]])),
_xlpm._platform_keywords, _xlfn.TEXTSPLIT(SUBSTITUTE(SUBSTITUTE(VLOOKUP($D110,_xlpm._platform_range,3,FALSE),"+"&amp;CHAR(34),"+"),CHAR(34),""),", "),
_xlpm._exists, SUMPRODUCT(--ISNUMBER(MATCH(_xlpm._platform_keywords,_xlpm._original_keywords,0)))&gt;0,
_xlfn.IFS(AND(_xlpm._exists,LEFT($E110,1)="+"),"+",_xlpm._exists,"*",NOT(_xlpm._exists),"")
)</f>
        <v/>
      </c>
      <c r="N110" s="33" t="str" cm="1">
        <f t="array" aca="1" ref="N11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($E110=CLASSIFICATION[[Keyword Aggr]:[Keyword Aggr]])*($D110=CLASSIFICATION[[Functional Scope Aggr]:[Functional Scope Aggr]])),
_xlpm._platform_keywords, _xlfn.TEXTSPLIT(SUBSTITUTE(SUBSTITUTE(VLOOKUP($D110,_xlpm._platform_range,3,FALSE),"+"&amp;CHAR(34),"+"),CHAR(34),""),", "),
_xlpm._exists, SUMPRODUCT(--ISNUMBER(MATCH(_xlpm._platform_keywords,_xlpm._original_keywords,0)))&gt;0,
_xlfn.IFS(AND(_xlpm._exists,LEFT($E110,1)="+"),"+",_xlpm._exists,"*",NOT(_xlpm._exists),"")
)</f>
        <v/>
      </c>
      <c r="O110" s="33" t="str" cm="1">
        <f t="array" aca="1" ref="O11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($E110=CLASSIFICATION[[Keyword Aggr]:[Keyword Aggr]])*($D110=CLASSIFICATION[[Functional Scope Aggr]:[Functional Scope Aggr]])),
_xlpm._platform_keywords, _xlfn.TEXTSPLIT(SUBSTITUTE(SUBSTITUTE(VLOOKUP($D110,_xlpm._platform_range,3,FALSE),"+"&amp;CHAR(34),"+"),CHAR(34),""),", "),
_xlpm._exists, SUMPRODUCT(--ISNUMBER(MATCH(_xlpm._platform_keywords,_xlpm._original_keywords,0)))&gt;0,
_xlfn.IFS(AND(_xlpm._exists,LEFT($E110,1)="+"),"+",_xlpm._exists,"*",NOT(_xlpm._exists),"")
)</f>
        <v/>
      </c>
      <c r="Q110" s="33" t="str" cm="1">
        <f t="array" aca="1" ref="Q11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($E110=CLASSIFICATION[[Keyword Aggr]:[Keyword Aggr]])*($D110=CLASSIFICATION[[Functional Scope Aggr]:[Functional Scope Aggr]])),
_xlpm._platform_keywords, _xlfn.TEXTSPLIT(SUBSTITUTE(SUBSTITUTE(VLOOKUP($D110,_xlpm._platform_range,3,FALSE),"+"&amp;CHAR(34),"+"),CHAR(34),""),", "),
_xlpm._exists, SUMPRODUCT(--ISNUMBER(MATCH(_xlpm._platform_keywords,_xlpm._original_keywords,0)))&gt;0,
_xlfn.IFS(_xlpm._exists,1,NOT(_xlpm._exists),"")
)</f>
        <v/>
      </c>
      <c r="R110" s="33" t="str" cm="1">
        <f t="array" aca="1" ref="R11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($E110=CLASSIFICATION[[Keyword Aggr]:[Keyword Aggr]])*($D110=CLASSIFICATION[[Functional Scope Aggr]:[Functional Scope Aggr]])),
_xlpm._platform_keywords, _xlfn.TEXTSPLIT(SUBSTITUTE(SUBSTITUTE(VLOOKUP($D110,_xlpm._platform_range,3,FALSE),"+"&amp;CHAR(34),"+"),CHAR(34),""),", "),
_xlpm._exists, SUMPRODUCT(--ISNUMBER(MATCH(_xlpm._platform_keywords,_xlpm._original_keywords,0)))&gt;0,
_xlfn.IFS(_xlpm._exists,1,NOT(_xlpm._exists),"")
)</f>
        <v/>
      </c>
      <c r="S110" s="33" cm="1">
        <f t="array" aca="1" ref="S11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($E110=CLASSIFICATION[[Keyword Aggr]:[Keyword Aggr]])*($D110=CLASSIFICATION[[Functional Scope Aggr]:[Functional Scope Aggr]])),
_xlpm._platform_keywords, _xlfn.TEXTSPLIT(SUBSTITUTE(SUBSTITUTE(VLOOKUP($D110,_xlpm._platform_range,3,FALSE),"+"&amp;CHAR(34),"+"),CHAR(34),""),", "),
_xlpm._exists, SUMPRODUCT(--ISNUMBER(MATCH(_xlpm._platform_keywords,_xlpm._original_keywords,0)))&gt;0,
_xlfn.IFS(_xlpm._exists,1,NOT(_xlpm._exists),"")
)</f>
        <v>1</v>
      </c>
      <c r="T110" s="33" t="str" cm="1">
        <f t="array" aca="1" ref="T11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($E110=CLASSIFICATION[[Keyword Aggr]:[Keyword Aggr]])*($D110=CLASSIFICATION[[Functional Scope Aggr]:[Functional Scope Aggr]])),
_xlpm._platform_keywords, _xlfn.TEXTSPLIT(SUBSTITUTE(SUBSTITUTE(VLOOKUP($D110,_xlpm._platform_range,3,FALSE),"+"&amp;CHAR(34),"+"),CHAR(34),""),", "),
_xlpm._exists, SUMPRODUCT(--ISNUMBER(MATCH(_xlpm._platform_keywords,_xlpm._original_keywords,0)))&gt;0,
_xlfn.IFS(_xlpm._exists,1,NOT(_xlpm._exists),"")
)</f>
        <v/>
      </c>
      <c r="U110" s="33" t="str" cm="1">
        <f t="array" aca="1" ref="U11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($E110=CLASSIFICATION[[Keyword Aggr]:[Keyword Aggr]])*($D110=CLASSIFICATION[[Functional Scope Aggr]:[Functional Scope Aggr]])),
_xlpm._platform_keywords, _xlfn.TEXTSPLIT(SUBSTITUTE(SUBSTITUTE(VLOOKUP($D110,_xlpm._platform_range,3,FALSE),"+"&amp;CHAR(34),"+"),CHAR(34),""),", "),
_xlpm._exists, SUMPRODUCT(--ISNUMBER(MATCH(_xlpm._platform_keywords,_xlpm._original_keywords,0)))&gt;0,
_xlfn.IFS(_xlpm._exists,1,NOT(_xlpm._exists),"")
)</f>
        <v/>
      </c>
      <c r="V110" s="33" t="str" cm="1">
        <f t="array" aca="1" ref="V11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($E110=CLASSIFICATION[[Keyword Aggr]:[Keyword Aggr]])*($D110=CLASSIFICATION[[Functional Scope Aggr]:[Functional Scope Aggr]])),
_xlpm._platform_keywords, _xlfn.TEXTSPLIT(SUBSTITUTE(SUBSTITUTE(VLOOKUP($D110,_xlpm._platform_range,3,FALSE),"+"&amp;CHAR(34),"+"),CHAR(34),""),", "),
_xlpm._exists, SUMPRODUCT(--ISNUMBER(MATCH(_xlpm._platform_keywords,_xlpm._original_keywords,0)))&gt;0,
_xlfn.IFS(_xlpm._exists,1,NOT(_xlpm._exists),"")
)</f>
        <v/>
      </c>
      <c r="X110" s="33" t="str">
        <f t="shared" si="14"/>
        <v/>
      </c>
      <c r="Y110" s="33" t="str">
        <f t="shared" si="15"/>
        <v/>
      </c>
      <c r="Z110" s="33" t="str">
        <f t="shared" si="16"/>
        <v/>
      </c>
      <c r="AA110" s="33" t="str">
        <f t="shared" si="17"/>
        <v/>
      </c>
      <c r="AB110" s="33" t="str">
        <f t="shared" si="18"/>
        <v/>
      </c>
      <c r="AC110" s="33" t="str">
        <f t="shared" si="19"/>
        <v/>
      </c>
    </row>
    <row r="111" spans="1:29" x14ac:dyDescent="0.25">
      <c r="A111" s="19" t="str">
        <v>Development,GUI design and development,Variables</v>
      </c>
      <c r="B111" t="s">
        <v>377</v>
      </c>
      <c r="C111" s="19" t="str" cm="1">
        <f t="array" ref="C111:E111">_xlfn.TEXTSPLIT(A111,",")</f>
        <v>Development</v>
      </c>
      <c r="D111" s="19" t="str">
        <v>GUI design and development</v>
      </c>
      <c r="E111" s="19" t="str">
        <v>Variables</v>
      </c>
      <c r="F111" s="36" t="str" cm="1">
        <f t="array" ref="F111">_xlfn.TEXTJOIN(",",TRUE,_xlfn._xlws.FILTER(CLASSIFICATION[Keyword], ($E111=CLASSIFICATION[Keyword Aggr])*($D111=CLASSIFICATION[Functional Scope Aggr])))</f>
        <v>Variables</v>
      </c>
      <c r="G111" s="32" t="str">
        <f t="shared" si="11"/>
        <v/>
      </c>
      <c r="H111" s="32" t="str">
        <f t="shared" si="12"/>
        <v/>
      </c>
      <c r="I111" s="32" t="str">
        <f t="shared" si="13"/>
        <v>Variables</v>
      </c>
      <c r="J111" s="33" t="str" cm="1">
        <f t="array" aca="1" ref="J11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($E111=CLASSIFICATION[[Keyword Aggr]:[Keyword Aggr]])*($D111=CLASSIFICATION[[Functional Scope Aggr]:[Functional Scope Aggr]])),
_xlpm._platform_keywords, _xlfn.TEXTSPLIT(SUBSTITUTE(SUBSTITUTE(VLOOKUP($D111,_xlpm._platform_range,3,FALSE),"+"&amp;CHAR(34),"+"),CHAR(34),""),", "),
_xlpm._exists, SUMPRODUCT(--ISNUMBER(MATCH(_xlpm._platform_keywords,_xlpm._original_keywords,0)))&gt;0,
_xlfn.IFS(AND(_xlpm._exists,LEFT($E111,1)="+"),"+",_xlpm._exists,"*",NOT(_xlpm._exists),"")
)</f>
        <v/>
      </c>
      <c r="K111" s="33" t="str" cm="1">
        <f t="array" aca="1" ref="K11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($E111=CLASSIFICATION[[Keyword Aggr]:[Keyword Aggr]])*($D111=CLASSIFICATION[[Functional Scope Aggr]:[Functional Scope Aggr]])),
_xlpm._platform_keywords, _xlfn.TEXTSPLIT(SUBSTITUTE(SUBSTITUTE(VLOOKUP($D111,_xlpm._platform_range,3,FALSE),"+"&amp;CHAR(34),"+"),CHAR(34),""),", "),
_xlpm._exists, SUMPRODUCT(--ISNUMBER(MATCH(_xlpm._platform_keywords,_xlpm._original_keywords,0)))&gt;0,
_xlfn.IFS(AND(_xlpm._exists,LEFT($E111,1)="+"),"+",_xlpm._exists,"*",NOT(_xlpm._exists),"")
)</f>
        <v/>
      </c>
      <c r="L111" s="33" t="str" cm="1">
        <f t="array" aca="1" ref="L11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($E111=CLASSIFICATION[[Keyword Aggr]:[Keyword Aggr]])*($D111=CLASSIFICATION[[Functional Scope Aggr]:[Functional Scope Aggr]])),
_xlpm._platform_keywords, _xlfn.TEXTSPLIT(SUBSTITUTE(SUBSTITUTE(VLOOKUP($D111,_xlpm._platform_range,3,FALSE),"+"&amp;CHAR(34),"+"),CHAR(34),""),", "),
_xlpm._exists, SUMPRODUCT(--ISNUMBER(MATCH(_xlpm._platform_keywords,_xlpm._original_keywords,0)))&gt;0,
_xlfn.IFS(AND(_xlpm._exists,LEFT($E111,1)="+"),"+",_xlpm._exists,"*",NOT(_xlpm._exists),"")
)</f>
        <v>*</v>
      </c>
      <c r="M111" s="33" t="str" cm="1">
        <f t="array" aca="1" ref="M11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($E111=CLASSIFICATION[[Keyword Aggr]:[Keyword Aggr]])*($D111=CLASSIFICATION[[Functional Scope Aggr]:[Functional Scope Aggr]])),
_xlpm._platform_keywords, _xlfn.TEXTSPLIT(SUBSTITUTE(SUBSTITUTE(VLOOKUP($D111,_xlpm._platform_range,3,FALSE),"+"&amp;CHAR(34),"+"),CHAR(34),""),", "),
_xlpm._exists, SUMPRODUCT(--ISNUMBER(MATCH(_xlpm._platform_keywords,_xlpm._original_keywords,0)))&gt;0,
_xlfn.IFS(AND(_xlpm._exists,LEFT($E111,1)="+"),"+",_xlpm._exists,"*",NOT(_xlpm._exists),"")
)</f>
        <v/>
      </c>
      <c r="N111" s="33" t="str" cm="1">
        <f t="array" aca="1" ref="N11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($E111=CLASSIFICATION[[Keyword Aggr]:[Keyword Aggr]])*($D111=CLASSIFICATION[[Functional Scope Aggr]:[Functional Scope Aggr]])),
_xlpm._platform_keywords, _xlfn.TEXTSPLIT(SUBSTITUTE(SUBSTITUTE(VLOOKUP($D111,_xlpm._platform_range,3,FALSE),"+"&amp;CHAR(34),"+"),CHAR(34),""),", "),
_xlpm._exists, SUMPRODUCT(--ISNUMBER(MATCH(_xlpm._platform_keywords,_xlpm._original_keywords,0)))&gt;0,
_xlfn.IFS(AND(_xlpm._exists,LEFT($E111,1)="+"),"+",_xlpm._exists,"*",NOT(_xlpm._exists),"")
)</f>
        <v/>
      </c>
      <c r="O111" s="33" t="str" cm="1">
        <f t="array" aca="1" ref="O11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($E111=CLASSIFICATION[[Keyword Aggr]:[Keyword Aggr]])*($D111=CLASSIFICATION[[Functional Scope Aggr]:[Functional Scope Aggr]])),
_xlpm._platform_keywords, _xlfn.TEXTSPLIT(SUBSTITUTE(SUBSTITUTE(VLOOKUP($D111,_xlpm._platform_range,3,FALSE),"+"&amp;CHAR(34),"+"),CHAR(34),""),", "),
_xlpm._exists, SUMPRODUCT(--ISNUMBER(MATCH(_xlpm._platform_keywords,_xlpm._original_keywords,0)))&gt;0,
_xlfn.IFS(AND(_xlpm._exists,LEFT($E111,1)="+"),"+",_xlpm._exists,"*",NOT(_xlpm._exists),"")
)</f>
        <v/>
      </c>
      <c r="Q111" s="33" t="str" cm="1">
        <f t="array" aca="1" ref="Q11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($E111=CLASSIFICATION[[Keyword Aggr]:[Keyword Aggr]])*($D111=CLASSIFICATION[[Functional Scope Aggr]:[Functional Scope Aggr]])),
_xlpm._platform_keywords, _xlfn.TEXTSPLIT(SUBSTITUTE(SUBSTITUTE(VLOOKUP($D111,_xlpm._platform_range,3,FALSE),"+"&amp;CHAR(34),"+"),CHAR(34),""),", "),
_xlpm._exists, SUMPRODUCT(--ISNUMBER(MATCH(_xlpm._platform_keywords,_xlpm._original_keywords,0)))&gt;0,
_xlfn.IFS(_xlpm._exists,1,NOT(_xlpm._exists),"")
)</f>
        <v/>
      </c>
      <c r="R111" s="33" t="str" cm="1">
        <f t="array" aca="1" ref="R11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($E111=CLASSIFICATION[[Keyword Aggr]:[Keyword Aggr]])*($D111=CLASSIFICATION[[Functional Scope Aggr]:[Functional Scope Aggr]])),
_xlpm._platform_keywords, _xlfn.TEXTSPLIT(SUBSTITUTE(SUBSTITUTE(VLOOKUP($D111,_xlpm._platform_range,3,FALSE),"+"&amp;CHAR(34),"+"),CHAR(34),""),", "),
_xlpm._exists, SUMPRODUCT(--ISNUMBER(MATCH(_xlpm._platform_keywords,_xlpm._original_keywords,0)))&gt;0,
_xlfn.IFS(_xlpm._exists,1,NOT(_xlpm._exists),"")
)</f>
        <v/>
      </c>
      <c r="S111" s="33" cm="1">
        <f t="array" aca="1" ref="S11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($E111=CLASSIFICATION[[Keyword Aggr]:[Keyword Aggr]])*($D111=CLASSIFICATION[[Functional Scope Aggr]:[Functional Scope Aggr]])),
_xlpm._platform_keywords, _xlfn.TEXTSPLIT(SUBSTITUTE(SUBSTITUTE(VLOOKUP($D111,_xlpm._platform_range,3,FALSE),"+"&amp;CHAR(34),"+"),CHAR(34),""),", "),
_xlpm._exists, SUMPRODUCT(--ISNUMBER(MATCH(_xlpm._platform_keywords,_xlpm._original_keywords,0)))&gt;0,
_xlfn.IFS(_xlpm._exists,1,NOT(_xlpm._exists),"")
)</f>
        <v>1</v>
      </c>
      <c r="T111" s="33" t="str" cm="1">
        <f t="array" aca="1" ref="T11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($E111=CLASSIFICATION[[Keyword Aggr]:[Keyword Aggr]])*($D111=CLASSIFICATION[[Functional Scope Aggr]:[Functional Scope Aggr]])),
_xlpm._platform_keywords, _xlfn.TEXTSPLIT(SUBSTITUTE(SUBSTITUTE(VLOOKUP($D111,_xlpm._platform_range,3,FALSE),"+"&amp;CHAR(34),"+"),CHAR(34),""),", "),
_xlpm._exists, SUMPRODUCT(--ISNUMBER(MATCH(_xlpm._platform_keywords,_xlpm._original_keywords,0)))&gt;0,
_xlfn.IFS(_xlpm._exists,1,NOT(_xlpm._exists),"")
)</f>
        <v/>
      </c>
      <c r="U111" s="33" t="str" cm="1">
        <f t="array" aca="1" ref="U11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($E111=CLASSIFICATION[[Keyword Aggr]:[Keyword Aggr]])*($D111=CLASSIFICATION[[Functional Scope Aggr]:[Functional Scope Aggr]])),
_xlpm._platform_keywords, _xlfn.TEXTSPLIT(SUBSTITUTE(SUBSTITUTE(VLOOKUP($D111,_xlpm._platform_range,3,FALSE),"+"&amp;CHAR(34),"+"),CHAR(34),""),", "),
_xlpm._exists, SUMPRODUCT(--ISNUMBER(MATCH(_xlpm._platform_keywords,_xlpm._original_keywords,0)))&gt;0,
_xlfn.IFS(_xlpm._exists,1,NOT(_xlpm._exists),"")
)</f>
        <v/>
      </c>
      <c r="V111" s="33" t="str" cm="1">
        <f t="array" aca="1" ref="V11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($E111=CLASSIFICATION[[Keyword Aggr]:[Keyword Aggr]])*($D111=CLASSIFICATION[[Functional Scope Aggr]:[Functional Scope Aggr]])),
_xlpm._platform_keywords, _xlfn.TEXTSPLIT(SUBSTITUTE(SUBSTITUTE(VLOOKUP($D111,_xlpm._platform_range,3,FALSE),"+"&amp;CHAR(34),"+"),CHAR(34),""),", "),
_xlpm._exists, SUMPRODUCT(--ISNUMBER(MATCH(_xlpm._platform_keywords,_xlpm._original_keywords,0)))&gt;0,
_xlfn.IFS(_xlpm._exists,1,NOT(_xlpm._exists),"")
)</f>
        <v/>
      </c>
      <c r="X111" s="33" t="str">
        <f t="shared" si="14"/>
        <v/>
      </c>
      <c r="Y111" s="33" t="str">
        <f t="shared" si="15"/>
        <v/>
      </c>
      <c r="Z111" s="33" t="str">
        <f t="shared" si="16"/>
        <v/>
      </c>
      <c r="AA111" s="33" t="str">
        <f t="shared" si="17"/>
        <v/>
      </c>
      <c r="AB111" s="33" t="str">
        <f t="shared" si="18"/>
        <v/>
      </c>
      <c r="AC111" s="33" t="str">
        <f t="shared" si="19"/>
        <v/>
      </c>
    </row>
    <row r="112" spans="1:29" x14ac:dyDescent="0.25">
      <c r="A112" s="19" t="str">
        <v>Development,GUI design and development,XML</v>
      </c>
      <c r="B112" t="s">
        <v>377</v>
      </c>
      <c r="C112" s="19" t="str" cm="1">
        <f t="array" ref="C112:E112">_xlfn.TEXTSPLIT(A112,",")</f>
        <v>Development</v>
      </c>
      <c r="D112" s="19" t="str">
        <v>GUI design and development</v>
      </c>
      <c r="E112" s="19" t="str">
        <v>XML</v>
      </c>
      <c r="F112" s="36" t="str" cm="1">
        <f t="array" ref="F112">_xlfn.TEXTJOIN(",",TRUE,_xlfn._xlws.FILTER(CLASSIFICATION[Keyword], ($E112=CLASSIFICATION[Keyword Aggr])*($D112=CLASSIFICATION[Functional Scope Aggr])))</f>
        <v>XML</v>
      </c>
      <c r="G112" s="32" t="str">
        <f t="shared" si="11"/>
        <v/>
      </c>
      <c r="H112" s="32" t="str">
        <f t="shared" si="12"/>
        <v/>
      </c>
      <c r="I112" s="32" t="str">
        <f t="shared" si="13"/>
        <v>XML</v>
      </c>
      <c r="J112" s="33" t="str" cm="1">
        <f t="array" aca="1" ref="J11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($E112=CLASSIFICATION[[Keyword Aggr]:[Keyword Aggr]])*($D112=CLASSIFICATION[[Functional Scope Aggr]:[Functional Scope Aggr]])),
_xlpm._platform_keywords, _xlfn.TEXTSPLIT(SUBSTITUTE(SUBSTITUTE(VLOOKUP($D112,_xlpm._platform_range,3,FALSE),"+"&amp;CHAR(34),"+"),CHAR(34),""),", "),
_xlpm._exists, SUMPRODUCT(--ISNUMBER(MATCH(_xlpm._platform_keywords,_xlpm._original_keywords,0)))&gt;0,
_xlfn.IFS(AND(_xlpm._exists,LEFT($E112,1)="+"),"+",_xlpm._exists,"*",NOT(_xlpm._exists),"")
)</f>
        <v/>
      </c>
      <c r="K112" s="33" t="str" cm="1">
        <f t="array" aca="1" ref="K11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($E112=CLASSIFICATION[[Keyword Aggr]:[Keyword Aggr]])*($D112=CLASSIFICATION[[Functional Scope Aggr]:[Functional Scope Aggr]])),
_xlpm._platform_keywords, _xlfn.TEXTSPLIT(SUBSTITUTE(SUBSTITUTE(VLOOKUP($D112,_xlpm._platform_range,3,FALSE),"+"&amp;CHAR(34),"+"),CHAR(34),""),", "),
_xlpm._exists, SUMPRODUCT(--ISNUMBER(MATCH(_xlpm._platform_keywords,_xlpm._original_keywords,0)))&gt;0,
_xlfn.IFS(AND(_xlpm._exists,LEFT($E112,1)="+"),"+",_xlpm._exists,"*",NOT(_xlpm._exists),"")
)</f>
        <v/>
      </c>
      <c r="L112" s="33" t="str" cm="1">
        <f t="array" aca="1" ref="L11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($E112=CLASSIFICATION[[Keyword Aggr]:[Keyword Aggr]])*($D112=CLASSIFICATION[[Functional Scope Aggr]:[Functional Scope Aggr]])),
_xlpm._platform_keywords, _xlfn.TEXTSPLIT(SUBSTITUTE(SUBSTITUTE(VLOOKUP($D112,_xlpm._platform_range,3,FALSE),"+"&amp;CHAR(34),"+"),CHAR(34),""),", "),
_xlpm._exists, SUMPRODUCT(--ISNUMBER(MATCH(_xlpm._platform_keywords,_xlpm._original_keywords,0)))&gt;0,
_xlfn.IFS(AND(_xlpm._exists,LEFT($E112,1)="+"),"+",_xlpm._exists,"*",NOT(_xlpm._exists),"")
)</f>
        <v/>
      </c>
      <c r="M112" s="33" t="str" cm="1">
        <f t="array" aca="1" ref="M11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($E112=CLASSIFICATION[[Keyword Aggr]:[Keyword Aggr]])*($D112=CLASSIFICATION[[Functional Scope Aggr]:[Functional Scope Aggr]])),
_xlpm._platform_keywords, _xlfn.TEXTSPLIT(SUBSTITUTE(SUBSTITUTE(VLOOKUP($D112,_xlpm._platform_range,3,FALSE),"+"&amp;CHAR(34),"+"),CHAR(34),""),", "),
_xlpm._exists, SUMPRODUCT(--ISNUMBER(MATCH(_xlpm._platform_keywords,_xlpm._original_keywords,0)))&gt;0,
_xlfn.IFS(AND(_xlpm._exists,LEFT($E112,1)="+"),"+",_xlpm._exists,"*",NOT(_xlpm._exists),"")
)</f>
        <v>*</v>
      </c>
      <c r="N112" s="33" t="str" cm="1">
        <f t="array" aca="1" ref="N11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($E112=CLASSIFICATION[[Keyword Aggr]:[Keyword Aggr]])*($D112=CLASSIFICATION[[Functional Scope Aggr]:[Functional Scope Aggr]])),
_xlpm._platform_keywords, _xlfn.TEXTSPLIT(SUBSTITUTE(SUBSTITUTE(VLOOKUP($D112,_xlpm._platform_range,3,FALSE),"+"&amp;CHAR(34),"+"),CHAR(34),""),", "),
_xlpm._exists, SUMPRODUCT(--ISNUMBER(MATCH(_xlpm._platform_keywords,_xlpm._original_keywords,0)))&gt;0,
_xlfn.IFS(AND(_xlpm._exists,LEFT($E112,1)="+"),"+",_xlpm._exists,"*",NOT(_xlpm._exists),"")
)</f>
        <v/>
      </c>
      <c r="O112" s="33" t="str" cm="1">
        <f t="array" aca="1" ref="O11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($E112=CLASSIFICATION[[Keyword Aggr]:[Keyword Aggr]])*($D112=CLASSIFICATION[[Functional Scope Aggr]:[Functional Scope Aggr]])),
_xlpm._platform_keywords, _xlfn.TEXTSPLIT(SUBSTITUTE(SUBSTITUTE(VLOOKUP($D112,_xlpm._platform_range,3,FALSE),"+"&amp;CHAR(34),"+"),CHAR(34),""),", "),
_xlpm._exists, SUMPRODUCT(--ISNUMBER(MATCH(_xlpm._platform_keywords,_xlpm._original_keywords,0)))&gt;0,
_xlfn.IFS(AND(_xlpm._exists,LEFT($E112,1)="+"),"+",_xlpm._exists,"*",NOT(_xlpm._exists),"")
)</f>
        <v>*</v>
      </c>
      <c r="Q112" s="33" t="str" cm="1">
        <f t="array" aca="1" ref="Q11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($E112=CLASSIFICATION[[Keyword Aggr]:[Keyword Aggr]])*($D112=CLASSIFICATION[[Functional Scope Aggr]:[Functional Scope Aggr]])),
_xlpm._platform_keywords, _xlfn.TEXTSPLIT(SUBSTITUTE(SUBSTITUTE(VLOOKUP($D112,_xlpm._platform_range,3,FALSE),"+"&amp;CHAR(34),"+"),CHAR(34),""),", "),
_xlpm._exists, SUMPRODUCT(--ISNUMBER(MATCH(_xlpm._platform_keywords,_xlpm._original_keywords,0)))&gt;0,
_xlfn.IFS(_xlpm._exists,1,NOT(_xlpm._exists),"")
)</f>
        <v/>
      </c>
      <c r="R112" s="33" t="str" cm="1">
        <f t="array" aca="1" ref="R11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($E112=CLASSIFICATION[[Keyword Aggr]:[Keyword Aggr]])*($D112=CLASSIFICATION[[Functional Scope Aggr]:[Functional Scope Aggr]])),
_xlpm._platform_keywords, _xlfn.TEXTSPLIT(SUBSTITUTE(SUBSTITUTE(VLOOKUP($D112,_xlpm._platform_range,3,FALSE),"+"&amp;CHAR(34),"+"),CHAR(34),""),", "),
_xlpm._exists, SUMPRODUCT(--ISNUMBER(MATCH(_xlpm._platform_keywords,_xlpm._original_keywords,0)))&gt;0,
_xlfn.IFS(_xlpm._exists,1,NOT(_xlpm._exists),"")
)</f>
        <v/>
      </c>
      <c r="S112" s="33" t="str" cm="1">
        <f t="array" aca="1" ref="S11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($E112=CLASSIFICATION[[Keyword Aggr]:[Keyword Aggr]])*($D112=CLASSIFICATION[[Functional Scope Aggr]:[Functional Scope Aggr]])),
_xlpm._platform_keywords, _xlfn.TEXTSPLIT(SUBSTITUTE(SUBSTITUTE(VLOOKUP($D112,_xlpm._platform_range,3,FALSE),"+"&amp;CHAR(34),"+"),CHAR(34),""),", "),
_xlpm._exists, SUMPRODUCT(--ISNUMBER(MATCH(_xlpm._platform_keywords,_xlpm._original_keywords,0)))&gt;0,
_xlfn.IFS(_xlpm._exists,1,NOT(_xlpm._exists),"")
)</f>
        <v/>
      </c>
      <c r="T112" s="33" cm="1">
        <f t="array" aca="1" ref="T11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($E112=CLASSIFICATION[[Keyword Aggr]:[Keyword Aggr]])*($D112=CLASSIFICATION[[Functional Scope Aggr]:[Functional Scope Aggr]])),
_xlpm._platform_keywords, _xlfn.TEXTSPLIT(SUBSTITUTE(SUBSTITUTE(VLOOKUP($D112,_xlpm._platform_range,3,FALSE),"+"&amp;CHAR(34),"+"),CHAR(34),""),", "),
_xlpm._exists, SUMPRODUCT(--ISNUMBER(MATCH(_xlpm._platform_keywords,_xlpm._original_keywords,0)))&gt;0,
_xlfn.IFS(_xlpm._exists,1,NOT(_xlpm._exists),"")
)</f>
        <v>1</v>
      </c>
      <c r="U112" s="33" t="str" cm="1">
        <f t="array" aca="1" ref="U11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($E112=CLASSIFICATION[[Keyword Aggr]:[Keyword Aggr]])*($D112=CLASSIFICATION[[Functional Scope Aggr]:[Functional Scope Aggr]])),
_xlpm._platform_keywords, _xlfn.TEXTSPLIT(SUBSTITUTE(SUBSTITUTE(VLOOKUP($D112,_xlpm._platform_range,3,FALSE),"+"&amp;CHAR(34),"+"),CHAR(34),""),", "),
_xlpm._exists, SUMPRODUCT(--ISNUMBER(MATCH(_xlpm._platform_keywords,_xlpm._original_keywords,0)))&gt;0,
_xlfn.IFS(_xlpm._exists,1,NOT(_xlpm._exists),"")
)</f>
        <v/>
      </c>
      <c r="V112" s="33" cm="1">
        <f t="array" aca="1" ref="V11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($E112=CLASSIFICATION[[Keyword Aggr]:[Keyword Aggr]])*($D112=CLASSIFICATION[[Functional Scope Aggr]:[Functional Scope Aggr]])),
_xlpm._platform_keywords, _xlfn.TEXTSPLIT(SUBSTITUTE(SUBSTITUTE(VLOOKUP($D112,_xlpm._platform_range,3,FALSE),"+"&amp;CHAR(34),"+"),CHAR(34),""),", "),
_xlpm._exists, SUMPRODUCT(--ISNUMBER(MATCH(_xlpm._platform_keywords,_xlpm._original_keywords,0)))&gt;0,
_xlfn.IFS(_xlpm._exists,1,NOT(_xlpm._exists),"")
)</f>
        <v>1</v>
      </c>
      <c r="X112" s="33" t="str">
        <f t="shared" si="14"/>
        <v/>
      </c>
      <c r="Y112" s="33" t="str">
        <f t="shared" si="15"/>
        <v/>
      </c>
      <c r="Z112" s="33" t="str">
        <f t="shared" si="16"/>
        <v/>
      </c>
      <c r="AA112" s="33" t="str">
        <f t="shared" si="17"/>
        <v/>
      </c>
      <c r="AB112" s="33" t="str">
        <f t="shared" si="18"/>
        <v/>
      </c>
      <c r="AC112" s="33" t="str">
        <f t="shared" si="19"/>
        <v/>
      </c>
    </row>
    <row r="113" spans="1:29" x14ac:dyDescent="0.25">
      <c r="A113" s="19" t="str">
        <v>Development,Data validation development,+Business Rules</v>
      </c>
      <c r="B113" t="s">
        <v>377</v>
      </c>
      <c r="C113" s="19" t="str" cm="1">
        <f t="array" ref="C113:E113">_xlfn.TEXTSPLIT(A113,",")</f>
        <v>Development</v>
      </c>
      <c r="D113" s="19" t="str">
        <v>Data validation development</v>
      </c>
      <c r="E113" s="19" t="str">
        <v>+Business Rules</v>
      </c>
      <c r="F113" s="36" t="str" cm="1">
        <f t="array" ref="F113">_xlfn.TEXTJOIN(",",TRUE,_xlfn._xlws.FILTER(CLASSIFICATION[Keyword], ($E113=CLASSIFICATION[Keyword Aggr])*($D113=CLASSIFICATION[Functional Scope Aggr])))</f>
        <v>+Business Rules (graphical)</v>
      </c>
      <c r="G113" s="32" t="str">
        <f t="shared" si="11"/>
        <v/>
      </c>
      <c r="H113" s="32" t="str">
        <f t="shared" si="12"/>
        <v>Data validation development</v>
      </c>
      <c r="I113" s="32" t="str">
        <f t="shared" si="13"/>
        <v>+Business Rules</v>
      </c>
      <c r="J113" s="33" t="str" cm="1">
        <f t="array" aca="1" ref="J11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($E113=CLASSIFICATION[[Keyword Aggr]:[Keyword Aggr]])*($D113=CLASSIFICATION[[Functional Scope Aggr]:[Functional Scope Aggr]])),
_xlpm._platform_keywords, _xlfn.TEXTSPLIT(SUBSTITUTE(SUBSTITUTE(VLOOKUP($D113,_xlpm._platform_range,3,FALSE),"+"&amp;CHAR(34),"+"),CHAR(34),""),", "),
_xlpm._exists, SUMPRODUCT(--ISNUMBER(MATCH(_xlpm._platform_keywords,_xlpm._original_keywords,0)))&gt;0,
_xlfn.IFS(AND(_xlpm._exists,LEFT($E113,1)="+"),"+",_xlpm._exists,"*",NOT(_xlpm._exists),"")
)</f>
        <v/>
      </c>
      <c r="K113" s="33" t="str" cm="1">
        <f t="array" aca="1" ref="K11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($E113=CLASSIFICATION[[Keyword Aggr]:[Keyword Aggr]])*($D113=CLASSIFICATION[[Functional Scope Aggr]:[Functional Scope Aggr]])),
_xlpm._platform_keywords, _xlfn.TEXTSPLIT(SUBSTITUTE(SUBSTITUTE(VLOOKUP($D113,_xlpm._platform_range,3,FALSE),"+"&amp;CHAR(34),"+"),CHAR(34),""),", "),
_xlpm._exists, SUMPRODUCT(--ISNUMBER(MATCH(_xlpm._platform_keywords,_xlpm._original_keywords,0)))&gt;0,
_xlfn.IFS(AND(_xlpm._exists,LEFT($E113,1)="+"),"+",_xlpm._exists,"*",NOT(_xlpm._exists),"")
)</f>
        <v/>
      </c>
      <c r="L113" s="33" t="str" cm="1">
        <f t="array" aca="1" ref="L11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($E113=CLASSIFICATION[[Keyword Aggr]:[Keyword Aggr]])*($D113=CLASSIFICATION[[Functional Scope Aggr]:[Functional Scope Aggr]])),
_xlpm._platform_keywords, _xlfn.TEXTSPLIT(SUBSTITUTE(SUBSTITUTE(VLOOKUP($D113,_xlpm._platform_range,3,FALSE),"+"&amp;CHAR(34),"+"),CHAR(34),""),", "),
_xlpm._exists, SUMPRODUCT(--ISNUMBER(MATCH(_xlpm._platform_keywords,_xlpm._original_keywords,0)))&gt;0,
_xlfn.IFS(AND(_xlpm._exists,LEFT($E113,1)="+"),"+",_xlpm._exists,"*",NOT(_xlpm._exists),"")
)</f>
        <v/>
      </c>
      <c r="M113" s="33" t="str" cm="1">
        <f t="array" aca="1" ref="M11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($E113=CLASSIFICATION[[Keyword Aggr]:[Keyword Aggr]])*($D113=CLASSIFICATION[[Functional Scope Aggr]:[Functional Scope Aggr]])),
_xlpm._platform_keywords, _xlfn.TEXTSPLIT(SUBSTITUTE(SUBSTITUTE(VLOOKUP($D113,_xlpm._platform_range,3,FALSE),"+"&amp;CHAR(34),"+"),CHAR(34),""),", "),
_xlpm._exists, SUMPRODUCT(--ISNUMBER(MATCH(_xlpm._platform_keywords,_xlpm._original_keywords,0)))&gt;0,
_xlfn.IFS(AND(_xlpm._exists,LEFT($E113,1)="+"),"+",_xlpm._exists,"*",NOT(_xlpm._exists),"")
)</f>
        <v>+</v>
      </c>
      <c r="N113" s="33" t="str" cm="1">
        <f t="array" aca="1" ref="N11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($E113=CLASSIFICATION[[Keyword Aggr]:[Keyword Aggr]])*($D113=CLASSIFICATION[[Functional Scope Aggr]:[Functional Scope Aggr]])),
_xlpm._platform_keywords, _xlfn.TEXTSPLIT(SUBSTITUTE(SUBSTITUTE(VLOOKUP($D113,_xlpm._platform_range,3,FALSE),"+"&amp;CHAR(34),"+"),CHAR(34),""),", "),
_xlpm._exists, SUMPRODUCT(--ISNUMBER(MATCH(_xlpm._platform_keywords,_xlpm._original_keywords,0)))&gt;0,
_xlfn.IFS(AND(_xlpm._exists,LEFT($E113,1)="+"),"+",_xlpm._exists,"*",NOT(_xlpm._exists),"")
)</f>
        <v/>
      </c>
      <c r="O113" s="33" t="str" cm="1">
        <f t="array" aca="1" ref="O11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($E113=CLASSIFICATION[[Keyword Aggr]:[Keyword Aggr]])*($D113=CLASSIFICATION[[Functional Scope Aggr]:[Functional Scope Aggr]])),
_xlpm._platform_keywords, _xlfn.TEXTSPLIT(SUBSTITUTE(SUBSTITUTE(VLOOKUP($D113,_xlpm._platform_range,3,FALSE),"+"&amp;CHAR(34),"+"),CHAR(34),""),", "),
_xlpm._exists, SUMPRODUCT(--ISNUMBER(MATCH(_xlpm._platform_keywords,_xlpm._original_keywords,0)))&gt;0,
_xlfn.IFS(AND(_xlpm._exists,LEFT($E113,1)="+"),"+",_xlpm._exists,"*",NOT(_xlpm._exists),"")
)</f>
        <v>+</v>
      </c>
      <c r="Q113" s="33" t="str" cm="1">
        <f t="array" aca="1" ref="Q11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($E113=CLASSIFICATION[[Keyword Aggr]:[Keyword Aggr]])*($D113=CLASSIFICATION[[Functional Scope Aggr]:[Functional Scope Aggr]])),
_xlpm._platform_keywords, _xlfn.TEXTSPLIT(SUBSTITUTE(SUBSTITUTE(VLOOKUP($D113,_xlpm._platform_range,3,FALSE),"+"&amp;CHAR(34),"+"),CHAR(34),""),", "),
_xlpm._exists, SUMPRODUCT(--ISNUMBER(MATCH(_xlpm._platform_keywords,_xlpm._original_keywords,0)))&gt;0,
_xlfn.IFS(_xlpm._exists,1,NOT(_xlpm._exists),"")
)</f>
        <v/>
      </c>
      <c r="R113" s="33" t="str" cm="1">
        <f t="array" aca="1" ref="R11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($E113=CLASSIFICATION[[Keyword Aggr]:[Keyword Aggr]])*($D113=CLASSIFICATION[[Functional Scope Aggr]:[Functional Scope Aggr]])),
_xlpm._platform_keywords, _xlfn.TEXTSPLIT(SUBSTITUTE(SUBSTITUTE(VLOOKUP($D113,_xlpm._platform_range,3,FALSE),"+"&amp;CHAR(34),"+"),CHAR(34),""),", "),
_xlpm._exists, SUMPRODUCT(--ISNUMBER(MATCH(_xlpm._platform_keywords,_xlpm._original_keywords,0)))&gt;0,
_xlfn.IFS(_xlpm._exists,1,NOT(_xlpm._exists),"")
)</f>
        <v/>
      </c>
      <c r="S113" s="33" t="str" cm="1">
        <f t="array" aca="1" ref="S11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($E113=CLASSIFICATION[[Keyword Aggr]:[Keyword Aggr]])*($D113=CLASSIFICATION[[Functional Scope Aggr]:[Functional Scope Aggr]])),
_xlpm._platform_keywords, _xlfn.TEXTSPLIT(SUBSTITUTE(SUBSTITUTE(VLOOKUP($D113,_xlpm._platform_range,3,FALSE),"+"&amp;CHAR(34),"+"),CHAR(34),""),", "),
_xlpm._exists, SUMPRODUCT(--ISNUMBER(MATCH(_xlpm._platform_keywords,_xlpm._original_keywords,0)))&gt;0,
_xlfn.IFS(_xlpm._exists,1,NOT(_xlpm._exists),"")
)</f>
        <v/>
      </c>
      <c r="T113" s="33" cm="1">
        <f t="array" aca="1" ref="T11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($E113=CLASSIFICATION[[Keyword Aggr]:[Keyword Aggr]])*($D113=CLASSIFICATION[[Functional Scope Aggr]:[Functional Scope Aggr]])),
_xlpm._platform_keywords, _xlfn.TEXTSPLIT(SUBSTITUTE(SUBSTITUTE(VLOOKUP($D113,_xlpm._platform_range,3,FALSE),"+"&amp;CHAR(34),"+"),CHAR(34),""),", "),
_xlpm._exists, SUMPRODUCT(--ISNUMBER(MATCH(_xlpm._platform_keywords,_xlpm._original_keywords,0)))&gt;0,
_xlfn.IFS(_xlpm._exists,1,NOT(_xlpm._exists),"")
)</f>
        <v>1</v>
      </c>
      <c r="U113" s="33" t="str" cm="1">
        <f t="array" aca="1" ref="U11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($E113=CLASSIFICATION[[Keyword Aggr]:[Keyword Aggr]])*($D113=CLASSIFICATION[[Functional Scope Aggr]:[Functional Scope Aggr]])),
_xlpm._platform_keywords, _xlfn.TEXTSPLIT(SUBSTITUTE(SUBSTITUTE(VLOOKUP($D113,_xlpm._platform_range,3,FALSE),"+"&amp;CHAR(34),"+"),CHAR(34),""),", "),
_xlpm._exists, SUMPRODUCT(--ISNUMBER(MATCH(_xlpm._platform_keywords,_xlpm._original_keywords,0)))&gt;0,
_xlfn.IFS(_xlpm._exists,1,NOT(_xlpm._exists),"")
)</f>
        <v/>
      </c>
      <c r="V113" s="33" cm="1">
        <f t="array" aca="1" ref="V11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($E113=CLASSIFICATION[[Keyword Aggr]:[Keyword Aggr]])*($D113=CLASSIFICATION[[Functional Scope Aggr]:[Functional Scope Aggr]])),
_xlpm._platform_keywords, _xlfn.TEXTSPLIT(SUBSTITUTE(SUBSTITUTE(VLOOKUP($D113,_xlpm._platform_range,3,FALSE),"+"&amp;CHAR(34),"+"),CHAR(34),""),", "),
_xlpm._exists, SUMPRODUCT(--ISNUMBER(MATCH(_xlpm._platform_keywords,_xlpm._original_keywords,0)))&gt;0,
_xlfn.IFS(_xlpm._exists,1,NOT(_xlpm._exists),"")
)</f>
        <v>1</v>
      </c>
      <c r="X113" s="33">
        <f t="shared" ca="1" si="14"/>
        <v>2</v>
      </c>
      <c r="Y113" s="33">
        <f t="shared" ca="1" si="15"/>
        <v>2</v>
      </c>
      <c r="Z113" s="33">
        <f t="shared" ca="1" si="16"/>
        <v>2</v>
      </c>
      <c r="AA113" s="33">
        <f t="shared" ca="1" si="17"/>
        <v>1</v>
      </c>
      <c r="AB113" s="33">
        <f t="shared" ca="1" si="18"/>
        <v>1</v>
      </c>
      <c r="AC113" s="33">
        <f t="shared" ca="1" si="19"/>
        <v>3</v>
      </c>
    </row>
    <row r="114" spans="1:29" x14ac:dyDescent="0.25">
      <c r="A114" s="19" t="str">
        <v>Development,Data validation development,+Column Expressions</v>
      </c>
      <c r="B114" t="s">
        <v>377</v>
      </c>
      <c r="C114" s="19" t="str" cm="1">
        <f t="array" ref="C114:E114">_xlfn.TEXTSPLIT(A114,",")</f>
        <v>Development</v>
      </c>
      <c r="D114" s="19" t="str">
        <v>Data validation development</v>
      </c>
      <c r="E114" s="19" t="str">
        <v>+Column Expressions</v>
      </c>
      <c r="F114" s="36" t="str" cm="1">
        <f t="array" ref="F114">_xlfn.TEXTJOIN(",",TRUE,_xlfn._xlws.FILTER(CLASSIFICATION[Keyword], ($E114=CLASSIFICATION[Keyword Aggr])*($D114=CLASSIFICATION[Functional Scope Aggr])))</f>
        <v>+Column Expressions</v>
      </c>
      <c r="G114" s="32" t="str">
        <f t="shared" si="11"/>
        <v/>
      </c>
      <c r="H114" s="32" t="str">
        <f t="shared" si="12"/>
        <v/>
      </c>
      <c r="I114" s="32" t="str">
        <f t="shared" si="13"/>
        <v>+Column Expressions</v>
      </c>
      <c r="J114" s="33" t="str" cm="1">
        <f t="array" aca="1" ref="J11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($E114=CLASSIFICATION[[Keyword Aggr]:[Keyword Aggr]])*($D114=CLASSIFICATION[[Functional Scope Aggr]:[Functional Scope Aggr]])),
_xlpm._platform_keywords, _xlfn.TEXTSPLIT(SUBSTITUTE(SUBSTITUTE(VLOOKUP($D114,_xlpm._platform_range,3,FALSE),"+"&amp;CHAR(34),"+"),CHAR(34),""),", "),
_xlpm._exists, SUMPRODUCT(--ISNUMBER(MATCH(_xlpm._platform_keywords,_xlpm._original_keywords,0)))&gt;0,
_xlfn.IFS(AND(_xlpm._exists,LEFT($E114,1)="+"),"+",_xlpm._exists,"*",NOT(_xlpm._exists),"")
)</f>
        <v/>
      </c>
      <c r="K114" s="33" t="str" cm="1">
        <f t="array" aca="1" ref="K11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($E114=CLASSIFICATION[[Keyword Aggr]:[Keyword Aggr]])*($D114=CLASSIFICATION[[Functional Scope Aggr]:[Functional Scope Aggr]])),
_xlpm._platform_keywords, _xlfn.TEXTSPLIT(SUBSTITUTE(SUBSTITUTE(VLOOKUP($D114,_xlpm._platform_range,3,FALSE),"+"&amp;CHAR(34),"+"),CHAR(34),""),", "),
_xlpm._exists, SUMPRODUCT(--ISNUMBER(MATCH(_xlpm._platform_keywords,_xlpm._original_keywords,0)))&gt;0,
_xlfn.IFS(AND(_xlpm._exists,LEFT($E114,1)="+"),"+",_xlpm._exists,"*",NOT(_xlpm._exists),"")
)</f>
        <v/>
      </c>
      <c r="L114" s="33" t="str" cm="1">
        <f t="array" aca="1" ref="L11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($E114=CLASSIFICATION[[Keyword Aggr]:[Keyword Aggr]])*($D114=CLASSIFICATION[[Functional Scope Aggr]:[Functional Scope Aggr]])),
_xlpm._platform_keywords, _xlfn.TEXTSPLIT(SUBSTITUTE(SUBSTITUTE(VLOOKUP($D114,_xlpm._platform_range,3,FALSE),"+"&amp;CHAR(34),"+"),CHAR(34),""),", "),
_xlpm._exists, SUMPRODUCT(--ISNUMBER(MATCH(_xlpm._platform_keywords,_xlpm._original_keywords,0)))&gt;0,
_xlfn.IFS(AND(_xlpm._exists,LEFT($E114,1)="+"),"+",_xlpm._exists,"*",NOT(_xlpm._exists),"")
)</f>
        <v/>
      </c>
      <c r="M114" s="33" t="str" cm="1">
        <f t="array" aca="1" ref="M11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($E114=CLASSIFICATION[[Keyword Aggr]:[Keyword Aggr]])*($D114=CLASSIFICATION[[Functional Scope Aggr]:[Functional Scope Aggr]])),
_xlpm._platform_keywords, _xlfn.TEXTSPLIT(SUBSTITUTE(SUBSTITUTE(VLOOKUP($D114,_xlpm._platform_range,3,FALSE),"+"&amp;CHAR(34),"+"),CHAR(34),""),", "),
_xlpm._exists, SUMPRODUCT(--ISNUMBER(MATCH(_xlpm._platform_keywords,_xlpm._original_keywords,0)))&gt;0,
_xlfn.IFS(AND(_xlpm._exists,LEFT($E114,1)="+"),"+",_xlpm._exists,"*",NOT(_xlpm._exists),"")
)</f>
        <v/>
      </c>
      <c r="N114" s="33" t="str" cm="1">
        <f t="array" aca="1" ref="N11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($E114=CLASSIFICATION[[Keyword Aggr]:[Keyword Aggr]])*($D114=CLASSIFICATION[[Functional Scope Aggr]:[Functional Scope Aggr]])),
_xlpm._platform_keywords, _xlfn.TEXTSPLIT(SUBSTITUTE(SUBSTITUTE(VLOOKUP($D114,_xlpm._platform_range,3,FALSE),"+"&amp;CHAR(34),"+"),CHAR(34),""),", "),
_xlpm._exists, SUMPRODUCT(--ISNUMBER(MATCH(_xlpm._platform_keywords,_xlpm._original_keywords,0)))&gt;0,
_xlfn.IFS(AND(_xlpm._exists,LEFT($E114,1)="+"),"+",_xlpm._exists,"*",NOT(_xlpm._exists),"")
)</f>
        <v>+</v>
      </c>
      <c r="O114" s="33" t="str" cm="1">
        <f t="array" aca="1" ref="O11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($E114=CLASSIFICATION[[Keyword Aggr]:[Keyword Aggr]])*($D114=CLASSIFICATION[[Functional Scope Aggr]:[Functional Scope Aggr]])),
_xlpm._platform_keywords, _xlfn.TEXTSPLIT(SUBSTITUTE(SUBSTITUTE(VLOOKUP($D114,_xlpm._platform_range,3,FALSE),"+"&amp;CHAR(34),"+"),CHAR(34),""),", "),
_xlpm._exists, SUMPRODUCT(--ISNUMBER(MATCH(_xlpm._platform_keywords,_xlpm._original_keywords,0)))&gt;0,
_xlfn.IFS(AND(_xlpm._exists,LEFT($E114,1)="+"),"+",_xlpm._exists,"*",NOT(_xlpm._exists),"")
)</f>
        <v/>
      </c>
      <c r="Q114" s="33" t="str" cm="1">
        <f t="array" aca="1" ref="Q11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($E114=CLASSIFICATION[[Keyword Aggr]:[Keyword Aggr]])*($D114=CLASSIFICATION[[Functional Scope Aggr]:[Functional Scope Aggr]])),
_xlpm._platform_keywords, _xlfn.TEXTSPLIT(SUBSTITUTE(SUBSTITUTE(VLOOKUP($D114,_xlpm._platform_range,3,FALSE),"+"&amp;CHAR(34),"+"),CHAR(34),""),", "),
_xlpm._exists, SUMPRODUCT(--ISNUMBER(MATCH(_xlpm._platform_keywords,_xlpm._original_keywords,0)))&gt;0,
_xlfn.IFS(_xlpm._exists,1,NOT(_xlpm._exists),"")
)</f>
        <v/>
      </c>
      <c r="R114" s="33" t="str" cm="1">
        <f t="array" aca="1" ref="R11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($E114=CLASSIFICATION[[Keyword Aggr]:[Keyword Aggr]])*($D114=CLASSIFICATION[[Functional Scope Aggr]:[Functional Scope Aggr]])),
_xlpm._platform_keywords, _xlfn.TEXTSPLIT(SUBSTITUTE(SUBSTITUTE(VLOOKUP($D114,_xlpm._platform_range,3,FALSE),"+"&amp;CHAR(34),"+"),CHAR(34),""),", "),
_xlpm._exists, SUMPRODUCT(--ISNUMBER(MATCH(_xlpm._platform_keywords,_xlpm._original_keywords,0)))&gt;0,
_xlfn.IFS(_xlpm._exists,1,NOT(_xlpm._exists),"")
)</f>
        <v/>
      </c>
      <c r="S114" s="33" t="str" cm="1">
        <f t="array" aca="1" ref="S11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($E114=CLASSIFICATION[[Keyword Aggr]:[Keyword Aggr]])*($D114=CLASSIFICATION[[Functional Scope Aggr]:[Functional Scope Aggr]])),
_xlpm._platform_keywords, _xlfn.TEXTSPLIT(SUBSTITUTE(SUBSTITUTE(VLOOKUP($D114,_xlpm._platform_range,3,FALSE),"+"&amp;CHAR(34),"+"),CHAR(34),""),", "),
_xlpm._exists, SUMPRODUCT(--ISNUMBER(MATCH(_xlpm._platform_keywords,_xlpm._original_keywords,0)))&gt;0,
_xlfn.IFS(_xlpm._exists,1,NOT(_xlpm._exists),"")
)</f>
        <v/>
      </c>
      <c r="T114" s="33" t="str" cm="1">
        <f t="array" aca="1" ref="T11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($E114=CLASSIFICATION[[Keyword Aggr]:[Keyword Aggr]])*($D114=CLASSIFICATION[[Functional Scope Aggr]:[Functional Scope Aggr]])),
_xlpm._platform_keywords, _xlfn.TEXTSPLIT(SUBSTITUTE(SUBSTITUTE(VLOOKUP($D114,_xlpm._platform_range,3,FALSE),"+"&amp;CHAR(34),"+"),CHAR(34),""),", "),
_xlpm._exists, SUMPRODUCT(--ISNUMBER(MATCH(_xlpm._platform_keywords,_xlpm._original_keywords,0)))&gt;0,
_xlfn.IFS(_xlpm._exists,1,NOT(_xlpm._exists),"")
)</f>
        <v/>
      </c>
      <c r="U114" s="33" cm="1">
        <f t="array" aca="1" ref="U11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($E114=CLASSIFICATION[[Keyword Aggr]:[Keyword Aggr]])*($D114=CLASSIFICATION[[Functional Scope Aggr]:[Functional Scope Aggr]])),
_xlpm._platform_keywords, _xlfn.TEXTSPLIT(SUBSTITUTE(SUBSTITUTE(VLOOKUP($D114,_xlpm._platform_range,3,FALSE),"+"&amp;CHAR(34),"+"),CHAR(34),""),", "),
_xlpm._exists, SUMPRODUCT(--ISNUMBER(MATCH(_xlpm._platform_keywords,_xlpm._original_keywords,0)))&gt;0,
_xlfn.IFS(_xlpm._exists,1,NOT(_xlpm._exists),"")
)</f>
        <v>1</v>
      </c>
      <c r="V114" s="33" t="str" cm="1">
        <f t="array" aca="1" ref="V11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($E114=CLASSIFICATION[[Keyword Aggr]:[Keyword Aggr]])*($D114=CLASSIFICATION[[Functional Scope Aggr]:[Functional Scope Aggr]])),
_xlpm._platform_keywords, _xlfn.TEXTSPLIT(SUBSTITUTE(SUBSTITUTE(VLOOKUP($D114,_xlpm._platform_range,3,FALSE),"+"&amp;CHAR(34),"+"),CHAR(34),""),", "),
_xlpm._exists, SUMPRODUCT(--ISNUMBER(MATCH(_xlpm._platform_keywords,_xlpm._original_keywords,0)))&gt;0,
_xlfn.IFS(_xlpm._exists,1,NOT(_xlpm._exists),"")
)</f>
        <v/>
      </c>
      <c r="X114" s="33" t="str">
        <f t="shared" si="14"/>
        <v/>
      </c>
      <c r="Y114" s="33" t="str">
        <f t="shared" si="15"/>
        <v/>
      </c>
      <c r="Z114" s="33" t="str">
        <f t="shared" si="16"/>
        <v/>
      </c>
      <c r="AA114" s="33" t="str">
        <f t="shared" si="17"/>
        <v/>
      </c>
      <c r="AB114" s="33" t="str">
        <f t="shared" si="18"/>
        <v/>
      </c>
      <c r="AC114" s="33" t="str">
        <f t="shared" si="19"/>
        <v/>
      </c>
    </row>
    <row r="115" spans="1:29" x14ac:dyDescent="0.25">
      <c r="A115" s="19" t="str">
        <v>Development,Data validation development,Expressions</v>
      </c>
      <c r="B115" t="s">
        <v>377</v>
      </c>
      <c r="C115" s="19" t="str" cm="1">
        <f t="array" ref="C115:E115">_xlfn.TEXTSPLIT(A115,",")</f>
        <v>Development</v>
      </c>
      <c r="D115" s="19" t="str">
        <v>Data validation development</v>
      </c>
      <c r="E115" s="19" t="str">
        <v>Expressions</v>
      </c>
      <c r="F115" s="36" t="str" cm="1">
        <f t="array" ref="F115">_xlfn.TEXTJOIN(",",TRUE,_xlfn._xlws.FILTER(CLASSIFICATION[Keyword], ($E115=CLASSIFICATION[Keyword Aggr])*($D115=CLASSIFICATION[Functional Scope Aggr])))</f>
        <v>Boolean Expressions,Conditional Expressions</v>
      </c>
      <c r="G115" s="32" t="str">
        <f t="shared" si="11"/>
        <v/>
      </c>
      <c r="H115" s="32" t="str">
        <f t="shared" si="12"/>
        <v/>
      </c>
      <c r="I115" s="32" t="str">
        <f t="shared" si="13"/>
        <v>Expressions</v>
      </c>
      <c r="J115" s="33" t="str" cm="1">
        <f t="array" aca="1" ref="J11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($E115=CLASSIFICATION[[Keyword Aggr]:[Keyword Aggr]])*($D115=CLASSIFICATION[[Functional Scope Aggr]:[Functional Scope Aggr]])),
_xlpm._platform_keywords, _xlfn.TEXTSPLIT(SUBSTITUTE(SUBSTITUTE(VLOOKUP($D115,_xlpm._platform_range,3,FALSE),"+"&amp;CHAR(34),"+"),CHAR(34),""),", "),
_xlpm._exists, SUMPRODUCT(--ISNUMBER(MATCH(_xlpm._platform_keywords,_xlpm._original_keywords,0)))&gt;0,
_xlfn.IFS(AND(_xlpm._exists,LEFT($E115,1)="+"),"+",_xlpm._exists,"*",NOT(_xlpm._exists),"")
)</f>
        <v>*</v>
      </c>
      <c r="K115" s="33" t="str" cm="1">
        <f t="array" aca="1" ref="K11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($E115=CLASSIFICATION[[Keyword Aggr]:[Keyword Aggr]])*($D115=CLASSIFICATION[[Functional Scope Aggr]:[Functional Scope Aggr]])),
_xlpm._platform_keywords, _xlfn.TEXTSPLIT(SUBSTITUTE(SUBSTITUTE(VLOOKUP($D115,_xlpm._platform_range,3,FALSE),"+"&amp;CHAR(34),"+"),CHAR(34),""),", "),
_xlpm._exists, SUMPRODUCT(--ISNUMBER(MATCH(_xlpm._platform_keywords,_xlpm._original_keywords,0)))&gt;0,
_xlfn.IFS(AND(_xlpm._exists,LEFT($E115,1)="+"),"+",_xlpm._exists,"*",NOT(_xlpm._exists),"")
)</f>
        <v>*</v>
      </c>
      <c r="L115" s="33" t="str" cm="1">
        <f t="array" aca="1" ref="L11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($E115=CLASSIFICATION[[Keyword Aggr]:[Keyword Aggr]])*($D115=CLASSIFICATION[[Functional Scope Aggr]:[Functional Scope Aggr]])),
_xlpm._platform_keywords, _xlfn.TEXTSPLIT(SUBSTITUTE(SUBSTITUTE(VLOOKUP($D115,_xlpm._platform_range,3,FALSE),"+"&amp;CHAR(34),"+"),CHAR(34),""),", "),
_xlpm._exists, SUMPRODUCT(--ISNUMBER(MATCH(_xlpm._platform_keywords,_xlpm._original_keywords,0)))&gt;0,
_xlfn.IFS(AND(_xlpm._exists,LEFT($E115,1)="+"),"+",_xlpm._exists,"*",NOT(_xlpm._exists),"")
)</f>
        <v>*</v>
      </c>
      <c r="M115" s="33" t="str" cm="1">
        <f t="array" aca="1" ref="M11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($E115=CLASSIFICATION[[Keyword Aggr]:[Keyword Aggr]])*($D115=CLASSIFICATION[[Functional Scope Aggr]:[Functional Scope Aggr]])),
_xlpm._platform_keywords, _xlfn.TEXTSPLIT(SUBSTITUTE(SUBSTITUTE(VLOOKUP($D115,_xlpm._platform_range,3,FALSE),"+"&amp;CHAR(34),"+"),CHAR(34),""),", "),
_xlpm._exists, SUMPRODUCT(--ISNUMBER(MATCH(_xlpm._platform_keywords,_xlpm._original_keywords,0)))&gt;0,
_xlfn.IFS(AND(_xlpm._exists,LEFT($E115,1)="+"),"+",_xlpm._exists,"*",NOT(_xlpm._exists),"")
)</f>
        <v>*</v>
      </c>
      <c r="N115" s="33" t="str" cm="1">
        <f t="array" aca="1" ref="N11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($E115=CLASSIFICATION[[Keyword Aggr]:[Keyword Aggr]])*($D115=CLASSIFICATION[[Functional Scope Aggr]:[Functional Scope Aggr]])),
_xlpm._platform_keywords, _xlfn.TEXTSPLIT(SUBSTITUTE(SUBSTITUTE(VLOOKUP($D115,_xlpm._platform_range,3,FALSE),"+"&amp;CHAR(34),"+"),CHAR(34),""),", "),
_xlpm._exists, SUMPRODUCT(--ISNUMBER(MATCH(_xlpm._platform_keywords,_xlpm._original_keywords,0)))&gt;0,
_xlfn.IFS(AND(_xlpm._exists,LEFT($E115,1)="+"),"+",_xlpm._exists,"*",NOT(_xlpm._exists),"")
)</f>
        <v>*</v>
      </c>
      <c r="O115" s="33" t="str" cm="1">
        <f t="array" aca="1" ref="O11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($E115=CLASSIFICATION[[Keyword Aggr]:[Keyword Aggr]])*($D115=CLASSIFICATION[[Functional Scope Aggr]:[Functional Scope Aggr]])),
_xlpm._platform_keywords, _xlfn.TEXTSPLIT(SUBSTITUTE(SUBSTITUTE(VLOOKUP($D115,_xlpm._platform_range,3,FALSE),"+"&amp;CHAR(34),"+"),CHAR(34),""),", "),
_xlpm._exists, SUMPRODUCT(--ISNUMBER(MATCH(_xlpm._platform_keywords,_xlpm._original_keywords,0)))&gt;0,
_xlfn.IFS(AND(_xlpm._exists,LEFT($E115,1)="+"),"+",_xlpm._exists,"*",NOT(_xlpm._exists),"")
)</f>
        <v>*</v>
      </c>
      <c r="Q115" s="33" cm="1">
        <f t="array" aca="1" ref="Q11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($E115=CLASSIFICATION[[Keyword Aggr]:[Keyword Aggr]])*($D115=CLASSIFICATION[[Functional Scope Aggr]:[Functional Scope Aggr]])),
_xlpm._platform_keywords, _xlfn.TEXTSPLIT(SUBSTITUTE(SUBSTITUTE(VLOOKUP($D115,_xlpm._platform_range,3,FALSE),"+"&amp;CHAR(34),"+"),CHAR(34),""),", "),
_xlpm._exists, SUMPRODUCT(--ISNUMBER(MATCH(_xlpm._platform_keywords,_xlpm._original_keywords,0)))&gt;0,
_xlfn.IFS(_xlpm._exists,1,NOT(_xlpm._exists),"")
)</f>
        <v>1</v>
      </c>
      <c r="R115" s="33" cm="1">
        <f t="array" aca="1" ref="R11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($E115=CLASSIFICATION[[Keyword Aggr]:[Keyword Aggr]])*($D115=CLASSIFICATION[[Functional Scope Aggr]:[Functional Scope Aggr]])),
_xlpm._platform_keywords, _xlfn.TEXTSPLIT(SUBSTITUTE(SUBSTITUTE(VLOOKUP($D115,_xlpm._platform_range,3,FALSE),"+"&amp;CHAR(34),"+"),CHAR(34),""),", "),
_xlpm._exists, SUMPRODUCT(--ISNUMBER(MATCH(_xlpm._platform_keywords,_xlpm._original_keywords,0)))&gt;0,
_xlfn.IFS(_xlpm._exists,1,NOT(_xlpm._exists),"")
)</f>
        <v>1</v>
      </c>
      <c r="S115" s="33" cm="1">
        <f t="array" aca="1" ref="S11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($E115=CLASSIFICATION[[Keyword Aggr]:[Keyword Aggr]])*($D115=CLASSIFICATION[[Functional Scope Aggr]:[Functional Scope Aggr]])),
_xlpm._platform_keywords, _xlfn.TEXTSPLIT(SUBSTITUTE(SUBSTITUTE(VLOOKUP($D115,_xlpm._platform_range,3,FALSE),"+"&amp;CHAR(34),"+"),CHAR(34),""),", "),
_xlpm._exists, SUMPRODUCT(--ISNUMBER(MATCH(_xlpm._platform_keywords,_xlpm._original_keywords,0)))&gt;0,
_xlfn.IFS(_xlpm._exists,1,NOT(_xlpm._exists),"")
)</f>
        <v>1</v>
      </c>
      <c r="T115" s="33" cm="1">
        <f t="array" aca="1" ref="T11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($E115=CLASSIFICATION[[Keyword Aggr]:[Keyword Aggr]])*($D115=CLASSIFICATION[[Functional Scope Aggr]:[Functional Scope Aggr]])),
_xlpm._platform_keywords, _xlfn.TEXTSPLIT(SUBSTITUTE(SUBSTITUTE(VLOOKUP($D115,_xlpm._platform_range,3,FALSE),"+"&amp;CHAR(34),"+"),CHAR(34),""),", "),
_xlpm._exists, SUMPRODUCT(--ISNUMBER(MATCH(_xlpm._platform_keywords,_xlpm._original_keywords,0)))&gt;0,
_xlfn.IFS(_xlpm._exists,1,NOT(_xlpm._exists),"")
)</f>
        <v>1</v>
      </c>
      <c r="U115" s="33" cm="1">
        <f t="array" aca="1" ref="U11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($E115=CLASSIFICATION[[Keyword Aggr]:[Keyword Aggr]])*($D115=CLASSIFICATION[[Functional Scope Aggr]:[Functional Scope Aggr]])),
_xlpm._platform_keywords, _xlfn.TEXTSPLIT(SUBSTITUTE(SUBSTITUTE(VLOOKUP($D115,_xlpm._platform_range,3,FALSE),"+"&amp;CHAR(34),"+"),CHAR(34),""),", "),
_xlpm._exists, SUMPRODUCT(--ISNUMBER(MATCH(_xlpm._platform_keywords,_xlpm._original_keywords,0)))&gt;0,
_xlfn.IFS(_xlpm._exists,1,NOT(_xlpm._exists),"")
)</f>
        <v>1</v>
      </c>
      <c r="V115" s="33" cm="1">
        <f t="array" aca="1" ref="V11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($E115=CLASSIFICATION[[Keyword Aggr]:[Keyword Aggr]])*($D115=CLASSIFICATION[[Functional Scope Aggr]:[Functional Scope Aggr]])),
_xlpm._platform_keywords, _xlfn.TEXTSPLIT(SUBSTITUTE(SUBSTITUTE(VLOOKUP($D115,_xlpm._platform_range,3,FALSE),"+"&amp;CHAR(34),"+"),CHAR(34),""),", "),
_xlpm._exists, SUMPRODUCT(--ISNUMBER(MATCH(_xlpm._platform_keywords,_xlpm._original_keywords,0)))&gt;0,
_xlfn.IFS(_xlpm._exists,1,NOT(_xlpm._exists),"")
)</f>
        <v>1</v>
      </c>
      <c r="X115" s="33" t="str">
        <f t="shared" si="14"/>
        <v/>
      </c>
      <c r="Y115" s="33" t="str">
        <f t="shared" si="15"/>
        <v/>
      </c>
      <c r="Z115" s="33" t="str">
        <f t="shared" si="16"/>
        <v/>
      </c>
      <c r="AA115" s="33" t="str">
        <f t="shared" si="17"/>
        <v/>
      </c>
      <c r="AB115" s="33" t="str">
        <f t="shared" si="18"/>
        <v/>
      </c>
      <c r="AC115" s="33" t="str">
        <f t="shared" si="19"/>
        <v/>
      </c>
    </row>
    <row r="116" spans="1:29" x14ac:dyDescent="0.25">
      <c r="A116" s="19" t="str">
        <v>Development,Data validation development,Data Fields</v>
      </c>
      <c r="B116" t="s">
        <v>377</v>
      </c>
      <c r="C116" s="19" t="str" cm="1">
        <f t="array" ref="C116:E116">_xlfn.TEXTSPLIT(A116,",")</f>
        <v>Development</v>
      </c>
      <c r="D116" s="19" t="str">
        <v>Data validation development</v>
      </c>
      <c r="E116" s="19" t="str">
        <v>Data Fields</v>
      </c>
      <c r="F116" s="36" t="str" cm="1">
        <f t="array" ref="F116">_xlfn.TEXTJOIN(",",TRUE,_xlfn._xlws.FILTER(CLASSIFICATION[Keyword], ($E116=CLASSIFICATION[Keyword Aggr])*($D116=CLASSIFICATION[Functional Scope Aggr])))</f>
        <v>Data Fields</v>
      </c>
      <c r="G116" s="32" t="str">
        <f t="shared" si="11"/>
        <v/>
      </c>
      <c r="H116" s="32" t="str">
        <f t="shared" si="12"/>
        <v/>
      </c>
      <c r="I116" s="32" t="str">
        <f t="shared" si="13"/>
        <v>Data Fields</v>
      </c>
      <c r="J116" s="33" t="str" cm="1">
        <f t="array" aca="1" ref="J11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($E116=CLASSIFICATION[[Keyword Aggr]:[Keyword Aggr]])*($D116=CLASSIFICATION[[Functional Scope Aggr]:[Functional Scope Aggr]])),
_xlpm._platform_keywords, _xlfn.TEXTSPLIT(SUBSTITUTE(SUBSTITUTE(VLOOKUP($D116,_xlpm._platform_range,3,FALSE),"+"&amp;CHAR(34),"+"),CHAR(34),""),", "),
_xlpm._exists, SUMPRODUCT(--ISNUMBER(MATCH(_xlpm._platform_keywords,_xlpm._original_keywords,0)))&gt;0,
_xlfn.IFS(AND(_xlpm._exists,LEFT($E116,1)="+"),"+",_xlpm._exists,"*",NOT(_xlpm._exists),"")
)</f>
        <v/>
      </c>
      <c r="K116" s="33" t="str" cm="1">
        <f t="array" aca="1" ref="K11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($E116=CLASSIFICATION[[Keyword Aggr]:[Keyword Aggr]])*($D116=CLASSIFICATION[[Functional Scope Aggr]:[Functional Scope Aggr]])),
_xlpm._platform_keywords, _xlfn.TEXTSPLIT(SUBSTITUTE(SUBSTITUTE(VLOOKUP($D116,_xlpm._platform_range,3,FALSE),"+"&amp;CHAR(34),"+"),CHAR(34),""),", "),
_xlpm._exists, SUMPRODUCT(--ISNUMBER(MATCH(_xlpm._platform_keywords,_xlpm._original_keywords,0)))&gt;0,
_xlfn.IFS(AND(_xlpm._exists,LEFT($E116,1)="+"),"+",_xlpm._exists,"*",NOT(_xlpm._exists),"")
)</f>
        <v>*</v>
      </c>
      <c r="L116" s="33" t="str" cm="1">
        <f t="array" aca="1" ref="L11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($E116=CLASSIFICATION[[Keyword Aggr]:[Keyword Aggr]])*($D116=CLASSIFICATION[[Functional Scope Aggr]:[Functional Scope Aggr]])),
_xlpm._platform_keywords, _xlfn.TEXTSPLIT(SUBSTITUTE(SUBSTITUTE(VLOOKUP($D116,_xlpm._platform_range,3,FALSE),"+"&amp;CHAR(34),"+"),CHAR(34),""),", "),
_xlpm._exists, SUMPRODUCT(--ISNUMBER(MATCH(_xlpm._platform_keywords,_xlpm._original_keywords,0)))&gt;0,
_xlfn.IFS(AND(_xlpm._exists,LEFT($E116,1)="+"),"+",_xlpm._exists,"*",NOT(_xlpm._exists),"")
)</f>
        <v/>
      </c>
      <c r="M116" s="33" t="str" cm="1">
        <f t="array" aca="1" ref="M11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($E116=CLASSIFICATION[[Keyword Aggr]:[Keyword Aggr]])*($D116=CLASSIFICATION[[Functional Scope Aggr]:[Functional Scope Aggr]])),
_xlpm._platform_keywords, _xlfn.TEXTSPLIT(SUBSTITUTE(SUBSTITUTE(VLOOKUP($D116,_xlpm._platform_range,3,FALSE),"+"&amp;CHAR(34),"+"),CHAR(34),""),", "),
_xlpm._exists, SUMPRODUCT(--ISNUMBER(MATCH(_xlpm._platform_keywords,_xlpm._original_keywords,0)))&gt;0,
_xlfn.IFS(AND(_xlpm._exists,LEFT($E116,1)="+"),"+",_xlpm._exists,"*",NOT(_xlpm._exists),"")
)</f>
        <v/>
      </c>
      <c r="N116" s="33" t="str" cm="1">
        <f t="array" aca="1" ref="N11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($E116=CLASSIFICATION[[Keyword Aggr]:[Keyword Aggr]])*($D116=CLASSIFICATION[[Functional Scope Aggr]:[Functional Scope Aggr]])),
_xlpm._platform_keywords, _xlfn.TEXTSPLIT(SUBSTITUTE(SUBSTITUTE(VLOOKUP($D116,_xlpm._platform_range,3,FALSE),"+"&amp;CHAR(34),"+"),CHAR(34),""),", "),
_xlpm._exists, SUMPRODUCT(--ISNUMBER(MATCH(_xlpm._platform_keywords,_xlpm._original_keywords,0)))&gt;0,
_xlfn.IFS(AND(_xlpm._exists,LEFT($E116,1)="+"),"+",_xlpm._exists,"*",NOT(_xlpm._exists),"")
)</f>
        <v/>
      </c>
      <c r="O116" s="33" t="str" cm="1">
        <f t="array" aca="1" ref="O11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($E116=CLASSIFICATION[[Keyword Aggr]:[Keyword Aggr]])*($D116=CLASSIFICATION[[Functional Scope Aggr]:[Functional Scope Aggr]])),
_xlpm._platform_keywords, _xlfn.TEXTSPLIT(SUBSTITUTE(SUBSTITUTE(VLOOKUP($D116,_xlpm._platform_range,3,FALSE),"+"&amp;CHAR(34),"+"),CHAR(34),""),", "),
_xlpm._exists, SUMPRODUCT(--ISNUMBER(MATCH(_xlpm._platform_keywords,_xlpm._original_keywords,0)))&gt;0,
_xlfn.IFS(AND(_xlpm._exists,LEFT($E116,1)="+"),"+",_xlpm._exists,"*",NOT(_xlpm._exists),"")
)</f>
        <v>*</v>
      </c>
      <c r="Q116" s="33" t="str" cm="1">
        <f t="array" aca="1" ref="Q11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($E116=CLASSIFICATION[[Keyword Aggr]:[Keyword Aggr]])*($D116=CLASSIFICATION[[Functional Scope Aggr]:[Functional Scope Aggr]])),
_xlpm._platform_keywords, _xlfn.TEXTSPLIT(SUBSTITUTE(SUBSTITUTE(VLOOKUP($D116,_xlpm._platform_range,3,FALSE),"+"&amp;CHAR(34),"+"),CHAR(34),""),", "),
_xlpm._exists, SUMPRODUCT(--ISNUMBER(MATCH(_xlpm._platform_keywords,_xlpm._original_keywords,0)))&gt;0,
_xlfn.IFS(_xlpm._exists,1,NOT(_xlpm._exists),"")
)</f>
        <v/>
      </c>
      <c r="R116" s="33" cm="1">
        <f t="array" aca="1" ref="R11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($E116=CLASSIFICATION[[Keyword Aggr]:[Keyword Aggr]])*($D116=CLASSIFICATION[[Functional Scope Aggr]:[Functional Scope Aggr]])),
_xlpm._platform_keywords, _xlfn.TEXTSPLIT(SUBSTITUTE(SUBSTITUTE(VLOOKUP($D116,_xlpm._platform_range,3,FALSE),"+"&amp;CHAR(34),"+"),CHAR(34),""),", "),
_xlpm._exists, SUMPRODUCT(--ISNUMBER(MATCH(_xlpm._platform_keywords,_xlpm._original_keywords,0)))&gt;0,
_xlfn.IFS(_xlpm._exists,1,NOT(_xlpm._exists),"")
)</f>
        <v>1</v>
      </c>
      <c r="S116" s="33" t="str" cm="1">
        <f t="array" aca="1" ref="S11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($E116=CLASSIFICATION[[Keyword Aggr]:[Keyword Aggr]])*($D116=CLASSIFICATION[[Functional Scope Aggr]:[Functional Scope Aggr]])),
_xlpm._platform_keywords, _xlfn.TEXTSPLIT(SUBSTITUTE(SUBSTITUTE(VLOOKUP($D116,_xlpm._platform_range,3,FALSE),"+"&amp;CHAR(34),"+"),CHAR(34),""),", "),
_xlpm._exists, SUMPRODUCT(--ISNUMBER(MATCH(_xlpm._platform_keywords,_xlpm._original_keywords,0)))&gt;0,
_xlfn.IFS(_xlpm._exists,1,NOT(_xlpm._exists),"")
)</f>
        <v/>
      </c>
      <c r="T116" s="33" t="str" cm="1">
        <f t="array" aca="1" ref="T11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($E116=CLASSIFICATION[[Keyword Aggr]:[Keyword Aggr]])*($D116=CLASSIFICATION[[Functional Scope Aggr]:[Functional Scope Aggr]])),
_xlpm._platform_keywords, _xlfn.TEXTSPLIT(SUBSTITUTE(SUBSTITUTE(VLOOKUP($D116,_xlpm._platform_range,3,FALSE),"+"&amp;CHAR(34),"+"),CHAR(34),""),", "),
_xlpm._exists, SUMPRODUCT(--ISNUMBER(MATCH(_xlpm._platform_keywords,_xlpm._original_keywords,0)))&gt;0,
_xlfn.IFS(_xlpm._exists,1,NOT(_xlpm._exists),"")
)</f>
        <v/>
      </c>
      <c r="U116" s="33" t="str" cm="1">
        <f t="array" aca="1" ref="U11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($E116=CLASSIFICATION[[Keyword Aggr]:[Keyword Aggr]])*($D116=CLASSIFICATION[[Functional Scope Aggr]:[Functional Scope Aggr]])),
_xlpm._platform_keywords, _xlfn.TEXTSPLIT(SUBSTITUTE(SUBSTITUTE(VLOOKUP($D116,_xlpm._platform_range,3,FALSE),"+"&amp;CHAR(34),"+"),CHAR(34),""),", "),
_xlpm._exists, SUMPRODUCT(--ISNUMBER(MATCH(_xlpm._platform_keywords,_xlpm._original_keywords,0)))&gt;0,
_xlfn.IFS(_xlpm._exists,1,NOT(_xlpm._exists),"")
)</f>
        <v/>
      </c>
      <c r="V116" s="33" cm="1">
        <f t="array" aca="1" ref="V11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($E116=CLASSIFICATION[[Keyword Aggr]:[Keyword Aggr]])*($D116=CLASSIFICATION[[Functional Scope Aggr]:[Functional Scope Aggr]])),
_xlpm._platform_keywords, _xlfn.TEXTSPLIT(SUBSTITUTE(SUBSTITUTE(VLOOKUP($D116,_xlpm._platform_range,3,FALSE),"+"&amp;CHAR(34),"+"),CHAR(34),""),", "),
_xlpm._exists, SUMPRODUCT(--ISNUMBER(MATCH(_xlpm._platform_keywords,_xlpm._original_keywords,0)))&gt;0,
_xlfn.IFS(_xlpm._exists,1,NOT(_xlpm._exists),"")
)</f>
        <v>1</v>
      </c>
      <c r="X116" s="33" t="str">
        <f t="shared" si="14"/>
        <v/>
      </c>
      <c r="Y116" s="33" t="str">
        <f t="shared" si="15"/>
        <v/>
      </c>
      <c r="Z116" s="33" t="str">
        <f t="shared" si="16"/>
        <v/>
      </c>
      <c r="AA116" s="33" t="str">
        <f t="shared" si="17"/>
        <v/>
      </c>
      <c r="AB116" s="33" t="str">
        <f t="shared" si="18"/>
        <v/>
      </c>
      <c r="AC116" s="33" t="str">
        <f t="shared" si="19"/>
        <v/>
      </c>
    </row>
    <row r="117" spans="1:29" x14ac:dyDescent="0.25">
      <c r="A117" s="19" t="str">
        <v>Development,Data validation development,Domain Model</v>
      </c>
      <c r="B117" t="s">
        <v>377</v>
      </c>
      <c r="C117" s="19" t="str" cm="1">
        <f t="array" ref="C117:E117">_xlfn.TEXTSPLIT(A117,",")</f>
        <v>Development</v>
      </c>
      <c r="D117" s="19" t="str">
        <v>Data validation development</v>
      </c>
      <c r="E117" s="19" t="str">
        <v>Domain Model</v>
      </c>
      <c r="F117" s="36" t="str" cm="1">
        <f t="array" ref="F117">_xlfn.TEXTJOIN(",",TRUE,_xlfn._xlws.FILTER(CLASSIFICATION[Keyword], ($E117=CLASSIFICATION[Keyword Aggr])*($D117=CLASSIFICATION[Functional Scope Aggr])))</f>
        <v>Domain Model</v>
      </c>
      <c r="G117" s="32" t="str">
        <f t="shared" si="11"/>
        <v/>
      </c>
      <c r="H117" s="32" t="str">
        <f t="shared" si="12"/>
        <v/>
      </c>
      <c r="I117" s="32" t="str">
        <f t="shared" si="13"/>
        <v>Domain Model</v>
      </c>
      <c r="J117" s="33" t="str" cm="1">
        <f t="array" aca="1" ref="J11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($E117=CLASSIFICATION[[Keyword Aggr]:[Keyword Aggr]])*($D117=CLASSIFICATION[[Functional Scope Aggr]:[Functional Scope Aggr]])),
_xlpm._platform_keywords, _xlfn.TEXTSPLIT(SUBSTITUTE(SUBSTITUTE(VLOOKUP($D117,_xlpm._platform_range,3,FALSE),"+"&amp;CHAR(34),"+"),CHAR(34),""),", "),
_xlpm._exists, SUMPRODUCT(--ISNUMBER(MATCH(_xlpm._platform_keywords,_xlpm._original_keywords,0)))&gt;0,
_xlfn.IFS(AND(_xlpm._exists,LEFT($E117,1)="+"),"+",_xlpm._exists,"*",NOT(_xlpm._exists),"")
)</f>
        <v>*</v>
      </c>
      <c r="K117" s="33" t="str" cm="1">
        <f t="array" aca="1" ref="K11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($E117=CLASSIFICATION[[Keyword Aggr]:[Keyword Aggr]])*($D117=CLASSIFICATION[[Functional Scope Aggr]:[Functional Scope Aggr]])),
_xlpm._platform_keywords, _xlfn.TEXTSPLIT(SUBSTITUTE(SUBSTITUTE(VLOOKUP($D117,_xlpm._platform_range,3,FALSE),"+"&amp;CHAR(34),"+"),CHAR(34),""),", "),
_xlpm._exists, SUMPRODUCT(--ISNUMBER(MATCH(_xlpm._platform_keywords,_xlpm._original_keywords,0)))&gt;0,
_xlfn.IFS(AND(_xlpm._exists,LEFT($E117,1)="+"),"+",_xlpm._exists,"*",NOT(_xlpm._exists),"")
)</f>
        <v/>
      </c>
      <c r="L117" s="33" t="str" cm="1">
        <f t="array" aca="1" ref="L11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($E117=CLASSIFICATION[[Keyword Aggr]:[Keyword Aggr]])*($D117=CLASSIFICATION[[Functional Scope Aggr]:[Functional Scope Aggr]])),
_xlpm._platform_keywords, _xlfn.TEXTSPLIT(SUBSTITUTE(SUBSTITUTE(VLOOKUP($D117,_xlpm._platform_range,3,FALSE),"+"&amp;CHAR(34),"+"),CHAR(34),""),", "),
_xlpm._exists, SUMPRODUCT(--ISNUMBER(MATCH(_xlpm._platform_keywords,_xlpm._original_keywords,0)))&gt;0,
_xlfn.IFS(AND(_xlpm._exists,LEFT($E117,1)="+"),"+",_xlpm._exists,"*",NOT(_xlpm._exists),"")
)</f>
        <v/>
      </c>
      <c r="M117" s="33" t="str" cm="1">
        <f t="array" aca="1" ref="M11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($E117=CLASSIFICATION[[Keyword Aggr]:[Keyword Aggr]])*($D117=CLASSIFICATION[[Functional Scope Aggr]:[Functional Scope Aggr]])),
_xlpm._platform_keywords, _xlfn.TEXTSPLIT(SUBSTITUTE(SUBSTITUTE(VLOOKUP($D117,_xlpm._platform_range,3,FALSE),"+"&amp;CHAR(34),"+"),CHAR(34),""),", "),
_xlpm._exists, SUMPRODUCT(--ISNUMBER(MATCH(_xlpm._platform_keywords,_xlpm._original_keywords,0)))&gt;0,
_xlfn.IFS(AND(_xlpm._exists,LEFT($E117,1)="+"),"+",_xlpm._exists,"*",NOT(_xlpm._exists),"")
)</f>
        <v/>
      </c>
      <c r="N117" s="33" t="str" cm="1">
        <f t="array" aca="1" ref="N11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($E117=CLASSIFICATION[[Keyword Aggr]:[Keyword Aggr]])*($D117=CLASSIFICATION[[Functional Scope Aggr]:[Functional Scope Aggr]])),
_xlpm._platform_keywords, _xlfn.TEXTSPLIT(SUBSTITUTE(SUBSTITUTE(VLOOKUP($D117,_xlpm._platform_range,3,FALSE),"+"&amp;CHAR(34),"+"),CHAR(34),""),", "),
_xlpm._exists, SUMPRODUCT(--ISNUMBER(MATCH(_xlpm._platform_keywords,_xlpm._original_keywords,0)))&gt;0,
_xlfn.IFS(AND(_xlpm._exists,LEFT($E117,1)="+"),"+",_xlpm._exists,"*",NOT(_xlpm._exists),"")
)</f>
        <v/>
      </c>
      <c r="O117" s="33" t="str" cm="1">
        <f t="array" aca="1" ref="O11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($E117=CLASSIFICATION[[Keyword Aggr]:[Keyword Aggr]])*($D117=CLASSIFICATION[[Functional Scope Aggr]:[Functional Scope Aggr]])),
_xlpm._platform_keywords, _xlfn.TEXTSPLIT(SUBSTITUTE(SUBSTITUTE(VLOOKUP($D117,_xlpm._platform_range,3,FALSE),"+"&amp;CHAR(34),"+"),CHAR(34),""),", "),
_xlpm._exists, SUMPRODUCT(--ISNUMBER(MATCH(_xlpm._platform_keywords,_xlpm._original_keywords,0)))&gt;0,
_xlfn.IFS(AND(_xlpm._exists,LEFT($E117,1)="+"),"+",_xlpm._exists,"*",NOT(_xlpm._exists),"")
)</f>
        <v/>
      </c>
      <c r="Q117" s="33" cm="1">
        <f t="array" aca="1" ref="Q11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($E117=CLASSIFICATION[[Keyword Aggr]:[Keyword Aggr]])*($D117=CLASSIFICATION[[Functional Scope Aggr]:[Functional Scope Aggr]])),
_xlpm._platform_keywords, _xlfn.TEXTSPLIT(SUBSTITUTE(SUBSTITUTE(VLOOKUP($D117,_xlpm._platform_range,3,FALSE),"+"&amp;CHAR(34),"+"),CHAR(34),""),", "),
_xlpm._exists, SUMPRODUCT(--ISNUMBER(MATCH(_xlpm._platform_keywords,_xlpm._original_keywords,0)))&gt;0,
_xlfn.IFS(_xlpm._exists,1,NOT(_xlpm._exists),"")
)</f>
        <v>1</v>
      </c>
      <c r="R117" s="33" t="str" cm="1">
        <f t="array" aca="1" ref="R11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($E117=CLASSIFICATION[[Keyword Aggr]:[Keyword Aggr]])*($D117=CLASSIFICATION[[Functional Scope Aggr]:[Functional Scope Aggr]])),
_xlpm._platform_keywords, _xlfn.TEXTSPLIT(SUBSTITUTE(SUBSTITUTE(VLOOKUP($D117,_xlpm._platform_range,3,FALSE),"+"&amp;CHAR(34),"+"),CHAR(34),""),", "),
_xlpm._exists, SUMPRODUCT(--ISNUMBER(MATCH(_xlpm._platform_keywords,_xlpm._original_keywords,0)))&gt;0,
_xlfn.IFS(_xlpm._exists,1,NOT(_xlpm._exists),"")
)</f>
        <v/>
      </c>
      <c r="S117" s="33" t="str" cm="1">
        <f t="array" aca="1" ref="S11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($E117=CLASSIFICATION[[Keyword Aggr]:[Keyword Aggr]])*($D117=CLASSIFICATION[[Functional Scope Aggr]:[Functional Scope Aggr]])),
_xlpm._platform_keywords, _xlfn.TEXTSPLIT(SUBSTITUTE(SUBSTITUTE(VLOOKUP($D117,_xlpm._platform_range,3,FALSE),"+"&amp;CHAR(34),"+"),CHAR(34),""),", "),
_xlpm._exists, SUMPRODUCT(--ISNUMBER(MATCH(_xlpm._platform_keywords,_xlpm._original_keywords,0)))&gt;0,
_xlfn.IFS(_xlpm._exists,1,NOT(_xlpm._exists),"")
)</f>
        <v/>
      </c>
      <c r="T117" s="33" t="str" cm="1">
        <f t="array" aca="1" ref="T11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($E117=CLASSIFICATION[[Keyword Aggr]:[Keyword Aggr]])*($D117=CLASSIFICATION[[Functional Scope Aggr]:[Functional Scope Aggr]])),
_xlpm._platform_keywords, _xlfn.TEXTSPLIT(SUBSTITUTE(SUBSTITUTE(VLOOKUP($D117,_xlpm._platform_range,3,FALSE),"+"&amp;CHAR(34),"+"),CHAR(34),""),", "),
_xlpm._exists, SUMPRODUCT(--ISNUMBER(MATCH(_xlpm._platform_keywords,_xlpm._original_keywords,0)))&gt;0,
_xlfn.IFS(_xlpm._exists,1,NOT(_xlpm._exists),"")
)</f>
        <v/>
      </c>
      <c r="U117" s="33" t="str" cm="1">
        <f t="array" aca="1" ref="U11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($E117=CLASSIFICATION[[Keyword Aggr]:[Keyword Aggr]])*($D117=CLASSIFICATION[[Functional Scope Aggr]:[Functional Scope Aggr]])),
_xlpm._platform_keywords, _xlfn.TEXTSPLIT(SUBSTITUTE(SUBSTITUTE(VLOOKUP($D117,_xlpm._platform_range,3,FALSE),"+"&amp;CHAR(34),"+"),CHAR(34),""),", "),
_xlpm._exists, SUMPRODUCT(--ISNUMBER(MATCH(_xlpm._platform_keywords,_xlpm._original_keywords,0)))&gt;0,
_xlfn.IFS(_xlpm._exists,1,NOT(_xlpm._exists),"")
)</f>
        <v/>
      </c>
      <c r="V117" s="33" t="str" cm="1">
        <f t="array" aca="1" ref="V11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($E117=CLASSIFICATION[[Keyword Aggr]:[Keyword Aggr]])*($D117=CLASSIFICATION[[Functional Scope Aggr]:[Functional Scope Aggr]])),
_xlpm._platform_keywords, _xlfn.TEXTSPLIT(SUBSTITUTE(SUBSTITUTE(VLOOKUP($D117,_xlpm._platform_range,3,FALSE),"+"&amp;CHAR(34),"+"),CHAR(34),""),", "),
_xlpm._exists, SUMPRODUCT(--ISNUMBER(MATCH(_xlpm._platform_keywords,_xlpm._original_keywords,0)))&gt;0,
_xlfn.IFS(_xlpm._exists,1,NOT(_xlpm._exists),"")
)</f>
        <v/>
      </c>
      <c r="X117" s="33" t="str">
        <f t="shared" si="14"/>
        <v/>
      </c>
      <c r="Y117" s="33" t="str">
        <f t="shared" si="15"/>
        <v/>
      </c>
      <c r="Z117" s="33" t="str">
        <f t="shared" si="16"/>
        <v/>
      </c>
      <c r="AA117" s="33" t="str">
        <f t="shared" si="17"/>
        <v/>
      </c>
      <c r="AB117" s="33" t="str">
        <f t="shared" si="18"/>
        <v/>
      </c>
      <c r="AC117" s="33" t="str">
        <f t="shared" si="19"/>
        <v/>
      </c>
    </row>
    <row r="118" spans="1:29" x14ac:dyDescent="0.25">
      <c r="A118" s="19" t="str">
        <v>Development,Data validation development,Scripts</v>
      </c>
      <c r="B118" t="s">
        <v>377</v>
      </c>
      <c r="C118" s="19" t="str" cm="1">
        <f t="array" ref="C118:E118">_xlfn.TEXTSPLIT(A118,",")</f>
        <v>Development</v>
      </c>
      <c r="D118" s="19" t="str">
        <v>Data validation development</v>
      </c>
      <c r="E118" s="19" t="str">
        <v>Scripts</v>
      </c>
      <c r="F118" s="36" t="str" cm="1">
        <f t="array" ref="F118">_xlfn.TEXTJOIN(",",TRUE,_xlfn._xlws.FILTER(CLASSIFICATION[Keyword], ($E118=CLASSIFICATION[Keyword Aggr])*($D118=CLASSIFICATION[Functional Scope Aggr])))</f>
        <v>Scripts (Deluge),Scripts</v>
      </c>
      <c r="G118" s="32" t="str">
        <f t="shared" si="11"/>
        <v/>
      </c>
      <c r="H118" s="32" t="str">
        <f t="shared" si="12"/>
        <v/>
      </c>
      <c r="I118" s="32" t="str">
        <f t="shared" si="13"/>
        <v>Scripts</v>
      </c>
      <c r="J118" s="33" t="str" cm="1">
        <f t="array" aca="1" ref="J11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($E118=CLASSIFICATION[[Keyword Aggr]:[Keyword Aggr]])*($D118=CLASSIFICATION[[Functional Scope Aggr]:[Functional Scope Aggr]])),
_xlpm._platform_keywords, _xlfn.TEXTSPLIT(SUBSTITUTE(SUBSTITUTE(VLOOKUP($D118,_xlpm._platform_range,3,FALSE),"+"&amp;CHAR(34),"+"),CHAR(34),""),", "),
_xlpm._exists, SUMPRODUCT(--ISNUMBER(MATCH(_xlpm._platform_keywords,_xlpm._original_keywords,0)))&gt;0,
_xlfn.IFS(AND(_xlpm._exists,LEFT($E118,1)="+"),"+",_xlpm._exists,"*",NOT(_xlpm._exists),"")
)</f>
        <v/>
      </c>
      <c r="K118" s="33" t="str" cm="1">
        <f t="array" aca="1" ref="K11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($E118=CLASSIFICATION[[Keyword Aggr]:[Keyword Aggr]])*($D118=CLASSIFICATION[[Functional Scope Aggr]:[Functional Scope Aggr]])),
_xlpm._platform_keywords, _xlfn.TEXTSPLIT(SUBSTITUTE(SUBSTITUTE(VLOOKUP($D118,_xlpm._platform_range,3,FALSE),"+"&amp;CHAR(34),"+"),CHAR(34),""),", "),
_xlpm._exists, SUMPRODUCT(--ISNUMBER(MATCH(_xlpm._platform_keywords,_xlpm._original_keywords,0)))&gt;0,
_xlfn.IFS(AND(_xlpm._exists,LEFT($E118,1)="+"),"+",_xlpm._exists,"*",NOT(_xlpm._exists),"")
)</f>
        <v/>
      </c>
      <c r="L118" s="33" t="str" cm="1">
        <f t="array" aca="1" ref="L11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($E118=CLASSIFICATION[[Keyword Aggr]:[Keyword Aggr]])*($D118=CLASSIFICATION[[Functional Scope Aggr]:[Functional Scope Aggr]])),
_xlpm._platform_keywords, _xlfn.TEXTSPLIT(SUBSTITUTE(SUBSTITUTE(VLOOKUP($D118,_xlpm._platform_range,3,FALSE),"+"&amp;CHAR(34),"+"),CHAR(34),""),", "),
_xlpm._exists, SUMPRODUCT(--ISNUMBER(MATCH(_xlpm._platform_keywords,_xlpm._original_keywords,0)))&gt;0,
_xlfn.IFS(AND(_xlpm._exists,LEFT($E118,1)="+"),"+",_xlpm._exists,"*",NOT(_xlpm._exists),"")
)</f>
        <v>*</v>
      </c>
      <c r="M118" s="33" t="str" cm="1">
        <f t="array" aca="1" ref="M11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($E118=CLASSIFICATION[[Keyword Aggr]:[Keyword Aggr]])*($D118=CLASSIFICATION[[Functional Scope Aggr]:[Functional Scope Aggr]])),
_xlpm._platform_keywords, _xlfn.TEXTSPLIT(SUBSTITUTE(SUBSTITUTE(VLOOKUP($D118,_xlpm._platform_range,3,FALSE),"+"&amp;CHAR(34),"+"),CHAR(34),""),", "),
_xlpm._exists, SUMPRODUCT(--ISNUMBER(MATCH(_xlpm._platform_keywords,_xlpm._original_keywords,0)))&gt;0,
_xlfn.IFS(AND(_xlpm._exists,LEFT($E118,1)="+"),"+",_xlpm._exists,"*",NOT(_xlpm._exists),"")
)</f>
        <v/>
      </c>
      <c r="N118" s="33" t="str" cm="1">
        <f t="array" aca="1" ref="N11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($E118=CLASSIFICATION[[Keyword Aggr]:[Keyword Aggr]])*($D118=CLASSIFICATION[[Functional Scope Aggr]:[Functional Scope Aggr]])),
_xlpm._platform_keywords, _xlfn.TEXTSPLIT(SUBSTITUTE(SUBSTITUTE(VLOOKUP($D118,_xlpm._platform_range,3,FALSE),"+"&amp;CHAR(34),"+"),CHAR(34),""),", "),
_xlpm._exists, SUMPRODUCT(--ISNUMBER(MATCH(_xlpm._platform_keywords,_xlpm._original_keywords,0)))&gt;0,
_xlfn.IFS(AND(_xlpm._exists,LEFT($E118,1)="+"),"+",_xlpm._exists,"*",NOT(_xlpm._exists),"")
)</f>
        <v/>
      </c>
      <c r="O118" s="33" t="str" cm="1">
        <f t="array" aca="1" ref="O11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($E118=CLASSIFICATION[[Keyword Aggr]:[Keyword Aggr]])*($D118=CLASSIFICATION[[Functional Scope Aggr]:[Functional Scope Aggr]])),
_xlpm._platform_keywords, _xlfn.TEXTSPLIT(SUBSTITUTE(SUBSTITUTE(VLOOKUP($D118,_xlpm._platform_range,3,FALSE),"+"&amp;CHAR(34),"+"),CHAR(34),""),", "),
_xlpm._exists, SUMPRODUCT(--ISNUMBER(MATCH(_xlpm._platform_keywords,_xlpm._original_keywords,0)))&gt;0,
_xlfn.IFS(AND(_xlpm._exists,LEFT($E118,1)="+"),"+",_xlpm._exists,"*",NOT(_xlpm._exists),"")
)</f>
        <v>*</v>
      </c>
      <c r="Q118" s="33" t="str" cm="1">
        <f t="array" aca="1" ref="Q11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($E118=CLASSIFICATION[[Keyword Aggr]:[Keyword Aggr]])*($D118=CLASSIFICATION[[Functional Scope Aggr]:[Functional Scope Aggr]])),
_xlpm._platform_keywords, _xlfn.TEXTSPLIT(SUBSTITUTE(SUBSTITUTE(VLOOKUP($D118,_xlpm._platform_range,3,FALSE),"+"&amp;CHAR(34),"+"),CHAR(34),""),", "),
_xlpm._exists, SUMPRODUCT(--ISNUMBER(MATCH(_xlpm._platform_keywords,_xlpm._original_keywords,0)))&gt;0,
_xlfn.IFS(_xlpm._exists,1,NOT(_xlpm._exists),"")
)</f>
        <v/>
      </c>
      <c r="R118" s="33" t="str" cm="1">
        <f t="array" aca="1" ref="R11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($E118=CLASSIFICATION[[Keyword Aggr]:[Keyword Aggr]])*($D118=CLASSIFICATION[[Functional Scope Aggr]:[Functional Scope Aggr]])),
_xlpm._platform_keywords, _xlfn.TEXTSPLIT(SUBSTITUTE(SUBSTITUTE(VLOOKUP($D118,_xlpm._platform_range,3,FALSE),"+"&amp;CHAR(34),"+"),CHAR(34),""),", "),
_xlpm._exists, SUMPRODUCT(--ISNUMBER(MATCH(_xlpm._platform_keywords,_xlpm._original_keywords,0)))&gt;0,
_xlfn.IFS(_xlpm._exists,1,NOT(_xlpm._exists),"")
)</f>
        <v/>
      </c>
      <c r="S118" s="33" cm="1">
        <f t="array" aca="1" ref="S11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($E118=CLASSIFICATION[[Keyword Aggr]:[Keyword Aggr]])*($D118=CLASSIFICATION[[Functional Scope Aggr]:[Functional Scope Aggr]])),
_xlpm._platform_keywords, _xlfn.TEXTSPLIT(SUBSTITUTE(SUBSTITUTE(VLOOKUP($D118,_xlpm._platform_range,3,FALSE),"+"&amp;CHAR(34),"+"),CHAR(34),""),", "),
_xlpm._exists, SUMPRODUCT(--ISNUMBER(MATCH(_xlpm._platform_keywords,_xlpm._original_keywords,0)))&gt;0,
_xlfn.IFS(_xlpm._exists,1,NOT(_xlpm._exists),"")
)</f>
        <v>1</v>
      </c>
      <c r="T118" s="33" t="str" cm="1">
        <f t="array" aca="1" ref="T11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($E118=CLASSIFICATION[[Keyword Aggr]:[Keyword Aggr]])*($D118=CLASSIFICATION[[Functional Scope Aggr]:[Functional Scope Aggr]])),
_xlpm._platform_keywords, _xlfn.TEXTSPLIT(SUBSTITUTE(SUBSTITUTE(VLOOKUP($D118,_xlpm._platform_range,3,FALSE),"+"&amp;CHAR(34),"+"),CHAR(34),""),", "),
_xlpm._exists, SUMPRODUCT(--ISNUMBER(MATCH(_xlpm._platform_keywords,_xlpm._original_keywords,0)))&gt;0,
_xlfn.IFS(_xlpm._exists,1,NOT(_xlpm._exists),"")
)</f>
        <v/>
      </c>
      <c r="U118" s="33" t="str" cm="1">
        <f t="array" aca="1" ref="U11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($E118=CLASSIFICATION[[Keyword Aggr]:[Keyword Aggr]])*($D118=CLASSIFICATION[[Functional Scope Aggr]:[Functional Scope Aggr]])),
_xlpm._platform_keywords, _xlfn.TEXTSPLIT(SUBSTITUTE(SUBSTITUTE(VLOOKUP($D118,_xlpm._platform_range,3,FALSE),"+"&amp;CHAR(34),"+"),CHAR(34),""),", "),
_xlpm._exists, SUMPRODUCT(--ISNUMBER(MATCH(_xlpm._platform_keywords,_xlpm._original_keywords,0)))&gt;0,
_xlfn.IFS(_xlpm._exists,1,NOT(_xlpm._exists),"")
)</f>
        <v/>
      </c>
      <c r="V118" s="33" cm="1">
        <f t="array" aca="1" ref="V11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($E118=CLASSIFICATION[[Keyword Aggr]:[Keyword Aggr]])*($D118=CLASSIFICATION[[Functional Scope Aggr]:[Functional Scope Aggr]])),
_xlpm._platform_keywords, _xlfn.TEXTSPLIT(SUBSTITUTE(SUBSTITUTE(VLOOKUP($D118,_xlpm._platform_range,3,FALSE),"+"&amp;CHAR(34),"+"),CHAR(34),""),", "),
_xlpm._exists, SUMPRODUCT(--ISNUMBER(MATCH(_xlpm._platform_keywords,_xlpm._original_keywords,0)))&gt;0,
_xlfn.IFS(_xlpm._exists,1,NOT(_xlpm._exists),"")
)</f>
        <v>1</v>
      </c>
      <c r="X118" s="33" t="str">
        <f t="shared" si="14"/>
        <v/>
      </c>
      <c r="Y118" s="33" t="str">
        <f t="shared" si="15"/>
        <v/>
      </c>
      <c r="Z118" s="33" t="str">
        <f t="shared" si="16"/>
        <v/>
      </c>
      <c r="AA118" s="33" t="str">
        <f t="shared" si="17"/>
        <v/>
      </c>
      <c r="AB118" s="33" t="str">
        <f t="shared" si="18"/>
        <v/>
      </c>
      <c r="AC118" s="33" t="str">
        <f t="shared" si="19"/>
        <v/>
      </c>
    </row>
    <row r="119" spans="1:29" x14ac:dyDescent="0.25">
      <c r="A119" s="19" t="str">
        <v>Development,Actions design and development,+AI Assisted Development</v>
      </c>
      <c r="B119" t="s">
        <v>377</v>
      </c>
      <c r="C119" s="19" t="str" cm="1">
        <f t="array" ref="C119:E119">_xlfn.TEXTSPLIT(A119,",")</f>
        <v>Development</v>
      </c>
      <c r="D119" s="19" t="str">
        <v>Actions design and development</v>
      </c>
      <c r="E119" s="19" t="str">
        <v>+AI Assisted Development</v>
      </c>
      <c r="F119" s="36" t="str" cm="1">
        <f t="array" ref="F119">_xlfn.TEXTJOIN(",",TRUE,_xlfn._xlws.FILTER(CLASSIFICATION[Keyword], ($E119=CLASSIFICATION[Keyword Aggr])*($D119=CLASSIFICATION[Functional Scope Aggr])))</f>
        <v>+AI Assisted Development</v>
      </c>
      <c r="G119" s="32" t="str">
        <f t="shared" si="11"/>
        <v/>
      </c>
      <c r="H119" s="32" t="str">
        <f t="shared" si="12"/>
        <v>Actions design and development</v>
      </c>
      <c r="I119" s="32" t="str">
        <f t="shared" si="13"/>
        <v>+AI Assisted Development</v>
      </c>
      <c r="J119" s="33" t="str" cm="1">
        <f t="array" aca="1" ref="J11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($E119=CLASSIFICATION[[Keyword Aggr]:[Keyword Aggr]])*($D119=CLASSIFICATION[[Functional Scope Aggr]:[Functional Scope Aggr]])),
_xlpm._platform_keywords, _xlfn.TEXTSPLIT(SUBSTITUTE(SUBSTITUTE(VLOOKUP($D119,_xlpm._platform_range,3,FALSE),"+"&amp;CHAR(34),"+"),CHAR(34),""),", "),
_xlpm._exists, SUMPRODUCT(--ISNUMBER(MATCH(_xlpm._platform_keywords,_xlpm._original_keywords,0)))&gt;0,
_xlfn.IFS(AND(_xlpm._exists,LEFT($E119,1)="+"),"+",_xlpm._exists,"*",NOT(_xlpm._exists),"")
)</f>
        <v/>
      </c>
      <c r="K119" s="33" t="str" cm="1">
        <f t="array" aca="1" ref="K11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($E119=CLASSIFICATION[[Keyword Aggr]:[Keyword Aggr]])*($D119=CLASSIFICATION[[Functional Scope Aggr]:[Functional Scope Aggr]])),
_xlpm._platform_keywords, _xlfn.TEXTSPLIT(SUBSTITUTE(SUBSTITUTE(VLOOKUP($D119,_xlpm._platform_range,3,FALSE),"+"&amp;CHAR(34),"+"),CHAR(34),""),", "),
_xlpm._exists, SUMPRODUCT(--ISNUMBER(MATCH(_xlpm._platform_keywords,_xlpm._original_keywords,0)))&gt;0,
_xlfn.IFS(AND(_xlpm._exists,LEFT($E119,1)="+"),"+",_xlpm._exists,"*",NOT(_xlpm._exists),"")
)</f>
        <v>+</v>
      </c>
      <c r="L119" s="33" t="str" cm="1">
        <f t="array" aca="1" ref="L11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($E119=CLASSIFICATION[[Keyword Aggr]:[Keyword Aggr]])*($D119=CLASSIFICATION[[Functional Scope Aggr]:[Functional Scope Aggr]])),
_xlpm._platform_keywords, _xlfn.TEXTSPLIT(SUBSTITUTE(SUBSTITUTE(VLOOKUP($D119,_xlpm._platform_range,3,FALSE),"+"&amp;CHAR(34),"+"),CHAR(34),""),", "),
_xlpm._exists, SUMPRODUCT(--ISNUMBER(MATCH(_xlpm._platform_keywords,_xlpm._original_keywords,0)))&gt;0,
_xlfn.IFS(AND(_xlpm._exists,LEFT($E119,1)="+"),"+",_xlpm._exists,"*",NOT(_xlpm._exists),"")
)</f>
        <v/>
      </c>
      <c r="M119" s="33" t="str" cm="1">
        <f t="array" aca="1" ref="M11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($E119=CLASSIFICATION[[Keyword Aggr]:[Keyword Aggr]])*($D119=CLASSIFICATION[[Functional Scope Aggr]:[Functional Scope Aggr]])),
_xlpm._platform_keywords, _xlfn.TEXTSPLIT(SUBSTITUTE(SUBSTITUTE(VLOOKUP($D119,_xlpm._platform_range,3,FALSE),"+"&amp;CHAR(34),"+"),CHAR(34),""),", "),
_xlpm._exists, SUMPRODUCT(--ISNUMBER(MATCH(_xlpm._platform_keywords,_xlpm._original_keywords,0)))&gt;0,
_xlfn.IFS(AND(_xlpm._exists,LEFT($E119,1)="+"),"+",_xlpm._exists,"*",NOT(_xlpm._exists),"")
)</f>
        <v/>
      </c>
      <c r="N119" s="33" t="str" cm="1">
        <f t="array" aca="1" ref="N11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($E119=CLASSIFICATION[[Keyword Aggr]:[Keyword Aggr]])*($D119=CLASSIFICATION[[Functional Scope Aggr]:[Functional Scope Aggr]])),
_xlpm._platform_keywords, _xlfn.TEXTSPLIT(SUBSTITUTE(SUBSTITUTE(VLOOKUP($D119,_xlpm._platform_range,3,FALSE),"+"&amp;CHAR(34),"+"),CHAR(34),""),", "),
_xlpm._exists, SUMPRODUCT(--ISNUMBER(MATCH(_xlpm._platform_keywords,_xlpm._original_keywords,0)))&gt;0,
_xlfn.IFS(AND(_xlpm._exists,LEFT($E119,1)="+"),"+",_xlpm._exists,"*",NOT(_xlpm._exists),"")
)</f>
        <v/>
      </c>
      <c r="O119" s="33" t="str" cm="1">
        <f t="array" aca="1" ref="O11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($E119=CLASSIFICATION[[Keyword Aggr]:[Keyword Aggr]])*($D119=CLASSIFICATION[[Functional Scope Aggr]:[Functional Scope Aggr]])),
_xlpm._platform_keywords, _xlfn.TEXTSPLIT(SUBSTITUTE(SUBSTITUTE(VLOOKUP($D119,_xlpm._platform_range,3,FALSE),"+"&amp;CHAR(34),"+"),CHAR(34),""),", "),
_xlpm._exists, SUMPRODUCT(--ISNUMBER(MATCH(_xlpm._platform_keywords,_xlpm._original_keywords,0)))&gt;0,
_xlfn.IFS(AND(_xlpm._exists,LEFT($E119,1)="+"),"+",_xlpm._exists,"*",NOT(_xlpm._exists),"")
)</f>
        <v/>
      </c>
      <c r="Q119" s="33" t="str" cm="1">
        <f t="array" aca="1" ref="Q11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($E119=CLASSIFICATION[[Keyword Aggr]:[Keyword Aggr]])*($D119=CLASSIFICATION[[Functional Scope Aggr]:[Functional Scope Aggr]])),
_xlpm._platform_keywords, _xlfn.TEXTSPLIT(SUBSTITUTE(SUBSTITUTE(VLOOKUP($D119,_xlpm._platform_range,3,FALSE),"+"&amp;CHAR(34),"+"),CHAR(34),""),", "),
_xlpm._exists, SUMPRODUCT(--ISNUMBER(MATCH(_xlpm._platform_keywords,_xlpm._original_keywords,0)))&gt;0,
_xlfn.IFS(_xlpm._exists,1,NOT(_xlpm._exists),"")
)</f>
        <v/>
      </c>
      <c r="R119" s="33" cm="1">
        <f t="array" aca="1" ref="R11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($E119=CLASSIFICATION[[Keyword Aggr]:[Keyword Aggr]])*($D119=CLASSIFICATION[[Functional Scope Aggr]:[Functional Scope Aggr]])),
_xlpm._platform_keywords, _xlfn.TEXTSPLIT(SUBSTITUTE(SUBSTITUTE(VLOOKUP($D119,_xlpm._platform_range,3,FALSE),"+"&amp;CHAR(34),"+"),CHAR(34),""),", "),
_xlpm._exists, SUMPRODUCT(--ISNUMBER(MATCH(_xlpm._platform_keywords,_xlpm._original_keywords,0)))&gt;0,
_xlfn.IFS(_xlpm._exists,1,NOT(_xlpm._exists),"")
)</f>
        <v>1</v>
      </c>
      <c r="S119" s="33" t="str" cm="1">
        <f t="array" aca="1" ref="S11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($E119=CLASSIFICATION[[Keyword Aggr]:[Keyword Aggr]])*($D119=CLASSIFICATION[[Functional Scope Aggr]:[Functional Scope Aggr]])),
_xlpm._platform_keywords, _xlfn.TEXTSPLIT(SUBSTITUTE(SUBSTITUTE(VLOOKUP($D119,_xlpm._platform_range,3,FALSE),"+"&amp;CHAR(34),"+"),CHAR(34),""),", "),
_xlpm._exists, SUMPRODUCT(--ISNUMBER(MATCH(_xlpm._platform_keywords,_xlpm._original_keywords,0)))&gt;0,
_xlfn.IFS(_xlpm._exists,1,NOT(_xlpm._exists),"")
)</f>
        <v/>
      </c>
      <c r="T119" s="33" t="str" cm="1">
        <f t="array" aca="1" ref="T11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($E119=CLASSIFICATION[[Keyword Aggr]:[Keyword Aggr]])*($D119=CLASSIFICATION[[Functional Scope Aggr]:[Functional Scope Aggr]])),
_xlpm._platform_keywords, _xlfn.TEXTSPLIT(SUBSTITUTE(SUBSTITUTE(VLOOKUP($D119,_xlpm._platform_range,3,FALSE),"+"&amp;CHAR(34),"+"),CHAR(34),""),", "),
_xlpm._exists, SUMPRODUCT(--ISNUMBER(MATCH(_xlpm._platform_keywords,_xlpm._original_keywords,0)))&gt;0,
_xlfn.IFS(_xlpm._exists,1,NOT(_xlpm._exists),"")
)</f>
        <v/>
      </c>
      <c r="U119" s="33" t="str" cm="1">
        <f t="array" aca="1" ref="U11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($E119=CLASSIFICATION[[Keyword Aggr]:[Keyword Aggr]])*($D119=CLASSIFICATION[[Functional Scope Aggr]:[Functional Scope Aggr]])),
_xlpm._platform_keywords, _xlfn.TEXTSPLIT(SUBSTITUTE(SUBSTITUTE(VLOOKUP($D119,_xlpm._platform_range,3,FALSE),"+"&amp;CHAR(34),"+"),CHAR(34),""),", "),
_xlpm._exists, SUMPRODUCT(--ISNUMBER(MATCH(_xlpm._platform_keywords,_xlpm._original_keywords,0)))&gt;0,
_xlfn.IFS(_xlpm._exists,1,NOT(_xlpm._exists),"")
)</f>
        <v/>
      </c>
      <c r="V119" s="33" t="str" cm="1">
        <f t="array" aca="1" ref="V11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($E119=CLASSIFICATION[[Keyword Aggr]:[Keyword Aggr]])*($D119=CLASSIFICATION[[Functional Scope Aggr]:[Functional Scope Aggr]])),
_xlpm._platform_keywords, _xlfn.TEXTSPLIT(SUBSTITUTE(SUBSTITUTE(VLOOKUP($D119,_xlpm._platform_range,3,FALSE),"+"&amp;CHAR(34),"+"),CHAR(34),""),", "),
_xlpm._exists, SUMPRODUCT(--ISNUMBER(MATCH(_xlpm._platform_keywords,_xlpm._original_keywords,0)))&gt;0,
_xlfn.IFS(_xlpm._exists,1,NOT(_xlpm._exists),"")
)</f>
        <v/>
      </c>
      <c r="X119" s="33">
        <f t="shared" ca="1" si="14"/>
        <v>3</v>
      </c>
      <c r="Y119" s="33">
        <f t="shared" ca="1" si="15"/>
        <v>4</v>
      </c>
      <c r="Z119" s="33">
        <f t="shared" ca="1" si="16"/>
        <v>3</v>
      </c>
      <c r="AA119" s="33">
        <f t="shared" ca="1" si="17"/>
        <v>4</v>
      </c>
      <c r="AB119" s="33">
        <f t="shared" ca="1" si="18"/>
        <v>2</v>
      </c>
      <c r="AC119" s="33">
        <f t="shared" ca="1" si="19"/>
        <v>3</v>
      </c>
    </row>
    <row r="120" spans="1:29" x14ac:dyDescent="0.25">
      <c r="A120" s="19" t="str">
        <v>Development,Actions design and development,+Automations</v>
      </c>
      <c r="B120" t="s">
        <v>377</v>
      </c>
      <c r="C120" s="19" t="str" cm="1">
        <f t="array" ref="C120:E120">_xlfn.TEXTSPLIT(A120,",")</f>
        <v>Development</v>
      </c>
      <c r="D120" s="19" t="str">
        <v>Actions design and development</v>
      </c>
      <c r="E120" s="19" t="str">
        <v>+Automations</v>
      </c>
      <c r="F120" s="36" t="str" cm="1">
        <f t="array" ref="F120">_xlfn.TEXTJOIN(",",TRUE,_xlfn._xlws.FILTER(CLASSIFICATION[Keyword], ($E120=CLASSIFICATION[Keyword Aggr])*($D120=CLASSIFICATION[Functional Scope Aggr])))</f>
        <v>+Automations</v>
      </c>
      <c r="G120" s="32" t="str">
        <f t="shared" si="11"/>
        <v/>
      </c>
      <c r="H120" s="32" t="str">
        <f t="shared" si="12"/>
        <v/>
      </c>
      <c r="I120" s="32" t="str">
        <f t="shared" si="13"/>
        <v>+Automations</v>
      </c>
      <c r="J120" s="33" t="str" cm="1">
        <f t="array" aca="1" ref="J12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($E120=CLASSIFICATION[[Keyword Aggr]:[Keyword Aggr]])*($D120=CLASSIFICATION[[Functional Scope Aggr]:[Functional Scope Aggr]])),
_xlpm._platform_keywords, _xlfn.TEXTSPLIT(SUBSTITUTE(SUBSTITUTE(VLOOKUP($D120,_xlpm._platform_range,3,FALSE),"+"&amp;CHAR(34),"+"),CHAR(34),""),", "),
_xlpm._exists, SUMPRODUCT(--ISNUMBER(MATCH(_xlpm._platform_keywords,_xlpm._original_keywords,0)))&gt;0,
_xlfn.IFS(AND(_xlpm._exists,LEFT($E120,1)="+"),"+",_xlpm._exists,"*",NOT(_xlpm._exists),"")
)</f>
        <v/>
      </c>
      <c r="K120" s="33" t="str" cm="1">
        <f t="array" aca="1" ref="K12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($E120=CLASSIFICATION[[Keyword Aggr]:[Keyword Aggr]])*($D120=CLASSIFICATION[[Functional Scope Aggr]:[Functional Scope Aggr]])),
_xlpm._platform_keywords, _xlfn.TEXTSPLIT(SUBSTITUTE(SUBSTITUTE(VLOOKUP($D120,_xlpm._platform_range,3,FALSE),"+"&amp;CHAR(34),"+"),CHAR(34),""),", "),
_xlpm._exists, SUMPRODUCT(--ISNUMBER(MATCH(_xlpm._platform_keywords,_xlpm._original_keywords,0)))&gt;0,
_xlfn.IFS(AND(_xlpm._exists,LEFT($E120,1)="+"),"+",_xlpm._exists,"*",NOT(_xlpm._exists),"")
)</f>
        <v/>
      </c>
      <c r="L120" s="33" t="str" cm="1">
        <f t="array" aca="1" ref="L12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($E120=CLASSIFICATION[[Keyword Aggr]:[Keyword Aggr]])*($D120=CLASSIFICATION[[Functional Scope Aggr]:[Functional Scope Aggr]])),
_xlpm._platform_keywords, _xlfn.TEXTSPLIT(SUBSTITUTE(SUBSTITUTE(VLOOKUP($D120,_xlpm._platform_range,3,FALSE),"+"&amp;CHAR(34),"+"),CHAR(34),""),", "),
_xlpm._exists, SUMPRODUCT(--ISNUMBER(MATCH(_xlpm._platform_keywords,_xlpm._original_keywords,0)))&gt;0,
_xlfn.IFS(AND(_xlpm._exists,LEFT($E120,1)="+"),"+",_xlpm._exists,"*",NOT(_xlpm._exists),"")
)</f>
        <v/>
      </c>
      <c r="M120" s="33" t="str" cm="1">
        <f t="array" aca="1" ref="M12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($E120=CLASSIFICATION[[Keyword Aggr]:[Keyword Aggr]])*($D120=CLASSIFICATION[[Functional Scope Aggr]:[Functional Scope Aggr]])),
_xlpm._platform_keywords, _xlfn.TEXTSPLIT(SUBSTITUTE(SUBSTITUTE(VLOOKUP($D120,_xlpm._platform_range,3,FALSE),"+"&amp;CHAR(34),"+"),CHAR(34),""),", "),
_xlpm._exists, SUMPRODUCT(--ISNUMBER(MATCH(_xlpm._platform_keywords,_xlpm._original_keywords,0)))&gt;0,
_xlfn.IFS(AND(_xlpm._exists,LEFT($E120,1)="+"),"+",_xlpm._exists,"*",NOT(_xlpm._exists),"")
)</f>
        <v/>
      </c>
      <c r="N120" s="33" t="str" cm="1">
        <f t="array" aca="1" ref="N12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($E120=CLASSIFICATION[[Keyword Aggr]:[Keyword Aggr]])*($D120=CLASSIFICATION[[Functional Scope Aggr]:[Functional Scope Aggr]])),
_xlpm._platform_keywords, _xlfn.TEXTSPLIT(SUBSTITUTE(SUBSTITUTE(VLOOKUP($D120,_xlpm._platform_range,3,FALSE),"+"&amp;CHAR(34),"+"),CHAR(34),""),", "),
_xlpm._exists, SUMPRODUCT(--ISNUMBER(MATCH(_xlpm._platform_keywords,_xlpm._original_keywords,0)))&gt;0,
_xlfn.IFS(AND(_xlpm._exists,LEFT($E120,1)="+"),"+",_xlpm._exists,"*",NOT(_xlpm._exists),"")
)</f>
        <v>+</v>
      </c>
      <c r="O120" s="33" t="str" cm="1">
        <f t="array" aca="1" ref="O12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($E120=CLASSIFICATION[[Keyword Aggr]:[Keyword Aggr]])*($D120=CLASSIFICATION[[Functional Scope Aggr]:[Functional Scope Aggr]])),
_xlpm._platform_keywords, _xlfn.TEXTSPLIT(SUBSTITUTE(SUBSTITUTE(VLOOKUP($D120,_xlpm._platform_range,3,FALSE),"+"&amp;CHAR(34),"+"),CHAR(34),""),", "),
_xlpm._exists, SUMPRODUCT(--ISNUMBER(MATCH(_xlpm._platform_keywords,_xlpm._original_keywords,0)))&gt;0,
_xlfn.IFS(AND(_xlpm._exists,LEFT($E120,1)="+"),"+",_xlpm._exists,"*",NOT(_xlpm._exists),"")
)</f>
        <v/>
      </c>
      <c r="Q120" s="33" t="str" cm="1">
        <f t="array" aca="1" ref="Q12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($E120=CLASSIFICATION[[Keyword Aggr]:[Keyword Aggr]])*($D120=CLASSIFICATION[[Functional Scope Aggr]:[Functional Scope Aggr]])),
_xlpm._platform_keywords, _xlfn.TEXTSPLIT(SUBSTITUTE(SUBSTITUTE(VLOOKUP($D120,_xlpm._platform_range,3,FALSE),"+"&amp;CHAR(34),"+"),CHAR(34),""),", "),
_xlpm._exists, SUMPRODUCT(--ISNUMBER(MATCH(_xlpm._platform_keywords,_xlpm._original_keywords,0)))&gt;0,
_xlfn.IFS(_xlpm._exists,1,NOT(_xlpm._exists),"")
)</f>
        <v/>
      </c>
      <c r="R120" s="33" t="str" cm="1">
        <f t="array" aca="1" ref="R12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($E120=CLASSIFICATION[[Keyword Aggr]:[Keyword Aggr]])*($D120=CLASSIFICATION[[Functional Scope Aggr]:[Functional Scope Aggr]])),
_xlpm._platform_keywords, _xlfn.TEXTSPLIT(SUBSTITUTE(SUBSTITUTE(VLOOKUP($D120,_xlpm._platform_range,3,FALSE),"+"&amp;CHAR(34),"+"),CHAR(34),""),", "),
_xlpm._exists, SUMPRODUCT(--ISNUMBER(MATCH(_xlpm._platform_keywords,_xlpm._original_keywords,0)))&gt;0,
_xlfn.IFS(_xlpm._exists,1,NOT(_xlpm._exists),"")
)</f>
        <v/>
      </c>
      <c r="S120" s="33" t="str" cm="1">
        <f t="array" aca="1" ref="S12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($E120=CLASSIFICATION[[Keyword Aggr]:[Keyword Aggr]])*($D120=CLASSIFICATION[[Functional Scope Aggr]:[Functional Scope Aggr]])),
_xlpm._platform_keywords, _xlfn.TEXTSPLIT(SUBSTITUTE(SUBSTITUTE(VLOOKUP($D120,_xlpm._platform_range,3,FALSE),"+"&amp;CHAR(34),"+"),CHAR(34),""),", "),
_xlpm._exists, SUMPRODUCT(--ISNUMBER(MATCH(_xlpm._platform_keywords,_xlpm._original_keywords,0)))&gt;0,
_xlfn.IFS(_xlpm._exists,1,NOT(_xlpm._exists),"")
)</f>
        <v/>
      </c>
      <c r="T120" s="33" t="str" cm="1">
        <f t="array" aca="1" ref="T12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($E120=CLASSIFICATION[[Keyword Aggr]:[Keyword Aggr]])*($D120=CLASSIFICATION[[Functional Scope Aggr]:[Functional Scope Aggr]])),
_xlpm._platform_keywords, _xlfn.TEXTSPLIT(SUBSTITUTE(SUBSTITUTE(VLOOKUP($D120,_xlpm._platform_range,3,FALSE),"+"&amp;CHAR(34),"+"),CHAR(34),""),", "),
_xlpm._exists, SUMPRODUCT(--ISNUMBER(MATCH(_xlpm._platform_keywords,_xlpm._original_keywords,0)))&gt;0,
_xlfn.IFS(_xlpm._exists,1,NOT(_xlpm._exists),"")
)</f>
        <v/>
      </c>
      <c r="U120" s="33" cm="1">
        <f t="array" aca="1" ref="U12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($E120=CLASSIFICATION[[Keyword Aggr]:[Keyword Aggr]])*($D120=CLASSIFICATION[[Functional Scope Aggr]:[Functional Scope Aggr]])),
_xlpm._platform_keywords, _xlfn.TEXTSPLIT(SUBSTITUTE(SUBSTITUTE(VLOOKUP($D120,_xlpm._platform_range,3,FALSE),"+"&amp;CHAR(34),"+"),CHAR(34),""),", "),
_xlpm._exists, SUMPRODUCT(--ISNUMBER(MATCH(_xlpm._platform_keywords,_xlpm._original_keywords,0)))&gt;0,
_xlfn.IFS(_xlpm._exists,1,NOT(_xlpm._exists),"")
)</f>
        <v>1</v>
      </c>
      <c r="V120" s="33" t="str" cm="1">
        <f t="array" aca="1" ref="V12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($E120=CLASSIFICATION[[Keyword Aggr]:[Keyword Aggr]])*($D120=CLASSIFICATION[[Functional Scope Aggr]:[Functional Scope Aggr]])),
_xlpm._platform_keywords, _xlfn.TEXTSPLIT(SUBSTITUTE(SUBSTITUTE(VLOOKUP($D120,_xlpm._platform_range,3,FALSE),"+"&amp;CHAR(34),"+"),CHAR(34),""),", "),
_xlpm._exists, SUMPRODUCT(--ISNUMBER(MATCH(_xlpm._platform_keywords,_xlpm._original_keywords,0)))&gt;0,
_xlfn.IFS(_xlpm._exists,1,NOT(_xlpm._exists),"")
)</f>
        <v/>
      </c>
      <c r="X120" s="33" t="str">
        <f t="shared" si="14"/>
        <v/>
      </c>
      <c r="Y120" s="33" t="str">
        <f t="shared" si="15"/>
        <v/>
      </c>
      <c r="Z120" s="33" t="str">
        <f t="shared" si="16"/>
        <v/>
      </c>
      <c r="AA120" s="33" t="str">
        <f t="shared" si="17"/>
        <v/>
      </c>
      <c r="AB120" s="33" t="str">
        <f t="shared" si="18"/>
        <v/>
      </c>
      <c r="AC120" s="33" t="str">
        <f t="shared" si="19"/>
        <v/>
      </c>
    </row>
    <row r="121" spans="1:29" x14ac:dyDescent="0.25">
      <c r="A121" s="19" t="str">
        <v>Development,Actions design and development,+Built-in Connectors</v>
      </c>
      <c r="B121" t="s">
        <v>377</v>
      </c>
      <c r="C121" s="19" t="str" cm="1">
        <f t="array" ref="C121:E121">_xlfn.TEXTSPLIT(A121,",")</f>
        <v>Development</v>
      </c>
      <c r="D121" s="19" t="str">
        <v>Actions design and development</v>
      </c>
      <c r="E121" s="19" t="str">
        <v>+Built-in Connectors</v>
      </c>
      <c r="F121" s="36" t="str" cm="1">
        <f t="array" ref="F121">_xlfn.TEXTJOIN(",",TRUE,_xlfn._xlws.FILTER(CLASSIFICATION[Keyword], ($E121=CLASSIFICATION[Keyword Aggr])*($D121=CLASSIFICATION[Functional Scope Aggr])))</f>
        <v>+Built-in Connectors</v>
      </c>
      <c r="G121" s="32" t="str">
        <f t="shared" si="11"/>
        <v/>
      </c>
      <c r="H121" s="32" t="str">
        <f t="shared" si="12"/>
        <v/>
      </c>
      <c r="I121" s="32" t="str">
        <f t="shared" si="13"/>
        <v>+Built-in Connectors</v>
      </c>
      <c r="J121" s="33" t="str" cm="1">
        <f t="array" aca="1" ref="J12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($E121=CLASSIFICATION[[Keyword Aggr]:[Keyword Aggr]])*($D121=CLASSIFICATION[[Functional Scope Aggr]:[Functional Scope Aggr]])),
_xlpm._platform_keywords, _xlfn.TEXTSPLIT(SUBSTITUTE(SUBSTITUTE(VLOOKUP($D121,_xlpm._platform_range,3,FALSE),"+"&amp;CHAR(34),"+"),CHAR(34),""),", "),
_xlpm._exists, SUMPRODUCT(--ISNUMBER(MATCH(_xlpm._platform_keywords,_xlpm._original_keywords,0)))&gt;0,
_xlfn.IFS(AND(_xlpm._exists,LEFT($E121,1)="+"),"+",_xlpm._exists,"*",NOT(_xlpm._exists),"")
)</f>
        <v/>
      </c>
      <c r="K121" s="33" t="str" cm="1">
        <f t="array" aca="1" ref="K12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($E121=CLASSIFICATION[[Keyword Aggr]:[Keyword Aggr]])*($D121=CLASSIFICATION[[Functional Scope Aggr]:[Functional Scope Aggr]])),
_xlpm._platform_keywords, _xlfn.TEXTSPLIT(SUBSTITUTE(SUBSTITUTE(VLOOKUP($D121,_xlpm._platform_range,3,FALSE),"+"&amp;CHAR(34),"+"),CHAR(34),""),", "),
_xlpm._exists, SUMPRODUCT(--ISNUMBER(MATCH(_xlpm._platform_keywords,_xlpm._original_keywords,0)))&gt;0,
_xlfn.IFS(AND(_xlpm._exists,LEFT($E121,1)="+"),"+",_xlpm._exists,"*",NOT(_xlpm._exists),"")
)</f>
        <v/>
      </c>
      <c r="L121" s="33" t="str" cm="1">
        <f t="array" aca="1" ref="L12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($E121=CLASSIFICATION[[Keyword Aggr]:[Keyword Aggr]])*($D121=CLASSIFICATION[[Functional Scope Aggr]:[Functional Scope Aggr]])),
_xlpm._platform_keywords, _xlfn.TEXTSPLIT(SUBSTITUTE(SUBSTITUTE(VLOOKUP($D121,_xlpm._platform_range,3,FALSE),"+"&amp;CHAR(34),"+"),CHAR(34),""),", "),
_xlpm._exists, SUMPRODUCT(--ISNUMBER(MATCH(_xlpm._platform_keywords,_xlpm._original_keywords,0)))&gt;0,
_xlfn.IFS(AND(_xlpm._exists,LEFT($E121,1)="+"),"+",_xlpm._exists,"*",NOT(_xlpm._exists),"")
)</f>
        <v>+</v>
      </c>
      <c r="M121" s="33" t="str" cm="1">
        <f t="array" aca="1" ref="M12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($E121=CLASSIFICATION[[Keyword Aggr]:[Keyword Aggr]])*($D121=CLASSIFICATION[[Functional Scope Aggr]:[Functional Scope Aggr]])),
_xlpm._platform_keywords, _xlfn.TEXTSPLIT(SUBSTITUTE(SUBSTITUTE(VLOOKUP($D121,_xlpm._platform_range,3,FALSE),"+"&amp;CHAR(34),"+"),CHAR(34),""),", "),
_xlpm._exists, SUMPRODUCT(--ISNUMBER(MATCH(_xlpm._platform_keywords,_xlpm._original_keywords,0)))&gt;0,
_xlfn.IFS(AND(_xlpm._exists,LEFT($E121,1)="+"),"+",_xlpm._exists,"*",NOT(_xlpm._exists),"")
)</f>
        <v/>
      </c>
      <c r="N121" s="33" t="str" cm="1">
        <f t="array" aca="1" ref="N12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($E121=CLASSIFICATION[[Keyword Aggr]:[Keyword Aggr]])*($D121=CLASSIFICATION[[Functional Scope Aggr]:[Functional Scope Aggr]])),
_xlpm._platform_keywords, _xlfn.TEXTSPLIT(SUBSTITUTE(SUBSTITUTE(VLOOKUP($D121,_xlpm._platform_range,3,FALSE),"+"&amp;CHAR(34),"+"),CHAR(34),""),", "),
_xlpm._exists, SUMPRODUCT(--ISNUMBER(MATCH(_xlpm._platform_keywords,_xlpm._original_keywords,0)))&gt;0,
_xlfn.IFS(AND(_xlpm._exists,LEFT($E121,1)="+"),"+",_xlpm._exists,"*",NOT(_xlpm._exists),"")
)</f>
        <v/>
      </c>
      <c r="O121" s="33" t="str" cm="1">
        <f t="array" aca="1" ref="O12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($E121=CLASSIFICATION[[Keyword Aggr]:[Keyword Aggr]])*($D121=CLASSIFICATION[[Functional Scope Aggr]:[Functional Scope Aggr]])),
_xlpm._platform_keywords, _xlfn.TEXTSPLIT(SUBSTITUTE(SUBSTITUTE(VLOOKUP($D121,_xlpm._platform_range,3,FALSE),"+"&amp;CHAR(34),"+"),CHAR(34),""),", "),
_xlpm._exists, SUMPRODUCT(--ISNUMBER(MATCH(_xlpm._platform_keywords,_xlpm._original_keywords,0)))&gt;0,
_xlfn.IFS(AND(_xlpm._exists,LEFT($E121,1)="+"),"+",_xlpm._exists,"*",NOT(_xlpm._exists),"")
)</f>
        <v/>
      </c>
      <c r="Q121" s="33" t="str" cm="1">
        <f t="array" aca="1" ref="Q12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($E121=CLASSIFICATION[[Keyword Aggr]:[Keyword Aggr]])*($D121=CLASSIFICATION[[Functional Scope Aggr]:[Functional Scope Aggr]])),
_xlpm._platform_keywords, _xlfn.TEXTSPLIT(SUBSTITUTE(SUBSTITUTE(VLOOKUP($D121,_xlpm._platform_range,3,FALSE),"+"&amp;CHAR(34),"+"),CHAR(34),""),", "),
_xlpm._exists, SUMPRODUCT(--ISNUMBER(MATCH(_xlpm._platform_keywords,_xlpm._original_keywords,0)))&gt;0,
_xlfn.IFS(_xlpm._exists,1,NOT(_xlpm._exists),"")
)</f>
        <v/>
      </c>
      <c r="R121" s="33" t="str" cm="1">
        <f t="array" aca="1" ref="R12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($E121=CLASSIFICATION[[Keyword Aggr]:[Keyword Aggr]])*($D121=CLASSIFICATION[[Functional Scope Aggr]:[Functional Scope Aggr]])),
_xlpm._platform_keywords, _xlfn.TEXTSPLIT(SUBSTITUTE(SUBSTITUTE(VLOOKUP($D121,_xlpm._platform_range,3,FALSE),"+"&amp;CHAR(34),"+"),CHAR(34),""),", "),
_xlpm._exists, SUMPRODUCT(--ISNUMBER(MATCH(_xlpm._platform_keywords,_xlpm._original_keywords,0)))&gt;0,
_xlfn.IFS(_xlpm._exists,1,NOT(_xlpm._exists),"")
)</f>
        <v/>
      </c>
      <c r="S121" s="33" cm="1">
        <f t="array" aca="1" ref="S12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($E121=CLASSIFICATION[[Keyword Aggr]:[Keyword Aggr]])*($D121=CLASSIFICATION[[Functional Scope Aggr]:[Functional Scope Aggr]])),
_xlpm._platform_keywords, _xlfn.TEXTSPLIT(SUBSTITUTE(SUBSTITUTE(VLOOKUP($D121,_xlpm._platform_range,3,FALSE),"+"&amp;CHAR(34),"+"),CHAR(34),""),", "),
_xlpm._exists, SUMPRODUCT(--ISNUMBER(MATCH(_xlpm._platform_keywords,_xlpm._original_keywords,0)))&gt;0,
_xlfn.IFS(_xlpm._exists,1,NOT(_xlpm._exists),"")
)</f>
        <v>1</v>
      </c>
      <c r="T121" s="33" t="str" cm="1">
        <f t="array" aca="1" ref="T12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($E121=CLASSIFICATION[[Keyword Aggr]:[Keyword Aggr]])*($D121=CLASSIFICATION[[Functional Scope Aggr]:[Functional Scope Aggr]])),
_xlpm._platform_keywords, _xlfn.TEXTSPLIT(SUBSTITUTE(SUBSTITUTE(VLOOKUP($D121,_xlpm._platform_range,3,FALSE),"+"&amp;CHAR(34),"+"),CHAR(34),""),", "),
_xlpm._exists, SUMPRODUCT(--ISNUMBER(MATCH(_xlpm._platform_keywords,_xlpm._original_keywords,0)))&gt;0,
_xlfn.IFS(_xlpm._exists,1,NOT(_xlpm._exists),"")
)</f>
        <v/>
      </c>
      <c r="U121" s="33" t="str" cm="1">
        <f t="array" aca="1" ref="U12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($E121=CLASSIFICATION[[Keyword Aggr]:[Keyword Aggr]])*($D121=CLASSIFICATION[[Functional Scope Aggr]:[Functional Scope Aggr]])),
_xlpm._platform_keywords, _xlfn.TEXTSPLIT(SUBSTITUTE(SUBSTITUTE(VLOOKUP($D121,_xlpm._platform_range,3,FALSE),"+"&amp;CHAR(34),"+"),CHAR(34),""),", "),
_xlpm._exists, SUMPRODUCT(--ISNUMBER(MATCH(_xlpm._platform_keywords,_xlpm._original_keywords,0)))&gt;0,
_xlfn.IFS(_xlpm._exists,1,NOT(_xlpm._exists),"")
)</f>
        <v/>
      </c>
      <c r="V121" s="33" t="str" cm="1">
        <f t="array" aca="1" ref="V12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($E121=CLASSIFICATION[[Keyword Aggr]:[Keyword Aggr]])*($D121=CLASSIFICATION[[Functional Scope Aggr]:[Functional Scope Aggr]])),
_xlpm._platform_keywords, _xlfn.TEXTSPLIT(SUBSTITUTE(SUBSTITUTE(VLOOKUP($D121,_xlpm._platform_range,3,FALSE),"+"&amp;CHAR(34),"+"),CHAR(34),""),", "),
_xlpm._exists, SUMPRODUCT(--ISNUMBER(MATCH(_xlpm._platform_keywords,_xlpm._original_keywords,0)))&gt;0,
_xlfn.IFS(_xlpm._exists,1,NOT(_xlpm._exists),"")
)</f>
        <v/>
      </c>
      <c r="X121" s="33" t="str">
        <f t="shared" si="14"/>
        <v/>
      </c>
      <c r="Y121" s="33" t="str">
        <f t="shared" si="15"/>
        <v/>
      </c>
      <c r="Z121" s="33" t="str">
        <f t="shared" si="16"/>
        <v/>
      </c>
      <c r="AA121" s="33" t="str">
        <f t="shared" si="17"/>
        <v/>
      </c>
      <c r="AB121" s="33" t="str">
        <f t="shared" si="18"/>
        <v/>
      </c>
      <c r="AC121" s="33" t="str">
        <f t="shared" si="19"/>
        <v/>
      </c>
    </row>
    <row r="122" spans="1:29" x14ac:dyDescent="0.25">
      <c r="A122" s="19" t="str">
        <v>Development,Actions design and development,API</v>
      </c>
      <c r="B122" t="s">
        <v>377</v>
      </c>
      <c r="C122" s="19" t="str" cm="1">
        <f t="array" ref="C122:E122">_xlfn.TEXTSPLIT(A122,",")</f>
        <v>Development</v>
      </c>
      <c r="D122" s="19" t="str">
        <v>Actions design and development</v>
      </c>
      <c r="E122" s="19" t="str">
        <v>API</v>
      </c>
      <c r="F122" s="36" t="str" cm="1">
        <f t="array" ref="F122">_xlfn.TEXTJOIN(",",TRUE,_xlfn._xlws.FILTER(CLASSIFICATION[Keyword], ($E122=CLASSIFICATION[Keyword Aggr])*($D122=CLASSIFICATION[Functional Scope Aggr])))</f>
        <v>API,REST API</v>
      </c>
      <c r="G122" s="32" t="str">
        <f t="shared" si="11"/>
        <v/>
      </c>
      <c r="H122" s="32" t="str">
        <f t="shared" si="12"/>
        <v/>
      </c>
      <c r="I122" s="32" t="str">
        <f t="shared" si="13"/>
        <v>API</v>
      </c>
      <c r="J122" s="33" t="str" cm="1">
        <f t="array" aca="1" ref="J12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($E122=CLASSIFICATION[[Keyword Aggr]:[Keyword Aggr]])*($D122=CLASSIFICATION[[Functional Scope Aggr]:[Functional Scope Aggr]])),
_xlpm._platform_keywords, _xlfn.TEXTSPLIT(SUBSTITUTE(SUBSTITUTE(VLOOKUP($D122,_xlpm._platform_range,3,FALSE),"+"&amp;CHAR(34),"+"),CHAR(34),""),", "),
_xlpm._exists, SUMPRODUCT(--ISNUMBER(MATCH(_xlpm._platform_keywords,_xlpm._original_keywords,0)))&gt;0,
_xlfn.IFS(AND(_xlpm._exists,LEFT($E122,1)="+"),"+",_xlpm._exists,"*",NOT(_xlpm._exists),"")
)</f>
        <v>*</v>
      </c>
      <c r="K122" s="33" t="str" cm="1">
        <f t="array" aca="1" ref="K12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($E122=CLASSIFICATION[[Keyword Aggr]:[Keyword Aggr]])*($D122=CLASSIFICATION[[Functional Scope Aggr]:[Functional Scope Aggr]])),
_xlpm._platform_keywords, _xlfn.TEXTSPLIT(SUBSTITUTE(SUBSTITUTE(VLOOKUP($D122,_xlpm._platform_range,3,FALSE),"+"&amp;CHAR(34),"+"),CHAR(34),""),", "),
_xlpm._exists, SUMPRODUCT(--ISNUMBER(MATCH(_xlpm._platform_keywords,_xlpm._original_keywords,0)))&gt;0,
_xlfn.IFS(AND(_xlpm._exists,LEFT($E122,1)="+"),"+",_xlpm._exists,"*",NOT(_xlpm._exists),"")
)</f>
        <v>*</v>
      </c>
      <c r="L122" s="33" t="str" cm="1">
        <f t="array" aca="1" ref="L12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($E122=CLASSIFICATION[[Keyword Aggr]:[Keyword Aggr]])*($D122=CLASSIFICATION[[Functional Scope Aggr]:[Functional Scope Aggr]])),
_xlpm._platform_keywords, _xlfn.TEXTSPLIT(SUBSTITUTE(SUBSTITUTE(VLOOKUP($D122,_xlpm._platform_range,3,FALSE),"+"&amp;CHAR(34),"+"),CHAR(34),""),", "),
_xlpm._exists, SUMPRODUCT(--ISNUMBER(MATCH(_xlpm._platform_keywords,_xlpm._original_keywords,0)))&gt;0,
_xlfn.IFS(AND(_xlpm._exists,LEFT($E122,1)="+"),"+",_xlpm._exists,"*",NOT(_xlpm._exists),"")
)</f>
        <v>*</v>
      </c>
      <c r="M122" s="33" t="str" cm="1">
        <f t="array" aca="1" ref="M12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($E122=CLASSIFICATION[[Keyword Aggr]:[Keyword Aggr]])*($D122=CLASSIFICATION[[Functional Scope Aggr]:[Functional Scope Aggr]])),
_xlpm._platform_keywords, _xlfn.TEXTSPLIT(SUBSTITUTE(SUBSTITUTE(VLOOKUP($D122,_xlpm._platform_range,3,FALSE),"+"&amp;CHAR(34),"+"),CHAR(34),""),", "),
_xlpm._exists, SUMPRODUCT(--ISNUMBER(MATCH(_xlpm._platform_keywords,_xlpm._original_keywords,0)))&gt;0,
_xlfn.IFS(AND(_xlpm._exists,LEFT($E122,1)="+"),"+",_xlpm._exists,"*",NOT(_xlpm._exists),"")
)</f>
        <v>*</v>
      </c>
      <c r="N122" s="33" t="str" cm="1">
        <f t="array" aca="1" ref="N12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($E122=CLASSIFICATION[[Keyword Aggr]:[Keyword Aggr]])*($D122=CLASSIFICATION[[Functional Scope Aggr]:[Functional Scope Aggr]])),
_xlpm._platform_keywords, _xlfn.TEXTSPLIT(SUBSTITUTE(SUBSTITUTE(VLOOKUP($D122,_xlpm._platform_range,3,FALSE),"+"&amp;CHAR(34),"+"),CHAR(34),""),", "),
_xlpm._exists, SUMPRODUCT(--ISNUMBER(MATCH(_xlpm._platform_keywords,_xlpm._original_keywords,0)))&gt;0,
_xlfn.IFS(AND(_xlpm._exists,LEFT($E122,1)="+"),"+",_xlpm._exists,"*",NOT(_xlpm._exists),"")
)</f>
        <v/>
      </c>
      <c r="O122" s="33" t="str" cm="1">
        <f t="array" aca="1" ref="O12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($E122=CLASSIFICATION[[Keyword Aggr]:[Keyword Aggr]])*($D122=CLASSIFICATION[[Functional Scope Aggr]:[Functional Scope Aggr]])),
_xlpm._platform_keywords, _xlfn.TEXTSPLIT(SUBSTITUTE(SUBSTITUTE(VLOOKUP($D122,_xlpm._platform_range,3,FALSE),"+"&amp;CHAR(34),"+"),CHAR(34),""),", "),
_xlpm._exists, SUMPRODUCT(--ISNUMBER(MATCH(_xlpm._platform_keywords,_xlpm._original_keywords,0)))&gt;0,
_xlfn.IFS(AND(_xlpm._exists,LEFT($E122,1)="+"),"+",_xlpm._exists,"*",NOT(_xlpm._exists),"")
)</f>
        <v>*</v>
      </c>
      <c r="Q122" s="33" cm="1">
        <f t="array" aca="1" ref="Q12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($E122=CLASSIFICATION[[Keyword Aggr]:[Keyword Aggr]])*($D122=CLASSIFICATION[[Functional Scope Aggr]:[Functional Scope Aggr]])),
_xlpm._platform_keywords, _xlfn.TEXTSPLIT(SUBSTITUTE(SUBSTITUTE(VLOOKUP($D122,_xlpm._platform_range,3,FALSE),"+"&amp;CHAR(34),"+"),CHAR(34),""),", "),
_xlpm._exists, SUMPRODUCT(--ISNUMBER(MATCH(_xlpm._platform_keywords,_xlpm._original_keywords,0)))&gt;0,
_xlfn.IFS(_xlpm._exists,1,NOT(_xlpm._exists),"")
)</f>
        <v>1</v>
      </c>
      <c r="R122" s="33" cm="1">
        <f t="array" aca="1" ref="R12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($E122=CLASSIFICATION[[Keyword Aggr]:[Keyword Aggr]])*($D122=CLASSIFICATION[[Functional Scope Aggr]:[Functional Scope Aggr]])),
_xlpm._platform_keywords, _xlfn.TEXTSPLIT(SUBSTITUTE(SUBSTITUTE(VLOOKUP($D122,_xlpm._platform_range,3,FALSE),"+"&amp;CHAR(34),"+"),CHAR(34),""),", "),
_xlpm._exists, SUMPRODUCT(--ISNUMBER(MATCH(_xlpm._platform_keywords,_xlpm._original_keywords,0)))&gt;0,
_xlfn.IFS(_xlpm._exists,1,NOT(_xlpm._exists),"")
)</f>
        <v>1</v>
      </c>
      <c r="S122" s="33" cm="1">
        <f t="array" aca="1" ref="S12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($E122=CLASSIFICATION[[Keyword Aggr]:[Keyword Aggr]])*($D122=CLASSIFICATION[[Functional Scope Aggr]:[Functional Scope Aggr]])),
_xlpm._platform_keywords, _xlfn.TEXTSPLIT(SUBSTITUTE(SUBSTITUTE(VLOOKUP($D122,_xlpm._platform_range,3,FALSE),"+"&amp;CHAR(34),"+"),CHAR(34),""),", "),
_xlpm._exists, SUMPRODUCT(--ISNUMBER(MATCH(_xlpm._platform_keywords,_xlpm._original_keywords,0)))&gt;0,
_xlfn.IFS(_xlpm._exists,1,NOT(_xlpm._exists),"")
)</f>
        <v>1</v>
      </c>
      <c r="T122" s="33" cm="1">
        <f t="array" aca="1" ref="T12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($E122=CLASSIFICATION[[Keyword Aggr]:[Keyword Aggr]])*($D122=CLASSIFICATION[[Functional Scope Aggr]:[Functional Scope Aggr]])),
_xlpm._platform_keywords, _xlfn.TEXTSPLIT(SUBSTITUTE(SUBSTITUTE(VLOOKUP($D122,_xlpm._platform_range,3,FALSE),"+"&amp;CHAR(34),"+"),CHAR(34),""),", "),
_xlpm._exists, SUMPRODUCT(--ISNUMBER(MATCH(_xlpm._platform_keywords,_xlpm._original_keywords,0)))&gt;0,
_xlfn.IFS(_xlpm._exists,1,NOT(_xlpm._exists),"")
)</f>
        <v>1</v>
      </c>
      <c r="U122" s="33" t="str" cm="1">
        <f t="array" aca="1" ref="U12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($E122=CLASSIFICATION[[Keyword Aggr]:[Keyword Aggr]])*($D122=CLASSIFICATION[[Functional Scope Aggr]:[Functional Scope Aggr]])),
_xlpm._platform_keywords, _xlfn.TEXTSPLIT(SUBSTITUTE(SUBSTITUTE(VLOOKUP($D122,_xlpm._platform_range,3,FALSE),"+"&amp;CHAR(34),"+"),CHAR(34),""),", "),
_xlpm._exists, SUMPRODUCT(--ISNUMBER(MATCH(_xlpm._platform_keywords,_xlpm._original_keywords,0)))&gt;0,
_xlfn.IFS(_xlpm._exists,1,NOT(_xlpm._exists),"")
)</f>
        <v/>
      </c>
      <c r="V122" s="33" cm="1">
        <f t="array" aca="1" ref="V12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($E122=CLASSIFICATION[[Keyword Aggr]:[Keyword Aggr]])*($D122=CLASSIFICATION[[Functional Scope Aggr]:[Functional Scope Aggr]])),
_xlpm._platform_keywords, _xlfn.TEXTSPLIT(SUBSTITUTE(SUBSTITUTE(VLOOKUP($D122,_xlpm._platform_range,3,FALSE),"+"&amp;CHAR(34),"+"),CHAR(34),""),", "),
_xlpm._exists, SUMPRODUCT(--ISNUMBER(MATCH(_xlpm._platform_keywords,_xlpm._original_keywords,0)))&gt;0,
_xlfn.IFS(_xlpm._exists,1,NOT(_xlpm._exists),"")
)</f>
        <v>1</v>
      </c>
      <c r="X122" s="33" t="str">
        <f t="shared" si="14"/>
        <v/>
      </c>
      <c r="Y122" s="33" t="str">
        <f t="shared" si="15"/>
        <v/>
      </c>
      <c r="Z122" s="33" t="str">
        <f t="shared" si="16"/>
        <v/>
      </c>
      <c r="AA122" s="33" t="str">
        <f t="shared" si="17"/>
        <v/>
      </c>
      <c r="AB122" s="33" t="str">
        <f t="shared" si="18"/>
        <v/>
      </c>
      <c r="AC122" s="33" t="str">
        <f t="shared" si="19"/>
        <v/>
      </c>
    </row>
    <row r="123" spans="1:29" x14ac:dyDescent="0.25">
      <c r="A123" s="19" t="str">
        <v>Development,Actions design and development,Expressions</v>
      </c>
      <c r="B123" t="s">
        <v>377</v>
      </c>
      <c r="C123" s="19" t="str" cm="1">
        <f t="array" ref="C123:E123">_xlfn.TEXTSPLIT(A123,",")</f>
        <v>Development</v>
      </c>
      <c r="D123" s="19" t="str">
        <v>Actions design and development</v>
      </c>
      <c r="E123" s="19" t="str">
        <v>Expressions</v>
      </c>
      <c r="F123" s="36" t="str" cm="1">
        <f t="array" ref="F123">_xlfn.TEXTJOIN(",",TRUE,_xlfn._xlws.FILTER(CLASSIFICATION[Keyword], ($E123=CLASSIFICATION[Keyword Aggr])*($D123=CLASSIFICATION[Functional Scope Aggr])))</f>
        <v>Conditional Expressions,Expressions</v>
      </c>
      <c r="G123" s="32" t="str">
        <f t="shared" si="11"/>
        <v/>
      </c>
      <c r="H123" s="32" t="str">
        <f t="shared" si="12"/>
        <v/>
      </c>
      <c r="I123" s="32" t="str">
        <f t="shared" si="13"/>
        <v>Expressions</v>
      </c>
      <c r="J123" s="33" t="str" cm="1">
        <f t="array" aca="1" ref="J12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($E123=CLASSIFICATION[[Keyword Aggr]:[Keyword Aggr]])*($D123=CLASSIFICATION[[Functional Scope Aggr]:[Functional Scope Aggr]])),
_xlpm._platform_keywords, _xlfn.TEXTSPLIT(SUBSTITUTE(SUBSTITUTE(VLOOKUP($D123,_xlpm._platform_range,3,FALSE),"+"&amp;CHAR(34),"+"),CHAR(34),""),", "),
_xlpm._exists, SUMPRODUCT(--ISNUMBER(MATCH(_xlpm._platform_keywords,_xlpm._original_keywords,0)))&gt;0,
_xlfn.IFS(AND(_xlpm._exists,LEFT($E123,1)="+"),"+",_xlpm._exists,"*",NOT(_xlpm._exists),"")
)</f>
        <v/>
      </c>
      <c r="K123" s="33" t="str" cm="1">
        <f t="array" aca="1" ref="K12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($E123=CLASSIFICATION[[Keyword Aggr]:[Keyword Aggr]])*($D123=CLASSIFICATION[[Functional Scope Aggr]:[Functional Scope Aggr]])),
_xlpm._platform_keywords, _xlfn.TEXTSPLIT(SUBSTITUTE(SUBSTITUTE(VLOOKUP($D123,_xlpm._platform_range,3,FALSE),"+"&amp;CHAR(34),"+"),CHAR(34),""),", "),
_xlpm._exists, SUMPRODUCT(--ISNUMBER(MATCH(_xlpm._platform_keywords,_xlpm._original_keywords,0)))&gt;0,
_xlfn.IFS(AND(_xlpm._exists,LEFT($E123,1)="+"),"+",_xlpm._exists,"*",NOT(_xlpm._exists),"")
)</f>
        <v>*</v>
      </c>
      <c r="L123" s="33" t="str" cm="1">
        <f t="array" aca="1" ref="L12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($E123=CLASSIFICATION[[Keyword Aggr]:[Keyword Aggr]])*($D123=CLASSIFICATION[[Functional Scope Aggr]:[Functional Scope Aggr]])),
_xlpm._platform_keywords, _xlfn.TEXTSPLIT(SUBSTITUTE(SUBSTITUTE(VLOOKUP($D123,_xlpm._platform_range,3,FALSE),"+"&amp;CHAR(34),"+"),CHAR(34),""),", "),
_xlpm._exists, SUMPRODUCT(--ISNUMBER(MATCH(_xlpm._platform_keywords,_xlpm._original_keywords,0)))&gt;0,
_xlfn.IFS(AND(_xlpm._exists,LEFT($E123,1)="+"),"+",_xlpm._exists,"*",NOT(_xlpm._exists),"")
)</f>
        <v>*</v>
      </c>
      <c r="M123" s="33" t="str" cm="1">
        <f t="array" aca="1" ref="M12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($E123=CLASSIFICATION[[Keyword Aggr]:[Keyword Aggr]])*($D123=CLASSIFICATION[[Functional Scope Aggr]:[Functional Scope Aggr]])),
_xlpm._platform_keywords, _xlfn.TEXTSPLIT(SUBSTITUTE(SUBSTITUTE(VLOOKUP($D123,_xlpm._platform_range,3,FALSE),"+"&amp;CHAR(34),"+"),CHAR(34),""),", "),
_xlpm._exists, SUMPRODUCT(--ISNUMBER(MATCH(_xlpm._platform_keywords,_xlpm._original_keywords,0)))&gt;0,
_xlfn.IFS(AND(_xlpm._exists,LEFT($E123,1)="+"),"+",_xlpm._exists,"*",NOT(_xlpm._exists),"")
)</f>
        <v>*</v>
      </c>
      <c r="N123" s="33" t="str" cm="1">
        <f t="array" aca="1" ref="N12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($E123=CLASSIFICATION[[Keyword Aggr]:[Keyword Aggr]])*($D123=CLASSIFICATION[[Functional Scope Aggr]:[Functional Scope Aggr]])),
_xlpm._platform_keywords, _xlfn.TEXTSPLIT(SUBSTITUTE(SUBSTITUTE(VLOOKUP($D123,_xlpm._platform_range,3,FALSE),"+"&amp;CHAR(34),"+"),CHAR(34),""),", "),
_xlpm._exists, SUMPRODUCT(--ISNUMBER(MATCH(_xlpm._platform_keywords,_xlpm._original_keywords,0)))&gt;0,
_xlfn.IFS(AND(_xlpm._exists,LEFT($E123,1)="+"),"+",_xlpm._exists,"*",NOT(_xlpm._exists),"")
)</f>
        <v>*</v>
      </c>
      <c r="O123" s="33" t="str" cm="1">
        <f t="array" aca="1" ref="O12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($E123=CLASSIFICATION[[Keyword Aggr]:[Keyword Aggr]])*($D123=CLASSIFICATION[[Functional Scope Aggr]:[Functional Scope Aggr]])),
_xlpm._platform_keywords, _xlfn.TEXTSPLIT(SUBSTITUTE(SUBSTITUTE(VLOOKUP($D123,_xlpm._platform_range,3,FALSE),"+"&amp;CHAR(34),"+"),CHAR(34),""),", "),
_xlpm._exists, SUMPRODUCT(--ISNUMBER(MATCH(_xlpm._platform_keywords,_xlpm._original_keywords,0)))&gt;0,
_xlfn.IFS(AND(_xlpm._exists,LEFT($E123,1)="+"),"+",_xlpm._exists,"*",NOT(_xlpm._exists),"")
)</f>
        <v>*</v>
      </c>
      <c r="Q123" s="33" t="str" cm="1">
        <f t="array" aca="1" ref="Q12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($E123=CLASSIFICATION[[Keyword Aggr]:[Keyword Aggr]])*($D123=CLASSIFICATION[[Functional Scope Aggr]:[Functional Scope Aggr]])),
_xlpm._platform_keywords, _xlfn.TEXTSPLIT(SUBSTITUTE(SUBSTITUTE(VLOOKUP($D123,_xlpm._platform_range,3,FALSE),"+"&amp;CHAR(34),"+"),CHAR(34),""),", "),
_xlpm._exists, SUMPRODUCT(--ISNUMBER(MATCH(_xlpm._platform_keywords,_xlpm._original_keywords,0)))&gt;0,
_xlfn.IFS(_xlpm._exists,1,NOT(_xlpm._exists),"")
)</f>
        <v/>
      </c>
      <c r="R123" s="33" cm="1">
        <f t="array" aca="1" ref="R12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($E123=CLASSIFICATION[[Keyword Aggr]:[Keyword Aggr]])*($D123=CLASSIFICATION[[Functional Scope Aggr]:[Functional Scope Aggr]])),
_xlpm._platform_keywords, _xlfn.TEXTSPLIT(SUBSTITUTE(SUBSTITUTE(VLOOKUP($D123,_xlpm._platform_range,3,FALSE),"+"&amp;CHAR(34),"+"),CHAR(34),""),", "),
_xlpm._exists, SUMPRODUCT(--ISNUMBER(MATCH(_xlpm._platform_keywords,_xlpm._original_keywords,0)))&gt;0,
_xlfn.IFS(_xlpm._exists,1,NOT(_xlpm._exists),"")
)</f>
        <v>1</v>
      </c>
      <c r="S123" s="33" cm="1">
        <f t="array" aca="1" ref="S12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($E123=CLASSIFICATION[[Keyword Aggr]:[Keyword Aggr]])*($D123=CLASSIFICATION[[Functional Scope Aggr]:[Functional Scope Aggr]])),
_xlpm._platform_keywords, _xlfn.TEXTSPLIT(SUBSTITUTE(SUBSTITUTE(VLOOKUP($D123,_xlpm._platform_range,3,FALSE),"+"&amp;CHAR(34),"+"),CHAR(34),""),", "),
_xlpm._exists, SUMPRODUCT(--ISNUMBER(MATCH(_xlpm._platform_keywords,_xlpm._original_keywords,0)))&gt;0,
_xlfn.IFS(_xlpm._exists,1,NOT(_xlpm._exists),"")
)</f>
        <v>1</v>
      </c>
      <c r="T123" s="33" cm="1">
        <f t="array" aca="1" ref="T12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($E123=CLASSIFICATION[[Keyword Aggr]:[Keyword Aggr]])*($D123=CLASSIFICATION[[Functional Scope Aggr]:[Functional Scope Aggr]])),
_xlpm._platform_keywords, _xlfn.TEXTSPLIT(SUBSTITUTE(SUBSTITUTE(VLOOKUP($D123,_xlpm._platform_range,3,FALSE),"+"&amp;CHAR(34),"+"),CHAR(34),""),", "),
_xlpm._exists, SUMPRODUCT(--ISNUMBER(MATCH(_xlpm._platform_keywords,_xlpm._original_keywords,0)))&gt;0,
_xlfn.IFS(_xlpm._exists,1,NOT(_xlpm._exists),"")
)</f>
        <v>1</v>
      </c>
      <c r="U123" s="33" cm="1">
        <f t="array" aca="1" ref="U12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($E123=CLASSIFICATION[[Keyword Aggr]:[Keyword Aggr]])*($D123=CLASSIFICATION[[Functional Scope Aggr]:[Functional Scope Aggr]])),
_xlpm._platform_keywords, _xlfn.TEXTSPLIT(SUBSTITUTE(SUBSTITUTE(VLOOKUP($D123,_xlpm._platform_range,3,FALSE),"+"&amp;CHAR(34),"+"),CHAR(34),""),", "),
_xlpm._exists, SUMPRODUCT(--ISNUMBER(MATCH(_xlpm._platform_keywords,_xlpm._original_keywords,0)))&gt;0,
_xlfn.IFS(_xlpm._exists,1,NOT(_xlpm._exists),"")
)</f>
        <v>1</v>
      </c>
      <c r="V123" s="33" cm="1">
        <f t="array" aca="1" ref="V12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($E123=CLASSIFICATION[[Keyword Aggr]:[Keyword Aggr]])*($D123=CLASSIFICATION[[Functional Scope Aggr]:[Functional Scope Aggr]])),
_xlpm._platform_keywords, _xlfn.TEXTSPLIT(SUBSTITUTE(SUBSTITUTE(VLOOKUP($D123,_xlpm._platform_range,3,FALSE),"+"&amp;CHAR(34),"+"),CHAR(34),""),", "),
_xlpm._exists, SUMPRODUCT(--ISNUMBER(MATCH(_xlpm._platform_keywords,_xlpm._original_keywords,0)))&gt;0,
_xlfn.IFS(_xlpm._exists,1,NOT(_xlpm._exists),"")
)</f>
        <v>1</v>
      </c>
      <c r="X123" s="33" t="str">
        <f t="shared" si="14"/>
        <v/>
      </c>
      <c r="Y123" s="33" t="str">
        <f t="shared" si="15"/>
        <v/>
      </c>
      <c r="Z123" s="33" t="str">
        <f t="shared" si="16"/>
        <v/>
      </c>
      <c r="AA123" s="33" t="str">
        <f t="shared" si="17"/>
        <v/>
      </c>
      <c r="AB123" s="33" t="str">
        <f t="shared" si="18"/>
        <v/>
      </c>
      <c r="AC123" s="33" t="str">
        <f t="shared" si="19"/>
        <v/>
      </c>
    </row>
    <row r="124" spans="1:29" x14ac:dyDescent="0.25">
      <c r="A124" s="19" t="str">
        <v>Development,Actions design and development,Functions</v>
      </c>
      <c r="B124" t="s">
        <v>377</v>
      </c>
      <c r="C124" s="19" t="str" cm="1">
        <f t="array" ref="C124:E124">_xlfn.TEXTSPLIT(A124,",")</f>
        <v>Development</v>
      </c>
      <c r="D124" s="19" t="str">
        <v>Actions design and development</v>
      </c>
      <c r="E124" s="19" t="str">
        <v>Functions</v>
      </c>
      <c r="F124" s="36" t="str" cm="1">
        <f t="array" ref="F124">_xlfn.TEXTJOIN(",",TRUE,_xlfn._xlws.FILTER(CLASSIFICATION[Keyword], ($E124=CLASSIFICATION[Keyword Aggr])*($D124=CLASSIFICATION[Functional Scope Aggr])))</f>
        <v>Functions</v>
      </c>
      <c r="G124" s="32" t="str">
        <f t="shared" si="11"/>
        <v/>
      </c>
      <c r="H124" s="32" t="str">
        <f t="shared" si="12"/>
        <v/>
      </c>
      <c r="I124" s="32" t="str">
        <f t="shared" si="13"/>
        <v>Functions</v>
      </c>
      <c r="J124" s="33" t="str" cm="1">
        <f t="array" aca="1" ref="J12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($E124=CLASSIFICATION[[Keyword Aggr]:[Keyword Aggr]])*($D124=CLASSIFICATION[[Functional Scope Aggr]:[Functional Scope Aggr]])),
_xlpm._platform_keywords, _xlfn.TEXTSPLIT(SUBSTITUTE(SUBSTITUTE(VLOOKUP($D124,_xlpm._platform_range,3,FALSE),"+"&amp;CHAR(34),"+"),CHAR(34),""),", "),
_xlpm._exists, SUMPRODUCT(--ISNUMBER(MATCH(_xlpm._platform_keywords,_xlpm._original_keywords,0)))&gt;0,
_xlfn.IFS(AND(_xlpm._exists,LEFT($E124,1)="+"),"+",_xlpm._exists,"*",NOT(_xlpm._exists),"")
)</f>
        <v/>
      </c>
      <c r="K124" s="33" t="str" cm="1">
        <f t="array" aca="1" ref="K12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($E124=CLASSIFICATION[[Keyword Aggr]:[Keyword Aggr]])*($D124=CLASSIFICATION[[Functional Scope Aggr]:[Functional Scope Aggr]])),
_xlpm._platform_keywords, _xlfn.TEXTSPLIT(SUBSTITUTE(SUBSTITUTE(VLOOKUP($D124,_xlpm._platform_range,3,FALSE),"+"&amp;CHAR(34),"+"),CHAR(34),""),", "),
_xlpm._exists, SUMPRODUCT(--ISNUMBER(MATCH(_xlpm._platform_keywords,_xlpm._original_keywords,0)))&gt;0,
_xlfn.IFS(AND(_xlpm._exists,LEFT($E124,1)="+"),"+",_xlpm._exists,"*",NOT(_xlpm._exists),"")
)</f>
        <v/>
      </c>
      <c r="L124" s="33" t="str" cm="1">
        <f t="array" aca="1" ref="L12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($E124=CLASSIFICATION[[Keyword Aggr]:[Keyword Aggr]])*($D124=CLASSIFICATION[[Functional Scope Aggr]:[Functional Scope Aggr]])),
_xlpm._platform_keywords, _xlfn.TEXTSPLIT(SUBSTITUTE(SUBSTITUTE(VLOOKUP($D124,_xlpm._platform_range,3,FALSE),"+"&amp;CHAR(34),"+"),CHAR(34),""),", "),
_xlpm._exists, SUMPRODUCT(--ISNUMBER(MATCH(_xlpm._platform_keywords,_xlpm._original_keywords,0)))&gt;0,
_xlfn.IFS(AND(_xlpm._exists,LEFT($E124,1)="+"),"+",_xlpm._exists,"*",NOT(_xlpm._exists),"")
)</f>
        <v/>
      </c>
      <c r="M124" s="33" t="str" cm="1">
        <f t="array" aca="1" ref="M12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($E124=CLASSIFICATION[[Keyword Aggr]:[Keyword Aggr]])*($D124=CLASSIFICATION[[Functional Scope Aggr]:[Functional Scope Aggr]])),
_xlpm._platform_keywords, _xlfn.TEXTSPLIT(SUBSTITUTE(SUBSTITUTE(VLOOKUP($D124,_xlpm._platform_range,3,FALSE),"+"&amp;CHAR(34),"+"),CHAR(34),""),", "),
_xlpm._exists, SUMPRODUCT(--ISNUMBER(MATCH(_xlpm._platform_keywords,_xlpm._original_keywords,0)))&gt;0,
_xlfn.IFS(AND(_xlpm._exists,LEFT($E124,1)="+"),"+",_xlpm._exists,"*",NOT(_xlpm._exists),"")
)</f>
        <v/>
      </c>
      <c r="N124" s="33" t="str" cm="1">
        <f t="array" aca="1" ref="N12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($E124=CLASSIFICATION[[Keyword Aggr]:[Keyword Aggr]])*($D124=CLASSIFICATION[[Functional Scope Aggr]:[Functional Scope Aggr]])),
_xlpm._platform_keywords, _xlfn.TEXTSPLIT(SUBSTITUTE(SUBSTITUTE(VLOOKUP($D124,_xlpm._platform_range,3,FALSE),"+"&amp;CHAR(34),"+"),CHAR(34),""),", "),
_xlpm._exists, SUMPRODUCT(--ISNUMBER(MATCH(_xlpm._platform_keywords,_xlpm._original_keywords,0)))&gt;0,
_xlfn.IFS(AND(_xlpm._exists,LEFT($E124,1)="+"),"+",_xlpm._exists,"*",NOT(_xlpm._exists),"")
)</f>
        <v>*</v>
      </c>
      <c r="O124" s="33" t="str" cm="1">
        <f t="array" aca="1" ref="O12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($E124=CLASSIFICATION[[Keyword Aggr]:[Keyword Aggr]])*($D124=CLASSIFICATION[[Functional Scope Aggr]:[Functional Scope Aggr]])),
_xlpm._platform_keywords, _xlfn.TEXTSPLIT(SUBSTITUTE(SUBSTITUTE(VLOOKUP($D124,_xlpm._platform_range,3,FALSE),"+"&amp;CHAR(34),"+"),CHAR(34),""),", "),
_xlpm._exists, SUMPRODUCT(--ISNUMBER(MATCH(_xlpm._platform_keywords,_xlpm._original_keywords,0)))&gt;0,
_xlfn.IFS(AND(_xlpm._exists,LEFT($E124,1)="+"),"+",_xlpm._exists,"*",NOT(_xlpm._exists),"")
)</f>
        <v/>
      </c>
      <c r="Q124" s="33" t="str" cm="1">
        <f t="array" aca="1" ref="Q12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($E124=CLASSIFICATION[[Keyword Aggr]:[Keyword Aggr]])*($D124=CLASSIFICATION[[Functional Scope Aggr]:[Functional Scope Aggr]])),
_xlpm._platform_keywords, _xlfn.TEXTSPLIT(SUBSTITUTE(SUBSTITUTE(VLOOKUP($D124,_xlpm._platform_range,3,FALSE),"+"&amp;CHAR(34),"+"),CHAR(34),""),", "),
_xlpm._exists, SUMPRODUCT(--ISNUMBER(MATCH(_xlpm._platform_keywords,_xlpm._original_keywords,0)))&gt;0,
_xlfn.IFS(_xlpm._exists,1,NOT(_xlpm._exists),"")
)</f>
        <v/>
      </c>
      <c r="R124" s="33" t="str" cm="1">
        <f t="array" aca="1" ref="R12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($E124=CLASSIFICATION[[Keyword Aggr]:[Keyword Aggr]])*($D124=CLASSIFICATION[[Functional Scope Aggr]:[Functional Scope Aggr]])),
_xlpm._platform_keywords, _xlfn.TEXTSPLIT(SUBSTITUTE(SUBSTITUTE(VLOOKUP($D124,_xlpm._platform_range,3,FALSE),"+"&amp;CHAR(34),"+"),CHAR(34),""),", "),
_xlpm._exists, SUMPRODUCT(--ISNUMBER(MATCH(_xlpm._platform_keywords,_xlpm._original_keywords,0)))&gt;0,
_xlfn.IFS(_xlpm._exists,1,NOT(_xlpm._exists),"")
)</f>
        <v/>
      </c>
      <c r="S124" s="33" t="str" cm="1">
        <f t="array" aca="1" ref="S12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($E124=CLASSIFICATION[[Keyword Aggr]:[Keyword Aggr]])*($D124=CLASSIFICATION[[Functional Scope Aggr]:[Functional Scope Aggr]])),
_xlpm._platform_keywords, _xlfn.TEXTSPLIT(SUBSTITUTE(SUBSTITUTE(VLOOKUP($D124,_xlpm._platform_range,3,FALSE),"+"&amp;CHAR(34),"+"),CHAR(34),""),", "),
_xlpm._exists, SUMPRODUCT(--ISNUMBER(MATCH(_xlpm._platform_keywords,_xlpm._original_keywords,0)))&gt;0,
_xlfn.IFS(_xlpm._exists,1,NOT(_xlpm._exists),"")
)</f>
        <v/>
      </c>
      <c r="T124" s="33" t="str" cm="1">
        <f t="array" aca="1" ref="T12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($E124=CLASSIFICATION[[Keyword Aggr]:[Keyword Aggr]])*($D124=CLASSIFICATION[[Functional Scope Aggr]:[Functional Scope Aggr]])),
_xlpm._platform_keywords, _xlfn.TEXTSPLIT(SUBSTITUTE(SUBSTITUTE(VLOOKUP($D124,_xlpm._platform_range,3,FALSE),"+"&amp;CHAR(34),"+"),CHAR(34),""),", "),
_xlpm._exists, SUMPRODUCT(--ISNUMBER(MATCH(_xlpm._platform_keywords,_xlpm._original_keywords,0)))&gt;0,
_xlfn.IFS(_xlpm._exists,1,NOT(_xlpm._exists),"")
)</f>
        <v/>
      </c>
      <c r="U124" s="33" cm="1">
        <f t="array" aca="1" ref="U12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($E124=CLASSIFICATION[[Keyword Aggr]:[Keyword Aggr]])*($D124=CLASSIFICATION[[Functional Scope Aggr]:[Functional Scope Aggr]])),
_xlpm._platform_keywords, _xlfn.TEXTSPLIT(SUBSTITUTE(SUBSTITUTE(VLOOKUP($D124,_xlpm._platform_range,3,FALSE),"+"&amp;CHAR(34),"+"),CHAR(34),""),", "),
_xlpm._exists, SUMPRODUCT(--ISNUMBER(MATCH(_xlpm._platform_keywords,_xlpm._original_keywords,0)))&gt;0,
_xlfn.IFS(_xlpm._exists,1,NOT(_xlpm._exists),"")
)</f>
        <v>1</v>
      </c>
      <c r="V124" s="33" t="str" cm="1">
        <f t="array" aca="1" ref="V12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($E124=CLASSIFICATION[[Keyword Aggr]:[Keyword Aggr]])*($D124=CLASSIFICATION[[Functional Scope Aggr]:[Functional Scope Aggr]])),
_xlpm._platform_keywords, _xlfn.TEXTSPLIT(SUBSTITUTE(SUBSTITUTE(VLOOKUP($D124,_xlpm._platform_range,3,FALSE),"+"&amp;CHAR(34),"+"),CHAR(34),""),", "),
_xlpm._exists, SUMPRODUCT(--ISNUMBER(MATCH(_xlpm._platform_keywords,_xlpm._original_keywords,0)))&gt;0,
_xlfn.IFS(_xlpm._exists,1,NOT(_xlpm._exists),"")
)</f>
        <v/>
      </c>
      <c r="X124" s="33" t="str">
        <f t="shared" si="14"/>
        <v/>
      </c>
      <c r="Y124" s="33" t="str">
        <f t="shared" si="15"/>
        <v/>
      </c>
      <c r="Z124" s="33" t="str">
        <f t="shared" si="16"/>
        <v/>
      </c>
      <c r="AA124" s="33" t="str">
        <f t="shared" si="17"/>
        <v/>
      </c>
      <c r="AB124" s="33" t="str">
        <f t="shared" si="18"/>
        <v/>
      </c>
      <c r="AC124" s="33" t="str">
        <f t="shared" si="19"/>
        <v/>
      </c>
    </row>
    <row r="125" spans="1:29" x14ac:dyDescent="0.25">
      <c r="A125" s="19" t="str">
        <v>Development,Actions design and development,Java</v>
      </c>
      <c r="B125" t="s">
        <v>377</v>
      </c>
      <c r="C125" s="19" t="str" cm="1">
        <f t="array" ref="C125:E125">_xlfn.TEXTSPLIT(A125,",")</f>
        <v>Development</v>
      </c>
      <c r="D125" s="19" t="str">
        <v>Actions design and development</v>
      </c>
      <c r="E125" s="19" t="str">
        <v>Java</v>
      </c>
      <c r="F125" s="36" t="str" cm="1">
        <f t="array" ref="F125">_xlfn.TEXTJOIN(",",TRUE,_xlfn._xlws.FILTER(CLASSIFICATION[Keyword], ($E125=CLASSIFICATION[Keyword Aggr])*($D125=CLASSIFICATION[Functional Scope Aggr])))</f>
        <v>Java</v>
      </c>
      <c r="G125" s="32" t="str">
        <f t="shared" si="11"/>
        <v/>
      </c>
      <c r="H125" s="32" t="str">
        <f t="shared" si="12"/>
        <v/>
      </c>
      <c r="I125" s="32" t="str">
        <f t="shared" si="13"/>
        <v>Java</v>
      </c>
      <c r="J125" s="33" t="str" cm="1">
        <f t="array" aca="1" ref="J12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($E125=CLASSIFICATION[[Keyword Aggr]:[Keyword Aggr]])*($D125=CLASSIFICATION[[Functional Scope Aggr]:[Functional Scope Aggr]])),
_xlpm._platform_keywords, _xlfn.TEXTSPLIT(SUBSTITUTE(SUBSTITUTE(VLOOKUP($D125,_xlpm._platform_range,3,FALSE),"+"&amp;CHAR(34),"+"),CHAR(34),""),", "),
_xlpm._exists, SUMPRODUCT(--ISNUMBER(MATCH(_xlpm._platform_keywords,_xlpm._original_keywords,0)))&gt;0,
_xlfn.IFS(AND(_xlpm._exists,LEFT($E125,1)="+"),"+",_xlpm._exists,"*",NOT(_xlpm._exists),"")
)</f>
        <v>*</v>
      </c>
      <c r="K125" s="33" t="str" cm="1">
        <f t="array" aca="1" ref="K12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($E125=CLASSIFICATION[[Keyword Aggr]:[Keyword Aggr]])*($D125=CLASSIFICATION[[Functional Scope Aggr]:[Functional Scope Aggr]])),
_xlpm._platform_keywords, _xlfn.TEXTSPLIT(SUBSTITUTE(SUBSTITUTE(VLOOKUP($D125,_xlpm._platform_range,3,FALSE),"+"&amp;CHAR(34),"+"),CHAR(34),""),", "),
_xlpm._exists, SUMPRODUCT(--ISNUMBER(MATCH(_xlpm._platform_keywords,_xlpm._original_keywords,0)))&gt;0,
_xlfn.IFS(AND(_xlpm._exists,LEFT($E125,1)="+"),"+",_xlpm._exists,"*",NOT(_xlpm._exists),"")
)</f>
        <v/>
      </c>
      <c r="L125" s="33" t="str" cm="1">
        <f t="array" aca="1" ref="L12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($E125=CLASSIFICATION[[Keyword Aggr]:[Keyword Aggr]])*($D125=CLASSIFICATION[[Functional Scope Aggr]:[Functional Scope Aggr]])),
_xlpm._platform_keywords, _xlfn.TEXTSPLIT(SUBSTITUTE(SUBSTITUTE(VLOOKUP($D125,_xlpm._platform_range,3,FALSE),"+"&amp;CHAR(34),"+"),CHAR(34),""),", "),
_xlpm._exists, SUMPRODUCT(--ISNUMBER(MATCH(_xlpm._platform_keywords,_xlpm._original_keywords,0)))&gt;0,
_xlfn.IFS(AND(_xlpm._exists,LEFT($E125,1)="+"),"+",_xlpm._exists,"*",NOT(_xlpm._exists),"")
)</f>
        <v/>
      </c>
      <c r="M125" s="33" t="str" cm="1">
        <f t="array" aca="1" ref="M12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($E125=CLASSIFICATION[[Keyword Aggr]:[Keyword Aggr]])*($D125=CLASSIFICATION[[Functional Scope Aggr]:[Functional Scope Aggr]])),
_xlpm._platform_keywords, _xlfn.TEXTSPLIT(SUBSTITUTE(SUBSTITUTE(VLOOKUP($D125,_xlpm._platform_range,3,FALSE),"+"&amp;CHAR(34),"+"),CHAR(34),""),", "),
_xlpm._exists, SUMPRODUCT(--ISNUMBER(MATCH(_xlpm._platform_keywords,_xlpm._original_keywords,0)))&gt;0,
_xlfn.IFS(AND(_xlpm._exists,LEFT($E125,1)="+"),"+",_xlpm._exists,"*",NOT(_xlpm._exists),"")
)</f>
        <v/>
      </c>
      <c r="N125" s="33" t="str" cm="1">
        <f t="array" aca="1" ref="N12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($E125=CLASSIFICATION[[Keyword Aggr]:[Keyword Aggr]])*($D125=CLASSIFICATION[[Functional Scope Aggr]:[Functional Scope Aggr]])),
_xlpm._platform_keywords, _xlfn.TEXTSPLIT(SUBSTITUTE(SUBSTITUTE(VLOOKUP($D125,_xlpm._platform_range,3,FALSE),"+"&amp;CHAR(34),"+"),CHAR(34),""),", "),
_xlpm._exists, SUMPRODUCT(--ISNUMBER(MATCH(_xlpm._platform_keywords,_xlpm._original_keywords,0)))&gt;0,
_xlfn.IFS(AND(_xlpm._exists,LEFT($E125,1)="+"),"+",_xlpm._exists,"*",NOT(_xlpm._exists),"")
)</f>
        <v/>
      </c>
      <c r="O125" s="33" t="str" cm="1">
        <f t="array" aca="1" ref="O12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($E125=CLASSIFICATION[[Keyword Aggr]:[Keyword Aggr]])*($D125=CLASSIFICATION[[Functional Scope Aggr]:[Functional Scope Aggr]])),
_xlpm._platform_keywords, _xlfn.TEXTSPLIT(SUBSTITUTE(SUBSTITUTE(VLOOKUP($D125,_xlpm._platform_range,3,FALSE),"+"&amp;CHAR(34),"+"),CHAR(34),""),", "),
_xlpm._exists, SUMPRODUCT(--ISNUMBER(MATCH(_xlpm._platform_keywords,_xlpm._original_keywords,0)))&gt;0,
_xlfn.IFS(AND(_xlpm._exists,LEFT($E125,1)="+"),"+",_xlpm._exists,"*",NOT(_xlpm._exists),"")
)</f>
        <v/>
      </c>
      <c r="Q125" s="33" cm="1">
        <f t="array" aca="1" ref="Q12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($E125=CLASSIFICATION[[Keyword Aggr]:[Keyword Aggr]])*($D125=CLASSIFICATION[[Functional Scope Aggr]:[Functional Scope Aggr]])),
_xlpm._platform_keywords, _xlfn.TEXTSPLIT(SUBSTITUTE(SUBSTITUTE(VLOOKUP($D125,_xlpm._platform_range,3,FALSE),"+"&amp;CHAR(34),"+"),CHAR(34),""),", "),
_xlpm._exists, SUMPRODUCT(--ISNUMBER(MATCH(_xlpm._platform_keywords,_xlpm._original_keywords,0)))&gt;0,
_xlfn.IFS(_xlpm._exists,1,NOT(_xlpm._exists),"")
)</f>
        <v>1</v>
      </c>
      <c r="R125" s="33" t="str" cm="1">
        <f t="array" aca="1" ref="R12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($E125=CLASSIFICATION[[Keyword Aggr]:[Keyword Aggr]])*($D125=CLASSIFICATION[[Functional Scope Aggr]:[Functional Scope Aggr]])),
_xlpm._platform_keywords, _xlfn.TEXTSPLIT(SUBSTITUTE(SUBSTITUTE(VLOOKUP($D125,_xlpm._platform_range,3,FALSE),"+"&amp;CHAR(34),"+"),CHAR(34),""),", "),
_xlpm._exists, SUMPRODUCT(--ISNUMBER(MATCH(_xlpm._platform_keywords,_xlpm._original_keywords,0)))&gt;0,
_xlfn.IFS(_xlpm._exists,1,NOT(_xlpm._exists),"")
)</f>
        <v/>
      </c>
      <c r="S125" s="33" t="str" cm="1">
        <f t="array" aca="1" ref="S12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($E125=CLASSIFICATION[[Keyword Aggr]:[Keyword Aggr]])*($D125=CLASSIFICATION[[Functional Scope Aggr]:[Functional Scope Aggr]])),
_xlpm._platform_keywords, _xlfn.TEXTSPLIT(SUBSTITUTE(SUBSTITUTE(VLOOKUP($D125,_xlpm._platform_range,3,FALSE),"+"&amp;CHAR(34),"+"),CHAR(34),""),", "),
_xlpm._exists, SUMPRODUCT(--ISNUMBER(MATCH(_xlpm._platform_keywords,_xlpm._original_keywords,0)))&gt;0,
_xlfn.IFS(_xlpm._exists,1,NOT(_xlpm._exists),"")
)</f>
        <v/>
      </c>
      <c r="T125" s="33" t="str" cm="1">
        <f t="array" aca="1" ref="T12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($E125=CLASSIFICATION[[Keyword Aggr]:[Keyword Aggr]])*($D125=CLASSIFICATION[[Functional Scope Aggr]:[Functional Scope Aggr]])),
_xlpm._platform_keywords, _xlfn.TEXTSPLIT(SUBSTITUTE(SUBSTITUTE(VLOOKUP($D125,_xlpm._platform_range,3,FALSE),"+"&amp;CHAR(34),"+"),CHAR(34),""),", "),
_xlpm._exists, SUMPRODUCT(--ISNUMBER(MATCH(_xlpm._platform_keywords,_xlpm._original_keywords,0)))&gt;0,
_xlfn.IFS(_xlpm._exists,1,NOT(_xlpm._exists),"")
)</f>
        <v/>
      </c>
      <c r="U125" s="33" t="str" cm="1">
        <f t="array" aca="1" ref="U12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($E125=CLASSIFICATION[[Keyword Aggr]:[Keyword Aggr]])*($D125=CLASSIFICATION[[Functional Scope Aggr]:[Functional Scope Aggr]])),
_xlpm._platform_keywords, _xlfn.TEXTSPLIT(SUBSTITUTE(SUBSTITUTE(VLOOKUP($D125,_xlpm._platform_range,3,FALSE),"+"&amp;CHAR(34),"+"),CHAR(34),""),", "),
_xlpm._exists, SUMPRODUCT(--ISNUMBER(MATCH(_xlpm._platform_keywords,_xlpm._original_keywords,0)))&gt;0,
_xlfn.IFS(_xlpm._exists,1,NOT(_xlpm._exists),"")
)</f>
        <v/>
      </c>
      <c r="V125" s="33" t="str" cm="1">
        <f t="array" aca="1" ref="V12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($E125=CLASSIFICATION[[Keyword Aggr]:[Keyword Aggr]])*($D125=CLASSIFICATION[[Functional Scope Aggr]:[Functional Scope Aggr]])),
_xlpm._platform_keywords, _xlfn.TEXTSPLIT(SUBSTITUTE(SUBSTITUTE(VLOOKUP($D125,_xlpm._platform_range,3,FALSE),"+"&amp;CHAR(34),"+"),CHAR(34),""),", "),
_xlpm._exists, SUMPRODUCT(--ISNUMBER(MATCH(_xlpm._platform_keywords,_xlpm._original_keywords,0)))&gt;0,
_xlfn.IFS(_xlpm._exists,1,NOT(_xlpm._exists),"")
)</f>
        <v/>
      </c>
      <c r="X125" s="33" t="str">
        <f t="shared" si="14"/>
        <v/>
      </c>
      <c r="Y125" s="33" t="str">
        <f t="shared" si="15"/>
        <v/>
      </c>
      <c r="Z125" s="33" t="str">
        <f t="shared" si="16"/>
        <v/>
      </c>
      <c r="AA125" s="33" t="str">
        <f t="shared" si="17"/>
        <v/>
      </c>
      <c r="AB125" s="33" t="str">
        <f t="shared" si="18"/>
        <v/>
      </c>
      <c r="AC125" s="33" t="str">
        <f t="shared" si="19"/>
        <v/>
      </c>
    </row>
    <row r="126" spans="1:29" x14ac:dyDescent="0.25">
      <c r="A126" s="19" t="str">
        <v>Development,Actions design and development,JavaScript</v>
      </c>
      <c r="B126" t="s">
        <v>377</v>
      </c>
      <c r="C126" s="19" t="str" cm="1">
        <f t="array" ref="C126:E126">_xlfn.TEXTSPLIT(A126,",")</f>
        <v>Development</v>
      </c>
      <c r="D126" s="19" t="str">
        <v>Actions design and development</v>
      </c>
      <c r="E126" s="19" t="str">
        <v>JavaScript</v>
      </c>
      <c r="F126" s="36" t="str" cm="1">
        <f t="array" ref="F126">_xlfn.TEXTJOIN(",",TRUE,_xlfn._xlws.FILTER(CLASSIFICATION[Keyword], ($E126=CLASSIFICATION[Keyword Aggr])*($D126=CLASSIFICATION[Functional Scope Aggr])))</f>
        <v>JavaScript</v>
      </c>
      <c r="G126" s="32" t="str">
        <f t="shared" si="11"/>
        <v/>
      </c>
      <c r="H126" s="32" t="str">
        <f t="shared" si="12"/>
        <v/>
      </c>
      <c r="I126" s="32" t="str">
        <f t="shared" si="13"/>
        <v>JavaScript</v>
      </c>
      <c r="J126" s="33" t="str" cm="1">
        <f t="array" aca="1" ref="J12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($E126=CLASSIFICATION[[Keyword Aggr]:[Keyword Aggr]])*($D126=CLASSIFICATION[[Functional Scope Aggr]:[Functional Scope Aggr]])),
_xlpm._platform_keywords, _xlfn.TEXTSPLIT(SUBSTITUTE(SUBSTITUTE(VLOOKUP($D126,_xlpm._platform_range,3,FALSE),"+"&amp;CHAR(34),"+"),CHAR(34),""),", "),
_xlpm._exists, SUMPRODUCT(--ISNUMBER(MATCH(_xlpm._platform_keywords,_xlpm._original_keywords,0)))&gt;0,
_xlfn.IFS(AND(_xlpm._exists,LEFT($E126,1)="+"),"+",_xlpm._exists,"*",NOT(_xlpm._exists),"")
)</f>
        <v>*</v>
      </c>
      <c r="K126" s="33" t="str" cm="1">
        <f t="array" aca="1" ref="K12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($E126=CLASSIFICATION[[Keyword Aggr]:[Keyword Aggr]])*($D126=CLASSIFICATION[[Functional Scope Aggr]:[Functional Scope Aggr]])),
_xlpm._platform_keywords, _xlfn.TEXTSPLIT(SUBSTITUTE(SUBSTITUTE(VLOOKUP($D126,_xlpm._platform_range,3,FALSE),"+"&amp;CHAR(34),"+"),CHAR(34),""),", "),
_xlpm._exists, SUMPRODUCT(--ISNUMBER(MATCH(_xlpm._platform_keywords,_xlpm._original_keywords,0)))&gt;0,
_xlfn.IFS(AND(_xlpm._exists,LEFT($E126,1)="+"),"+",_xlpm._exists,"*",NOT(_xlpm._exists),"")
)</f>
        <v>*</v>
      </c>
      <c r="L126" s="33" t="str" cm="1">
        <f t="array" aca="1" ref="L12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($E126=CLASSIFICATION[[Keyword Aggr]:[Keyword Aggr]])*($D126=CLASSIFICATION[[Functional Scope Aggr]:[Functional Scope Aggr]])),
_xlpm._platform_keywords, _xlfn.TEXTSPLIT(SUBSTITUTE(SUBSTITUTE(VLOOKUP($D126,_xlpm._platform_range,3,FALSE),"+"&amp;CHAR(34),"+"),CHAR(34),""),", "),
_xlpm._exists, SUMPRODUCT(--ISNUMBER(MATCH(_xlpm._platform_keywords,_xlpm._original_keywords,0)))&gt;0,
_xlfn.IFS(AND(_xlpm._exists,LEFT($E126,1)="+"),"+",_xlpm._exists,"*",NOT(_xlpm._exists),"")
)</f>
        <v/>
      </c>
      <c r="M126" s="33" t="str" cm="1">
        <f t="array" aca="1" ref="M12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($E126=CLASSIFICATION[[Keyword Aggr]:[Keyword Aggr]])*($D126=CLASSIFICATION[[Functional Scope Aggr]:[Functional Scope Aggr]])),
_xlpm._platform_keywords, _xlfn.TEXTSPLIT(SUBSTITUTE(SUBSTITUTE(VLOOKUP($D126,_xlpm._platform_range,3,FALSE),"+"&amp;CHAR(34),"+"),CHAR(34),""),", "),
_xlpm._exists, SUMPRODUCT(--ISNUMBER(MATCH(_xlpm._platform_keywords,_xlpm._original_keywords,0)))&gt;0,
_xlfn.IFS(AND(_xlpm._exists,LEFT($E126,1)="+"),"+",_xlpm._exists,"*",NOT(_xlpm._exists),"")
)</f>
        <v>*</v>
      </c>
      <c r="N126" s="33" t="str" cm="1">
        <f t="array" aca="1" ref="N12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($E126=CLASSIFICATION[[Keyword Aggr]:[Keyword Aggr]])*($D126=CLASSIFICATION[[Functional Scope Aggr]:[Functional Scope Aggr]])),
_xlpm._platform_keywords, _xlfn.TEXTSPLIT(SUBSTITUTE(SUBSTITUTE(VLOOKUP($D126,_xlpm._platform_range,3,FALSE),"+"&amp;CHAR(34),"+"),CHAR(34),""),", "),
_xlpm._exists, SUMPRODUCT(--ISNUMBER(MATCH(_xlpm._platform_keywords,_xlpm._original_keywords,0)))&gt;0,
_xlfn.IFS(AND(_xlpm._exists,LEFT($E126,1)="+"),"+",_xlpm._exists,"*",NOT(_xlpm._exists),"")
)</f>
        <v/>
      </c>
      <c r="O126" s="33" t="str" cm="1">
        <f t="array" aca="1" ref="O12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($E126=CLASSIFICATION[[Keyword Aggr]:[Keyword Aggr]])*($D126=CLASSIFICATION[[Functional Scope Aggr]:[Functional Scope Aggr]])),
_xlpm._platform_keywords, _xlfn.TEXTSPLIT(SUBSTITUTE(SUBSTITUTE(VLOOKUP($D126,_xlpm._platform_range,3,FALSE),"+"&amp;CHAR(34),"+"),CHAR(34),""),", "),
_xlpm._exists, SUMPRODUCT(--ISNUMBER(MATCH(_xlpm._platform_keywords,_xlpm._original_keywords,0)))&gt;0,
_xlfn.IFS(AND(_xlpm._exists,LEFT($E126,1)="+"),"+",_xlpm._exists,"*",NOT(_xlpm._exists),"")
)</f>
        <v/>
      </c>
      <c r="Q126" s="33" cm="1">
        <f t="array" aca="1" ref="Q12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($E126=CLASSIFICATION[[Keyword Aggr]:[Keyword Aggr]])*($D126=CLASSIFICATION[[Functional Scope Aggr]:[Functional Scope Aggr]])),
_xlpm._platform_keywords, _xlfn.TEXTSPLIT(SUBSTITUTE(SUBSTITUTE(VLOOKUP($D126,_xlpm._platform_range,3,FALSE),"+"&amp;CHAR(34),"+"),CHAR(34),""),", "),
_xlpm._exists, SUMPRODUCT(--ISNUMBER(MATCH(_xlpm._platform_keywords,_xlpm._original_keywords,0)))&gt;0,
_xlfn.IFS(_xlpm._exists,1,NOT(_xlpm._exists),"")
)</f>
        <v>1</v>
      </c>
      <c r="R126" s="33" cm="1">
        <f t="array" aca="1" ref="R12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($E126=CLASSIFICATION[[Keyword Aggr]:[Keyword Aggr]])*($D126=CLASSIFICATION[[Functional Scope Aggr]:[Functional Scope Aggr]])),
_xlpm._platform_keywords, _xlfn.TEXTSPLIT(SUBSTITUTE(SUBSTITUTE(VLOOKUP($D126,_xlpm._platform_range,3,FALSE),"+"&amp;CHAR(34),"+"),CHAR(34),""),", "),
_xlpm._exists, SUMPRODUCT(--ISNUMBER(MATCH(_xlpm._platform_keywords,_xlpm._original_keywords,0)))&gt;0,
_xlfn.IFS(_xlpm._exists,1,NOT(_xlpm._exists),"")
)</f>
        <v>1</v>
      </c>
      <c r="S126" s="33" t="str" cm="1">
        <f t="array" aca="1" ref="S12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($E126=CLASSIFICATION[[Keyword Aggr]:[Keyword Aggr]])*($D126=CLASSIFICATION[[Functional Scope Aggr]:[Functional Scope Aggr]])),
_xlpm._platform_keywords, _xlfn.TEXTSPLIT(SUBSTITUTE(SUBSTITUTE(VLOOKUP($D126,_xlpm._platform_range,3,FALSE),"+"&amp;CHAR(34),"+"),CHAR(34),""),", "),
_xlpm._exists, SUMPRODUCT(--ISNUMBER(MATCH(_xlpm._platform_keywords,_xlpm._original_keywords,0)))&gt;0,
_xlfn.IFS(_xlpm._exists,1,NOT(_xlpm._exists),"")
)</f>
        <v/>
      </c>
      <c r="T126" s="33" cm="1">
        <f t="array" aca="1" ref="T12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($E126=CLASSIFICATION[[Keyword Aggr]:[Keyword Aggr]])*($D126=CLASSIFICATION[[Functional Scope Aggr]:[Functional Scope Aggr]])),
_xlpm._platform_keywords, _xlfn.TEXTSPLIT(SUBSTITUTE(SUBSTITUTE(VLOOKUP($D126,_xlpm._platform_range,3,FALSE),"+"&amp;CHAR(34),"+"),CHAR(34),""),", "),
_xlpm._exists, SUMPRODUCT(--ISNUMBER(MATCH(_xlpm._platform_keywords,_xlpm._original_keywords,0)))&gt;0,
_xlfn.IFS(_xlpm._exists,1,NOT(_xlpm._exists),"")
)</f>
        <v>1</v>
      </c>
      <c r="U126" s="33" t="str" cm="1">
        <f t="array" aca="1" ref="U12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($E126=CLASSIFICATION[[Keyword Aggr]:[Keyword Aggr]])*($D126=CLASSIFICATION[[Functional Scope Aggr]:[Functional Scope Aggr]])),
_xlpm._platform_keywords, _xlfn.TEXTSPLIT(SUBSTITUTE(SUBSTITUTE(VLOOKUP($D126,_xlpm._platform_range,3,FALSE),"+"&amp;CHAR(34),"+"),CHAR(34),""),", "),
_xlpm._exists, SUMPRODUCT(--ISNUMBER(MATCH(_xlpm._platform_keywords,_xlpm._original_keywords,0)))&gt;0,
_xlfn.IFS(_xlpm._exists,1,NOT(_xlpm._exists),"")
)</f>
        <v/>
      </c>
      <c r="V126" s="33" t="str" cm="1">
        <f t="array" aca="1" ref="V12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($E126=CLASSIFICATION[[Keyword Aggr]:[Keyword Aggr]])*($D126=CLASSIFICATION[[Functional Scope Aggr]:[Functional Scope Aggr]])),
_xlpm._platform_keywords, _xlfn.TEXTSPLIT(SUBSTITUTE(SUBSTITUTE(VLOOKUP($D126,_xlpm._platform_range,3,FALSE),"+"&amp;CHAR(34),"+"),CHAR(34),""),", "),
_xlpm._exists, SUMPRODUCT(--ISNUMBER(MATCH(_xlpm._platform_keywords,_xlpm._original_keywords,0)))&gt;0,
_xlfn.IFS(_xlpm._exists,1,NOT(_xlpm._exists),"")
)</f>
        <v/>
      </c>
      <c r="X126" s="33" t="str">
        <f t="shared" si="14"/>
        <v/>
      </c>
      <c r="Y126" s="33" t="str">
        <f t="shared" si="15"/>
        <v/>
      </c>
      <c r="Z126" s="33" t="str">
        <f t="shared" si="16"/>
        <v/>
      </c>
      <c r="AA126" s="33" t="str">
        <f t="shared" si="17"/>
        <v/>
      </c>
      <c r="AB126" s="33" t="str">
        <f t="shared" si="18"/>
        <v/>
      </c>
      <c r="AC126" s="33" t="str">
        <f t="shared" si="19"/>
        <v/>
      </c>
    </row>
    <row r="127" spans="1:29" x14ac:dyDescent="0.25">
      <c r="A127" s="19" t="str">
        <v>Development,Actions design and development,Object Model</v>
      </c>
      <c r="B127" t="s">
        <v>377</v>
      </c>
      <c r="C127" s="19" t="str" cm="1">
        <f t="array" ref="C127:E127">_xlfn.TEXTSPLIT(A127,",")</f>
        <v>Development</v>
      </c>
      <c r="D127" s="19" t="str">
        <v>Actions design and development</v>
      </c>
      <c r="E127" s="19" t="str">
        <v>Object Model</v>
      </c>
      <c r="F127" s="36" t="str" cm="1">
        <f t="array" ref="F127">_xlfn.TEXTJOIN(",",TRUE,_xlfn._xlws.FILTER(CLASSIFICATION[Keyword], ($E127=CLASSIFICATION[Keyword Aggr])*($D127=CLASSIFICATION[Functional Scope Aggr])))</f>
        <v>Object Model</v>
      </c>
      <c r="G127" s="32" t="str">
        <f t="shared" si="11"/>
        <v/>
      </c>
      <c r="H127" s="32" t="str">
        <f t="shared" si="12"/>
        <v/>
      </c>
      <c r="I127" s="32" t="str">
        <f t="shared" si="13"/>
        <v>Object Model</v>
      </c>
      <c r="J127" s="33" t="str" cm="1">
        <f t="array" aca="1" ref="J12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($E127=CLASSIFICATION[[Keyword Aggr]:[Keyword Aggr]])*($D127=CLASSIFICATION[[Functional Scope Aggr]:[Functional Scope Aggr]])),
_xlpm._platform_keywords, _xlfn.TEXTSPLIT(SUBSTITUTE(SUBSTITUTE(VLOOKUP($D127,_xlpm._platform_range,3,FALSE),"+"&amp;CHAR(34),"+"),CHAR(34),""),", "),
_xlpm._exists, SUMPRODUCT(--ISNUMBER(MATCH(_xlpm._platform_keywords,_xlpm._original_keywords,0)))&gt;0,
_xlfn.IFS(AND(_xlpm._exists,LEFT($E127,1)="+"),"+",_xlpm._exists,"*",NOT(_xlpm._exists),"")
)</f>
        <v/>
      </c>
      <c r="K127" s="33" t="str" cm="1">
        <f t="array" aca="1" ref="K12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($E127=CLASSIFICATION[[Keyword Aggr]:[Keyword Aggr]])*($D127=CLASSIFICATION[[Functional Scope Aggr]:[Functional Scope Aggr]])),
_xlpm._platform_keywords, _xlfn.TEXTSPLIT(SUBSTITUTE(SUBSTITUTE(VLOOKUP($D127,_xlpm._platform_range,3,FALSE),"+"&amp;CHAR(34),"+"),CHAR(34),""),", "),
_xlpm._exists, SUMPRODUCT(--ISNUMBER(MATCH(_xlpm._platform_keywords,_xlpm._original_keywords,0)))&gt;0,
_xlfn.IFS(AND(_xlpm._exists,LEFT($E127,1)="+"),"+",_xlpm._exists,"*",NOT(_xlpm._exists),"")
)</f>
        <v/>
      </c>
      <c r="L127" s="33" t="str" cm="1">
        <f t="array" aca="1" ref="L12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($E127=CLASSIFICATION[[Keyword Aggr]:[Keyword Aggr]])*($D127=CLASSIFICATION[[Functional Scope Aggr]:[Functional Scope Aggr]])),
_xlpm._platform_keywords, _xlfn.TEXTSPLIT(SUBSTITUTE(SUBSTITUTE(VLOOKUP($D127,_xlpm._platform_range,3,FALSE),"+"&amp;CHAR(34),"+"),CHAR(34),""),", "),
_xlpm._exists, SUMPRODUCT(--ISNUMBER(MATCH(_xlpm._platform_keywords,_xlpm._original_keywords,0)))&gt;0,
_xlfn.IFS(AND(_xlpm._exists,LEFT($E127,1)="+"),"+",_xlpm._exists,"*",NOT(_xlpm._exists),"")
)</f>
        <v/>
      </c>
      <c r="M127" s="33" t="str" cm="1">
        <f t="array" aca="1" ref="M12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($E127=CLASSIFICATION[[Keyword Aggr]:[Keyword Aggr]])*($D127=CLASSIFICATION[[Functional Scope Aggr]:[Functional Scope Aggr]])),
_xlpm._platform_keywords, _xlfn.TEXTSPLIT(SUBSTITUTE(SUBSTITUTE(VLOOKUP($D127,_xlpm._platform_range,3,FALSE),"+"&amp;CHAR(34),"+"),CHAR(34),""),", "),
_xlpm._exists, SUMPRODUCT(--ISNUMBER(MATCH(_xlpm._platform_keywords,_xlpm._original_keywords,0)))&gt;0,
_xlfn.IFS(AND(_xlpm._exists,LEFT($E127,1)="+"),"+",_xlpm._exists,"*",NOT(_xlpm._exists),"")
)</f>
        <v>*</v>
      </c>
      <c r="N127" s="33" t="str" cm="1">
        <f t="array" aca="1" ref="N12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($E127=CLASSIFICATION[[Keyword Aggr]:[Keyword Aggr]])*($D127=CLASSIFICATION[[Functional Scope Aggr]:[Functional Scope Aggr]])),
_xlpm._platform_keywords, _xlfn.TEXTSPLIT(SUBSTITUTE(SUBSTITUTE(VLOOKUP($D127,_xlpm._platform_range,3,FALSE),"+"&amp;CHAR(34),"+"),CHAR(34),""),", "),
_xlpm._exists, SUMPRODUCT(--ISNUMBER(MATCH(_xlpm._platform_keywords,_xlpm._original_keywords,0)))&gt;0,
_xlfn.IFS(AND(_xlpm._exists,LEFT($E127,1)="+"),"+",_xlpm._exists,"*",NOT(_xlpm._exists),"")
)</f>
        <v/>
      </c>
      <c r="O127" s="33" t="str" cm="1">
        <f t="array" aca="1" ref="O12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($E127=CLASSIFICATION[[Keyword Aggr]:[Keyword Aggr]])*($D127=CLASSIFICATION[[Functional Scope Aggr]:[Functional Scope Aggr]])),
_xlpm._platform_keywords, _xlfn.TEXTSPLIT(SUBSTITUTE(SUBSTITUTE(VLOOKUP($D127,_xlpm._platform_range,3,FALSE),"+"&amp;CHAR(34),"+"),CHAR(34),""),", "),
_xlpm._exists, SUMPRODUCT(--ISNUMBER(MATCH(_xlpm._platform_keywords,_xlpm._original_keywords,0)))&gt;0,
_xlfn.IFS(AND(_xlpm._exists,LEFT($E127,1)="+"),"+",_xlpm._exists,"*",NOT(_xlpm._exists),"")
)</f>
        <v/>
      </c>
      <c r="Q127" s="33" t="str" cm="1">
        <f t="array" aca="1" ref="Q12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($E127=CLASSIFICATION[[Keyword Aggr]:[Keyword Aggr]])*($D127=CLASSIFICATION[[Functional Scope Aggr]:[Functional Scope Aggr]])),
_xlpm._platform_keywords, _xlfn.TEXTSPLIT(SUBSTITUTE(SUBSTITUTE(VLOOKUP($D127,_xlpm._platform_range,3,FALSE),"+"&amp;CHAR(34),"+"),CHAR(34),""),", "),
_xlpm._exists, SUMPRODUCT(--ISNUMBER(MATCH(_xlpm._platform_keywords,_xlpm._original_keywords,0)))&gt;0,
_xlfn.IFS(_xlpm._exists,1,NOT(_xlpm._exists),"")
)</f>
        <v/>
      </c>
      <c r="R127" s="33" t="str" cm="1">
        <f t="array" aca="1" ref="R12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($E127=CLASSIFICATION[[Keyword Aggr]:[Keyword Aggr]])*($D127=CLASSIFICATION[[Functional Scope Aggr]:[Functional Scope Aggr]])),
_xlpm._platform_keywords, _xlfn.TEXTSPLIT(SUBSTITUTE(SUBSTITUTE(VLOOKUP($D127,_xlpm._platform_range,3,FALSE),"+"&amp;CHAR(34),"+"),CHAR(34),""),", "),
_xlpm._exists, SUMPRODUCT(--ISNUMBER(MATCH(_xlpm._platform_keywords,_xlpm._original_keywords,0)))&gt;0,
_xlfn.IFS(_xlpm._exists,1,NOT(_xlpm._exists),"")
)</f>
        <v/>
      </c>
      <c r="S127" s="33" t="str" cm="1">
        <f t="array" aca="1" ref="S12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($E127=CLASSIFICATION[[Keyword Aggr]:[Keyword Aggr]])*($D127=CLASSIFICATION[[Functional Scope Aggr]:[Functional Scope Aggr]])),
_xlpm._platform_keywords, _xlfn.TEXTSPLIT(SUBSTITUTE(SUBSTITUTE(VLOOKUP($D127,_xlpm._platform_range,3,FALSE),"+"&amp;CHAR(34),"+"),CHAR(34),""),", "),
_xlpm._exists, SUMPRODUCT(--ISNUMBER(MATCH(_xlpm._platform_keywords,_xlpm._original_keywords,0)))&gt;0,
_xlfn.IFS(_xlpm._exists,1,NOT(_xlpm._exists),"")
)</f>
        <v/>
      </c>
      <c r="T127" s="33" cm="1">
        <f t="array" aca="1" ref="T12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($E127=CLASSIFICATION[[Keyword Aggr]:[Keyword Aggr]])*($D127=CLASSIFICATION[[Functional Scope Aggr]:[Functional Scope Aggr]])),
_xlpm._platform_keywords, _xlfn.TEXTSPLIT(SUBSTITUTE(SUBSTITUTE(VLOOKUP($D127,_xlpm._platform_range,3,FALSE),"+"&amp;CHAR(34),"+"),CHAR(34),""),", "),
_xlpm._exists, SUMPRODUCT(--ISNUMBER(MATCH(_xlpm._platform_keywords,_xlpm._original_keywords,0)))&gt;0,
_xlfn.IFS(_xlpm._exists,1,NOT(_xlpm._exists),"")
)</f>
        <v>1</v>
      </c>
      <c r="U127" s="33" t="str" cm="1">
        <f t="array" aca="1" ref="U12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($E127=CLASSIFICATION[[Keyword Aggr]:[Keyword Aggr]])*($D127=CLASSIFICATION[[Functional Scope Aggr]:[Functional Scope Aggr]])),
_xlpm._platform_keywords, _xlfn.TEXTSPLIT(SUBSTITUTE(SUBSTITUTE(VLOOKUP($D127,_xlpm._platform_range,3,FALSE),"+"&amp;CHAR(34),"+"),CHAR(34),""),", "),
_xlpm._exists, SUMPRODUCT(--ISNUMBER(MATCH(_xlpm._platform_keywords,_xlpm._original_keywords,0)))&gt;0,
_xlfn.IFS(_xlpm._exists,1,NOT(_xlpm._exists),"")
)</f>
        <v/>
      </c>
      <c r="V127" s="33" t="str" cm="1">
        <f t="array" aca="1" ref="V12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($E127=CLASSIFICATION[[Keyword Aggr]:[Keyword Aggr]])*($D127=CLASSIFICATION[[Functional Scope Aggr]:[Functional Scope Aggr]])),
_xlpm._platform_keywords, _xlfn.TEXTSPLIT(SUBSTITUTE(SUBSTITUTE(VLOOKUP($D127,_xlpm._platform_range,3,FALSE),"+"&amp;CHAR(34),"+"),CHAR(34),""),", "),
_xlpm._exists, SUMPRODUCT(--ISNUMBER(MATCH(_xlpm._platform_keywords,_xlpm._original_keywords,0)))&gt;0,
_xlfn.IFS(_xlpm._exists,1,NOT(_xlpm._exists),"")
)</f>
        <v/>
      </c>
      <c r="X127" s="33" t="str">
        <f t="shared" si="14"/>
        <v/>
      </c>
      <c r="Y127" s="33" t="str">
        <f t="shared" si="15"/>
        <v/>
      </c>
      <c r="Z127" s="33" t="str">
        <f t="shared" si="16"/>
        <v/>
      </c>
      <c r="AA127" s="33" t="str">
        <f t="shared" si="17"/>
        <v/>
      </c>
      <c r="AB127" s="33" t="str">
        <f t="shared" si="18"/>
        <v/>
      </c>
      <c r="AC127" s="33" t="str">
        <f t="shared" si="19"/>
        <v/>
      </c>
    </row>
    <row r="128" spans="1:29" x14ac:dyDescent="0.25">
      <c r="A128" s="19" t="str">
        <v>Development,Actions design and development,Scripts</v>
      </c>
      <c r="B128" t="s">
        <v>377</v>
      </c>
      <c r="C128" s="19" t="str" cm="1">
        <f t="array" ref="C128:E128">_xlfn.TEXTSPLIT(A128,",")</f>
        <v>Development</v>
      </c>
      <c r="D128" s="19" t="str">
        <v>Actions design and development</v>
      </c>
      <c r="E128" s="19" t="str">
        <v>Scripts</v>
      </c>
      <c r="F128" s="36" t="str" cm="1">
        <f t="array" ref="F128">_xlfn.TEXTJOIN(",",TRUE,_xlfn._xlws.FILTER(CLASSIFICATION[Keyword], ($E128=CLASSIFICATION[Keyword Aggr])*($D128=CLASSIFICATION[Functional Scope Aggr])))</f>
        <v>Scripts (Deluge),Scripts</v>
      </c>
      <c r="G128" s="32" t="str">
        <f t="shared" si="11"/>
        <v/>
      </c>
      <c r="H128" s="32" t="str">
        <f t="shared" si="12"/>
        <v/>
      </c>
      <c r="I128" s="32" t="str">
        <f t="shared" si="13"/>
        <v>Scripts</v>
      </c>
      <c r="J128" s="33" t="str" cm="1">
        <f t="array" aca="1" ref="J12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($E128=CLASSIFICATION[[Keyword Aggr]:[Keyword Aggr]])*($D128=CLASSIFICATION[[Functional Scope Aggr]:[Functional Scope Aggr]])),
_xlpm._platform_keywords, _xlfn.TEXTSPLIT(SUBSTITUTE(SUBSTITUTE(VLOOKUP($D128,_xlpm._platform_range,3,FALSE),"+"&amp;CHAR(34),"+"),CHAR(34),""),", "),
_xlpm._exists, SUMPRODUCT(--ISNUMBER(MATCH(_xlpm._platform_keywords,_xlpm._original_keywords,0)))&gt;0,
_xlfn.IFS(AND(_xlpm._exists,LEFT($E128,1)="+"),"+",_xlpm._exists,"*",NOT(_xlpm._exists),"")
)</f>
        <v/>
      </c>
      <c r="K128" s="33" t="str" cm="1">
        <f t="array" aca="1" ref="K12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($E128=CLASSIFICATION[[Keyword Aggr]:[Keyword Aggr]])*($D128=CLASSIFICATION[[Functional Scope Aggr]:[Functional Scope Aggr]])),
_xlpm._platform_keywords, _xlfn.TEXTSPLIT(SUBSTITUTE(SUBSTITUTE(VLOOKUP($D128,_xlpm._platform_range,3,FALSE),"+"&amp;CHAR(34),"+"),CHAR(34),""),", "),
_xlpm._exists, SUMPRODUCT(--ISNUMBER(MATCH(_xlpm._platform_keywords,_xlpm._original_keywords,0)))&gt;0,
_xlfn.IFS(AND(_xlpm._exists,LEFT($E128,1)="+"),"+",_xlpm._exists,"*",NOT(_xlpm._exists),"")
)</f>
        <v/>
      </c>
      <c r="L128" s="33" t="str" cm="1">
        <f t="array" aca="1" ref="L12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($E128=CLASSIFICATION[[Keyword Aggr]:[Keyword Aggr]])*($D128=CLASSIFICATION[[Functional Scope Aggr]:[Functional Scope Aggr]])),
_xlpm._platform_keywords, _xlfn.TEXTSPLIT(SUBSTITUTE(SUBSTITUTE(VLOOKUP($D128,_xlpm._platform_range,3,FALSE),"+"&amp;CHAR(34),"+"),CHAR(34),""),", "),
_xlpm._exists, SUMPRODUCT(--ISNUMBER(MATCH(_xlpm._platform_keywords,_xlpm._original_keywords,0)))&gt;0,
_xlfn.IFS(AND(_xlpm._exists,LEFT($E128,1)="+"),"+",_xlpm._exists,"*",NOT(_xlpm._exists),"")
)</f>
        <v>*</v>
      </c>
      <c r="M128" s="33" t="str" cm="1">
        <f t="array" aca="1" ref="M12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($E128=CLASSIFICATION[[Keyword Aggr]:[Keyword Aggr]])*($D128=CLASSIFICATION[[Functional Scope Aggr]:[Functional Scope Aggr]])),
_xlpm._platform_keywords, _xlfn.TEXTSPLIT(SUBSTITUTE(SUBSTITUTE(VLOOKUP($D128,_xlpm._platform_range,3,FALSE),"+"&amp;CHAR(34),"+"),CHAR(34),""),", "),
_xlpm._exists, SUMPRODUCT(--ISNUMBER(MATCH(_xlpm._platform_keywords,_xlpm._original_keywords,0)))&gt;0,
_xlfn.IFS(AND(_xlpm._exists,LEFT($E128,1)="+"),"+",_xlpm._exists,"*",NOT(_xlpm._exists),"")
)</f>
        <v/>
      </c>
      <c r="N128" s="33" t="str" cm="1">
        <f t="array" aca="1" ref="N12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($E128=CLASSIFICATION[[Keyword Aggr]:[Keyword Aggr]])*($D128=CLASSIFICATION[[Functional Scope Aggr]:[Functional Scope Aggr]])),
_xlpm._platform_keywords, _xlfn.TEXTSPLIT(SUBSTITUTE(SUBSTITUTE(VLOOKUP($D128,_xlpm._platform_range,3,FALSE),"+"&amp;CHAR(34),"+"),CHAR(34),""),", "),
_xlpm._exists, SUMPRODUCT(--ISNUMBER(MATCH(_xlpm._platform_keywords,_xlpm._original_keywords,0)))&gt;0,
_xlfn.IFS(AND(_xlpm._exists,LEFT($E128,1)="+"),"+",_xlpm._exists,"*",NOT(_xlpm._exists),"")
)</f>
        <v/>
      </c>
      <c r="O128" s="33" t="str" cm="1">
        <f t="array" aca="1" ref="O12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($E128=CLASSIFICATION[[Keyword Aggr]:[Keyword Aggr]])*($D128=CLASSIFICATION[[Functional Scope Aggr]:[Functional Scope Aggr]])),
_xlpm._platform_keywords, _xlfn.TEXTSPLIT(SUBSTITUTE(SUBSTITUTE(VLOOKUP($D128,_xlpm._platform_range,3,FALSE),"+"&amp;CHAR(34),"+"),CHAR(34),""),", "),
_xlpm._exists, SUMPRODUCT(--ISNUMBER(MATCH(_xlpm._platform_keywords,_xlpm._original_keywords,0)))&gt;0,
_xlfn.IFS(AND(_xlpm._exists,LEFT($E128,1)="+"),"+",_xlpm._exists,"*",NOT(_xlpm._exists),"")
)</f>
        <v>*</v>
      </c>
      <c r="Q128" s="33" t="str" cm="1">
        <f t="array" aca="1" ref="Q12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($E128=CLASSIFICATION[[Keyword Aggr]:[Keyword Aggr]])*($D128=CLASSIFICATION[[Functional Scope Aggr]:[Functional Scope Aggr]])),
_xlpm._platform_keywords, _xlfn.TEXTSPLIT(SUBSTITUTE(SUBSTITUTE(VLOOKUP($D128,_xlpm._platform_range,3,FALSE),"+"&amp;CHAR(34),"+"),CHAR(34),""),", "),
_xlpm._exists, SUMPRODUCT(--ISNUMBER(MATCH(_xlpm._platform_keywords,_xlpm._original_keywords,0)))&gt;0,
_xlfn.IFS(_xlpm._exists,1,NOT(_xlpm._exists),"")
)</f>
        <v/>
      </c>
      <c r="R128" s="33" t="str" cm="1">
        <f t="array" aca="1" ref="R12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($E128=CLASSIFICATION[[Keyword Aggr]:[Keyword Aggr]])*($D128=CLASSIFICATION[[Functional Scope Aggr]:[Functional Scope Aggr]])),
_xlpm._platform_keywords, _xlfn.TEXTSPLIT(SUBSTITUTE(SUBSTITUTE(VLOOKUP($D128,_xlpm._platform_range,3,FALSE),"+"&amp;CHAR(34),"+"),CHAR(34),""),", "),
_xlpm._exists, SUMPRODUCT(--ISNUMBER(MATCH(_xlpm._platform_keywords,_xlpm._original_keywords,0)))&gt;0,
_xlfn.IFS(_xlpm._exists,1,NOT(_xlpm._exists),"")
)</f>
        <v/>
      </c>
      <c r="S128" s="33" cm="1">
        <f t="array" aca="1" ref="S12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($E128=CLASSIFICATION[[Keyword Aggr]:[Keyword Aggr]])*($D128=CLASSIFICATION[[Functional Scope Aggr]:[Functional Scope Aggr]])),
_xlpm._platform_keywords, _xlfn.TEXTSPLIT(SUBSTITUTE(SUBSTITUTE(VLOOKUP($D128,_xlpm._platform_range,3,FALSE),"+"&amp;CHAR(34),"+"),CHAR(34),""),", "),
_xlpm._exists, SUMPRODUCT(--ISNUMBER(MATCH(_xlpm._platform_keywords,_xlpm._original_keywords,0)))&gt;0,
_xlfn.IFS(_xlpm._exists,1,NOT(_xlpm._exists),"")
)</f>
        <v>1</v>
      </c>
      <c r="T128" s="33" t="str" cm="1">
        <f t="array" aca="1" ref="T12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($E128=CLASSIFICATION[[Keyword Aggr]:[Keyword Aggr]])*($D128=CLASSIFICATION[[Functional Scope Aggr]:[Functional Scope Aggr]])),
_xlpm._platform_keywords, _xlfn.TEXTSPLIT(SUBSTITUTE(SUBSTITUTE(VLOOKUP($D128,_xlpm._platform_range,3,FALSE),"+"&amp;CHAR(34),"+"),CHAR(34),""),", "),
_xlpm._exists, SUMPRODUCT(--ISNUMBER(MATCH(_xlpm._platform_keywords,_xlpm._original_keywords,0)))&gt;0,
_xlfn.IFS(_xlpm._exists,1,NOT(_xlpm._exists),"")
)</f>
        <v/>
      </c>
      <c r="U128" s="33" t="str" cm="1">
        <f t="array" aca="1" ref="U12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($E128=CLASSIFICATION[[Keyword Aggr]:[Keyword Aggr]])*($D128=CLASSIFICATION[[Functional Scope Aggr]:[Functional Scope Aggr]])),
_xlpm._platform_keywords, _xlfn.TEXTSPLIT(SUBSTITUTE(SUBSTITUTE(VLOOKUP($D128,_xlpm._platform_range,3,FALSE),"+"&amp;CHAR(34),"+"),CHAR(34),""),", "),
_xlpm._exists, SUMPRODUCT(--ISNUMBER(MATCH(_xlpm._platform_keywords,_xlpm._original_keywords,0)))&gt;0,
_xlfn.IFS(_xlpm._exists,1,NOT(_xlpm._exists),"")
)</f>
        <v/>
      </c>
      <c r="V128" s="33" cm="1">
        <f t="array" aca="1" ref="V12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($E128=CLASSIFICATION[[Keyword Aggr]:[Keyword Aggr]])*($D128=CLASSIFICATION[[Functional Scope Aggr]:[Functional Scope Aggr]])),
_xlpm._platform_keywords, _xlfn.TEXTSPLIT(SUBSTITUTE(SUBSTITUTE(VLOOKUP($D128,_xlpm._platform_range,3,FALSE),"+"&amp;CHAR(34),"+"),CHAR(34),""),", "),
_xlpm._exists, SUMPRODUCT(--ISNUMBER(MATCH(_xlpm._platform_keywords,_xlpm._original_keywords,0)))&gt;0,
_xlfn.IFS(_xlpm._exists,1,NOT(_xlpm._exists),"")
)</f>
        <v>1</v>
      </c>
      <c r="X128" s="33" t="str">
        <f t="shared" si="14"/>
        <v/>
      </c>
      <c r="Y128" s="33" t="str">
        <f t="shared" si="15"/>
        <v/>
      </c>
      <c r="Z128" s="33" t="str">
        <f t="shared" si="16"/>
        <v/>
      </c>
      <c r="AA128" s="33" t="str">
        <f t="shared" si="17"/>
        <v/>
      </c>
      <c r="AB128" s="33" t="str">
        <f t="shared" si="18"/>
        <v/>
      </c>
      <c r="AC128" s="33" t="str">
        <f t="shared" si="19"/>
        <v/>
      </c>
    </row>
    <row r="129" spans="1:29" x14ac:dyDescent="0.25">
      <c r="A129" s="19" t="str">
        <v>Development,Actions design and development,SOAP</v>
      </c>
      <c r="B129" t="s">
        <v>377</v>
      </c>
      <c r="C129" s="19" t="str" cm="1">
        <f t="array" ref="C129:E129">_xlfn.TEXTSPLIT(A129,",")</f>
        <v>Development</v>
      </c>
      <c r="D129" s="19" t="str">
        <v>Actions design and development</v>
      </c>
      <c r="E129" s="19" t="str">
        <v>SOAP</v>
      </c>
      <c r="F129" s="36" t="str" cm="1">
        <f t="array" ref="F129">_xlfn.TEXTJOIN(",",TRUE,_xlfn._xlws.FILTER(CLASSIFICATION[Keyword], ($E129=CLASSIFICATION[Keyword Aggr])*($D129=CLASSIFICATION[Functional Scope Aggr])))</f>
        <v>SOAP</v>
      </c>
      <c r="G129" s="32" t="str">
        <f t="shared" si="11"/>
        <v/>
      </c>
      <c r="H129" s="32" t="str">
        <f t="shared" si="12"/>
        <v/>
      </c>
      <c r="I129" s="32" t="str">
        <f t="shared" si="13"/>
        <v>SOAP</v>
      </c>
      <c r="J129" s="33" t="str" cm="1">
        <f t="array" aca="1" ref="J12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($E129=CLASSIFICATION[[Keyword Aggr]:[Keyword Aggr]])*($D129=CLASSIFICATION[[Functional Scope Aggr]:[Functional Scope Aggr]])),
_xlpm._platform_keywords, _xlfn.TEXTSPLIT(SUBSTITUTE(SUBSTITUTE(VLOOKUP($D129,_xlpm._platform_range,3,FALSE),"+"&amp;CHAR(34),"+"),CHAR(34),""),", "),
_xlpm._exists, SUMPRODUCT(--ISNUMBER(MATCH(_xlpm._platform_keywords,_xlpm._original_keywords,0)))&gt;0,
_xlfn.IFS(AND(_xlpm._exists,LEFT($E129,1)="+"),"+",_xlpm._exists,"*",NOT(_xlpm._exists),"")
)</f>
        <v/>
      </c>
      <c r="K129" s="33" t="str" cm="1">
        <f t="array" aca="1" ref="K12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($E129=CLASSIFICATION[[Keyword Aggr]:[Keyword Aggr]])*($D129=CLASSIFICATION[[Functional Scope Aggr]:[Functional Scope Aggr]])),
_xlpm._platform_keywords, _xlfn.TEXTSPLIT(SUBSTITUTE(SUBSTITUTE(VLOOKUP($D129,_xlpm._platform_range,3,FALSE),"+"&amp;CHAR(34),"+"),CHAR(34),""),", "),
_xlpm._exists, SUMPRODUCT(--ISNUMBER(MATCH(_xlpm._platform_keywords,_xlpm._original_keywords,0)))&gt;0,
_xlfn.IFS(AND(_xlpm._exists,LEFT($E129,1)="+"),"+",_xlpm._exists,"*",NOT(_xlpm._exists),"")
)</f>
        <v>*</v>
      </c>
      <c r="L129" s="33" t="str" cm="1">
        <f t="array" aca="1" ref="L12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($E129=CLASSIFICATION[[Keyword Aggr]:[Keyword Aggr]])*($D129=CLASSIFICATION[[Functional Scope Aggr]:[Functional Scope Aggr]])),
_xlpm._platform_keywords, _xlfn.TEXTSPLIT(SUBSTITUTE(SUBSTITUTE(VLOOKUP($D129,_xlpm._platform_range,3,FALSE),"+"&amp;CHAR(34),"+"),CHAR(34),""),", "),
_xlpm._exists, SUMPRODUCT(--ISNUMBER(MATCH(_xlpm._platform_keywords,_xlpm._original_keywords,0)))&gt;0,
_xlfn.IFS(AND(_xlpm._exists,LEFT($E129,1)="+"),"+",_xlpm._exists,"*",NOT(_xlpm._exists),"")
)</f>
        <v/>
      </c>
      <c r="M129" s="33" t="str" cm="1">
        <f t="array" aca="1" ref="M12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($E129=CLASSIFICATION[[Keyword Aggr]:[Keyword Aggr]])*($D129=CLASSIFICATION[[Functional Scope Aggr]:[Functional Scope Aggr]])),
_xlpm._platform_keywords, _xlfn.TEXTSPLIT(SUBSTITUTE(SUBSTITUTE(VLOOKUP($D129,_xlpm._platform_range,3,FALSE),"+"&amp;CHAR(34),"+"),CHAR(34),""),", "),
_xlpm._exists, SUMPRODUCT(--ISNUMBER(MATCH(_xlpm._platform_keywords,_xlpm._original_keywords,0)))&gt;0,
_xlfn.IFS(AND(_xlpm._exists,LEFT($E129,1)="+"),"+",_xlpm._exists,"*",NOT(_xlpm._exists),"")
)</f>
        <v/>
      </c>
      <c r="N129" s="33" t="str" cm="1">
        <f t="array" aca="1" ref="N12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($E129=CLASSIFICATION[[Keyword Aggr]:[Keyword Aggr]])*($D129=CLASSIFICATION[[Functional Scope Aggr]:[Functional Scope Aggr]])),
_xlpm._platform_keywords, _xlfn.TEXTSPLIT(SUBSTITUTE(SUBSTITUTE(VLOOKUP($D129,_xlpm._platform_range,3,FALSE),"+"&amp;CHAR(34),"+"),CHAR(34),""),", "),
_xlpm._exists, SUMPRODUCT(--ISNUMBER(MATCH(_xlpm._platform_keywords,_xlpm._original_keywords,0)))&gt;0,
_xlfn.IFS(AND(_xlpm._exists,LEFT($E129,1)="+"),"+",_xlpm._exists,"*",NOT(_xlpm._exists),"")
)</f>
        <v/>
      </c>
      <c r="O129" s="33" t="str" cm="1">
        <f t="array" aca="1" ref="O12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($E129=CLASSIFICATION[[Keyword Aggr]:[Keyword Aggr]])*($D129=CLASSIFICATION[[Functional Scope Aggr]:[Functional Scope Aggr]])),
_xlpm._platform_keywords, _xlfn.TEXTSPLIT(SUBSTITUTE(SUBSTITUTE(VLOOKUP($D129,_xlpm._platform_range,3,FALSE),"+"&amp;CHAR(34),"+"),CHAR(34),""),", "),
_xlpm._exists, SUMPRODUCT(--ISNUMBER(MATCH(_xlpm._platform_keywords,_xlpm._original_keywords,0)))&gt;0,
_xlfn.IFS(AND(_xlpm._exists,LEFT($E129,1)="+"),"+",_xlpm._exists,"*",NOT(_xlpm._exists),"")
)</f>
        <v/>
      </c>
      <c r="Q129" s="33" t="str" cm="1">
        <f t="array" aca="1" ref="Q12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($E129=CLASSIFICATION[[Keyword Aggr]:[Keyword Aggr]])*($D129=CLASSIFICATION[[Functional Scope Aggr]:[Functional Scope Aggr]])),
_xlpm._platform_keywords, _xlfn.TEXTSPLIT(SUBSTITUTE(SUBSTITUTE(VLOOKUP($D129,_xlpm._platform_range,3,FALSE),"+"&amp;CHAR(34),"+"),CHAR(34),""),", "),
_xlpm._exists, SUMPRODUCT(--ISNUMBER(MATCH(_xlpm._platform_keywords,_xlpm._original_keywords,0)))&gt;0,
_xlfn.IFS(_xlpm._exists,1,NOT(_xlpm._exists),"")
)</f>
        <v/>
      </c>
      <c r="R129" s="33" cm="1">
        <f t="array" aca="1" ref="R12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($E129=CLASSIFICATION[[Keyword Aggr]:[Keyword Aggr]])*($D129=CLASSIFICATION[[Functional Scope Aggr]:[Functional Scope Aggr]])),
_xlpm._platform_keywords, _xlfn.TEXTSPLIT(SUBSTITUTE(SUBSTITUTE(VLOOKUP($D129,_xlpm._platform_range,3,FALSE),"+"&amp;CHAR(34),"+"),CHAR(34),""),", "),
_xlpm._exists, SUMPRODUCT(--ISNUMBER(MATCH(_xlpm._platform_keywords,_xlpm._original_keywords,0)))&gt;0,
_xlfn.IFS(_xlpm._exists,1,NOT(_xlpm._exists),"")
)</f>
        <v>1</v>
      </c>
      <c r="S129" s="33" t="str" cm="1">
        <f t="array" aca="1" ref="S12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($E129=CLASSIFICATION[[Keyword Aggr]:[Keyword Aggr]])*($D129=CLASSIFICATION[[Functional Scope Aggr]:[Functional Scope Aggr]])),
_xlpm._platform_keywords, _xlfn.TEXTSPLIT(SUBSTITUTE(SUBSTITUTE(VLOOKUP($D129,_xlpm._platform_range,3,FALSE),"+"&amp;CHAR(34),"+"),CHAR(34),""),", "),
_xlpm._exists, SUMPRODUCT(--ISNUMBER(MATCH(_xlpm._platform_keywords,_xlpm._original_keywords,0)))&gt;0,
_xlfn.IFS(_xlpm._exists,1,NOT(_xlpm._exists),"")
)</f>
        <v/>
      </c>
      <c r="T129" s="33" t="str" cm="1">
        <f t="array" aca="1" ref="T12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($E129=CLASSIFICATION[[Keyword Aggr]:[Keyword Aggr]])*($D129=CLASSIFICATION[[Functional Scope Aggr]:[Functional Scope Aggr]])),
_xlpm._platform_keywords, _xlfn.TEXTSPLIT(SUBSTITUTE(SUBSTITUTE(VLOOKUP($D129,_xlpm._platform_range,3,FALSE),"+"&amp;CHAR(34),"+"),CHAR(34),""),", "),
_xlpm._exists, SUMPRODUCT(--ISNUMBER(MATCH(_xlpm._platform_keywords,_xlpm._original_keywords,0)))&gt;0,
_xlfn.IFS(_xlpm._exists,1,NOT(_xlpm._exists),"")
)</f>
        <v/>
      </c>
      <c r="U129" s="33" t="str" cm="1">
        <f t="array" aca="1" ref="U12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($E129=CLASSIFICATION[[Keyword Aggr]:[Keyword Aggr]])*($D129=CLASSIFICATION[[Functional Scope Aggr]:[Functional Scope Aggr]])),
_xlpm._platform_keywords, _xlfn.TEXTSPLIT(SUBSTITUTE(SUBSTITUTE(VLOOKUP($D129,_xlpm._platform_range,3,FALSE),"+"&amp;CHAR(34),"+"),CHAR(34),""),", "),
_xlpm._exists, SUMPRODUCT(--ISNUMBER(MATCH(_xlpm._platform_keywords,_xlpm._original_keywords,0)))&gt;0,
_xlfn.IFS(_xlpm._exists,1,NOT(_xlpm._exists),"")
)</f>
        <v/>
      </c>
      <c r="V129" s="33" t="str" cm="1">
        <f t="array" aca="1" ref="V12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($E129=CLASSIFICATION[[Keyword Aggr]:[Keyword Aggr]])*($D129=CLASSIFICATION[[Functional Scope Aggr]:[Functional Scope Aggr]])),
_xlpm._platform_keywords, _xlfn.TEXTSPLIT(SUBSTITUTE(SUBSTITUTE(VLOOKUP($D129,_xlpm._platform_range,3,FALSE),"+"&amp;CHAR(34),"+"),CHAR(34),""),", "),
_xlpm._exists, SUMPRODUCT(--ISNUMBER(MATCH(_xlpm._platform_keywords,_xlpm._original_keywords,0)))&gt;0,
_xlfn.IFS(_xlpm._exists,1,NOT(_xlpm._exists),"")
)</f>
        <v/>
      </c>
      <c r="X129" s="33" t="str">
        <f t="shared" si="14"/>
        <v/>
      </c>
      <c r="Y129" s="33" t="str">
        <f t="shared" si="15"/>
        <v/>
      </c>
      <c r="Z129" s="33" t="str">
        <f t="shared" si="16"/>
        <v/>
      </c>
      <c r="AA129" s="33" t="str">
        <f t="shared" si="17"/>
        <v/>
      </c>
      <c r="AB129" s="33" t="str">
        <f t="shared" si="18"/>
        <v/>
      </c>
      <c r="AC129" s="33" t="str">
        <f t="shared" si="19"/>
        <v/>
      </c>
    </row>
    <row r="130" spans="1:29" x14ac:dyDescent="0.25">
      <c r="A130" s="19" t="str">
        <v>Development,Programming,.NET</v>
      </c>
      <c r="B130" t="s">
        <v>377</v>
      </c>
      <c r="C130" s="19" t="str" cm="1">
        <f t="array" ref="C130:E130">_xlfn.TEXTSPLIT(A130,",")</f>
        <v>Development</v>
      </c>
      <c r="D130" s="19" t="str">
        <v>Programming</v>
      </c>
      <c r="E130" s="19" t="str">
        <v>.NET</v>
      </c>
      <c r="F130" s="36" t="str" cm="1">
        <f t="array" ref="F130">_xlfn.TEXTJOIN(",",TRUE,_xlfn._xlws.FILTER(CLASSIFICATION[Keyword], ($E130=CLASSIFICATION[Keyword Aggr])*($D130=CLASSIFICATION[Functional Scope Aggr])))</f>
        <v>.NET</v>
      </c>
      <c r="G130" s="32" t="str">
        <f t="shared" si="11"/>
        <v/>
      </c>
      <c r="H130" s="32" t="str">
        <f t="shared" si="12"/>
        <v>Programming</v>
      </c>
      <c r="I130" s="32" t="str">
        <f t="shared" si="13"/>
        <v>.NET</v>
      </c>
      <c r="J130" s="33" t="str" cm="1">
        <f t="array" aca="1" ref="J13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($E130=CLASSIFICATION[[Keyword Aggr]:[Keyword Aggr]])*($D130=CLASSIFICATION[[Functional Scope Aggr]:[Functional Scope Aggr]])),
_xlpm._platform_keywords, _xlfn.TEXTSPLIT(SUBSTITUTE(SUBSTITUTE(VLOOKUP($D130,_xlpm._platform_range,3,FALSE),"+"&amp;CHAR(34),"+"),CHAR(34),""),", "),
_xlpm._exists, SUMPRODUCT(--ISNUMBER(MATCH(_xlpm._platform_keywords,_xlpm._original_keywords,0)))&gt;0,
_xlfn.IFS(AND(_xlpm._exists,LEFT($E130,1)="+"),"+",_xlpm._exists,"*",NOT(_xlpm._exists),"")
)</f>
        <v/>
      </c>
      <c r="K130" s="33" t="str" cm="1">
        <f t="array" aca="1" ref="K13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($E130=CLASSIFICATION[[Keyword Aggr]:[Keyword Aggr]])*($D130=CLASSIFICATION[[Functional Scope Aggr]:[Functional Scope Aggr]])),
_xlpm._platform_keywords, _xlfn.TEXTSPLIT(SUBSTITUTE(SUBSTITUTE(VLOOKUP($D130,_xlpm._platform_range,3,FALSE),"+"&amp;CHAR(34),"+"),CHAR(34),""),", "),
_xlpm._exists, SUMPRODUCT(--ISNUMBER(MATCH(_xlpm._platform_keywords,_xlpm._original_keywords,0)))&gt;0,
_xlfn.IFS(AND(_xlpm._exists,LEFT($E130,1)="+"),"+",_xlpm._exists,"*",NOT(_xlpm._exists),"")
)</f>
        <v>*</v>
      </c>
      <c r="L130" s="33" t="str" cm="1">
        <f t="array" aca="1" ref="L13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($E130=CLASSIFICATION[[Keyword Aggr]:[Keyword Aggr]])*($D130=CLASSIFICATION[[Functional Scope Aggr]:[Functional Scope Aggr]])),
_xlpm._platform_keywords, _xlfn.TEXTSPLIT(SUBSTITUTE(SUBSTITUTE(VLOOKUP($D130,_xlpm._platform_range,3,FALSE),"+"&amp;CHAR(34),"+"),CHAR(34),""),", "),
_xlpm._exists, SUMPRODUCT(--ISNUMBER(MATCH(_xlpm._platform_keywords,_xlpm._original_keywords,0)))&gt;0,
_xlfn.IFS(AND(_xlpm._exists,LEFT($E130,1)="+"),"+",_xlpm._exists,"*",NOT(_xlpm._exists),"")
)</f>
        <v/>
      </c>
      <c r="M130" s="33" t="str" cm="1">
        <f t="array" aca="1" ref="M13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($E130=CLASSIFICATION[[Keyword Aggr]:[Keyword Aggr]])*($D130=CLASSIFICATION[[Functional Scope Aggr]:[Functional Scope Aggr]])),
_xlpm._platform_keywords, _xlfn.TEXTSPLIT(SUBSTITUTE(SUBSTITUTE(VLOOKUP($D130,_xlpm._platform_range,3,FALSE),"+"&amp;CHAR(34),"+"),CHAR(34),""),", "),
_xlpm._exists, SUMPRODUCT(--ISNUMBER(MATCH(_xlpm._platform_keywords,_xlpm._original_keywords,0)))&gt;0,
_xlfn.IFS(AND(_xlpm._exists,LEFT($E130,1)="+"),"+",_xlpm._exists,"*",NOT(_xlpm._exists),"")
)</f>
        <v>*</v>
      </c>
      <c r="N130" s="33" t="str" cm="1">
        <f t="array" aca="1" ref="N13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($E130=CLASSIFICATION[[Keyword Aggr]:[Keyword Aggr]])*($D130=CLASSIFICATION[[Functional Scope Aggr]:[Functional Scope Aggr]])),
_xlpm._platform_keywords, _xlfn.TEXTSPLIT(SUBSTITUTE(SUBSTITUTE(VLOOKUP($D130,_xlpm._platform_range,3,FALSE),"+"&amp;CHAR(34),"+"),CHAR(34),""),", "),
_xlpm._exists, SUMPRODUCT(--ISNUMBER(MATCH(_xlpm._platform_keywords,_xlpm._original_keywords,0)))&gt;0,
_xlfn.IFS(AND(_xlpm._exists,LEFT($E130,1)="+"),"+",_xlpm._exists,"*",NOT(_xlpm._exists),"")
)</f>
        <v/>
      </c>
      <c r="O130" s="33" t="str" cm="1">
        <f t="array" aca="1" ref="O13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($E130=CLASSIFICATION[[Keyword Aggr]:[Keyword Aggr]])*($D130=CLASSIFICATION[[Functional Scope Aggr]:[Functional Scope Aggr]])),
_xlpm._platform_keywords, _xlfn.TEXTSPLIT(SUBSTITUTE(SUBSTITUTE(VLOOKUP($D130,_xlpm._platform_range,3,FALSE),"+"&amp;CHAR(34),"+"),CHAR(34),""),", "),
_xlpm._exists, SUMPRODUCT(--ISNUMBER(MATCH(_xlpm._platform_keywords,_xlpm._original_keywords,0)))&gt;0,
_xlfn.IFS(AND(_xlpm._exists,LEFT($E130,1)="+"),"+",_xlpm._exists,"*",NOT(_xlpm._exists),"")
)</f>
        <v/>
      </c>
      <c r="Q130" s="33" t="str" cm="1">
        <f t="array" aca="1" ref="Q13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($E130=CLASSIFICATION[[Keyword Aggr]:[Keyword Aggr]])*($D130=CLASSIFICATION[[Functional Scope Aggr]:[Functional Scope Aggr]])),
_xlpm._platform_keywords, _xlfn.TEXTSPLIT(SUBSTITUTE(SUBSTITUTE(VLOOKUP($D130,_xlpm._platform_range,3,FALSE),"+"&amp;CHAR(34),"+"),CHAR(34),""),", "),
_xlpm._exists, SUMPRODUCT(--ISNUMBER(MATCH(_xlpm._platform_keywords,_xlpm._original_keywords,0)))&gt;0,
_xlfn.IFS(_xlpm._exists,1,NOT(_xlpm._exists),"")
)</f>
        <v/>
      </c>
      <c r="R130" s="33" cm="1">
        <f t="array" aca="1" ref="R13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($E130=CLASSIFICATION[[Keyword Aggr]:[Keyword Aggr]])*($D130=CLASSIFICATION[[Functional Scope Aggr]:[Functional Scope Aggr]])),
_xlpm._platform_keywords, _xlfn.TEXTSPLIT(SUBSTITUTE(SUBSTITUTE(VLOOKUP($D130,_xlpm._platform_range,3,FALSE),"+"&amp;CHAR(34),"+"),CHAR(34),""),", "),
_xlpm._exists, SUMPRODUCT(--ISNUMBER(MATCH(_xlpm._platform_keywords,_xlpm._original_keywords,0)))&gt;0,
_xlfn.IFS(_xlpm._exists,1,NOT(_xlpm._exists),"")
)</f>
        <v>1</v>
      </c>
      <c r="S130" s="33" t="str" cm="1">
        <f t="array" aca="1" ref="S13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($E130=CLASSIFICATION[[Keyword Aggr]:[Keyword Aggr]])*($D130=CLASSIFICATION[[Functional Scope Aggr]:[Functional Scope Aggr]])),
_xlpm._platform_keywords, _xlfn.TEXTSPLIT(SUBSTITUTE(SUBSTITUTE(VLOOKUP($D130,_xlpm._platform_range,3,FALSE),"+"&amp;CHAR(34),"+"),CHAR(34),""),", "),
_xlpm._exists, SUMPRODUCT(--ISNUMBER(MATCH(_xlpm._platform_keywords,_xlpm._original_keywords,0)))&gt;0,
_xlfn.IFS(_xlpm._exists,1,NOT(_xlpm._exists),"")
)</f>
        <v/>
      </c>
      <c r="T130" s="33" cm="1">
        <f t="array" aca="1" ref="T13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($E130=CLASSIFICATION[[Keyword Aggr]:[Keyword Aggr]])*($D130=CLASSIFICATION[[Functional Scope Aggr]:[Functional Scope Aggr]])),
_xlpm._platform_keywords, _xlfn.TEXTSPLIT(SUBSTITUTE(SUBSTITUTE(VLOOKUP($D130,_xlpm._platform_range,3,FALSE),"+"&amp;CHAR(34),"+"),CHAR(34),""),", "),
_xlpm._exists, SUMPRODUCT(--ISNUMBER(MATCH(_xlpm._platform_keywords,_xlpm._original_keywords,0)))&gt;0,
_xlfn.IFS(_xlpm._exists,1,NOT(_xlpm._exists),"")
)</f>
        <v>1</v>
      </c>
      <c r="U130" s="33" t="str" cm="1">
        <f t="array" aca="1" ref="U13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($E130=CLASSIFICATION[[Keyword Aggr]:[Keyword Aggr]])*($D130=CLASSIFICATION[[Functional Scope Aggr]:[Functional Scope Aggr]])),
_xlpm._platform_keywords, _xlfn.TEXTSPLIT(SUBSTITUTE(SUBSTITUTE(VLOOKUP($D130,_xlpm._platform_range,3,FALSE),"+"&amp;CHAR(34),"+"),CHAR(34),""),", "),
_xlpm._exists, SUMPRODUCT(--ISNUMBER(MATCH(_xlpm._platform_keywords,_xlpm._original_keywords,0)))&gt;0,
_xlfn.IFS(_xlpm._exists,1,NOT(_xlpm._exists),"")
)</f>
        <v/>
      </c>
      <c r="V130" s="33" t="str" cm="1">
        <f t="array" aca="1" ref="V13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($E130=CLASSIFICATION[[Keyword Aggr]:[Keyword Aggr]])*($D130=CLASSIFICATION[[Functional Scope Aggr]:[Functional Scope Aggr]])),
_xlpm._platform_keywords, _xlfn.TEXTSPLIT(SUBSTITUTE(SUBSTITUTE(VLOOKUP($D130,_xlpm._platform_range,3,FALSE),"+"&amp;CHAR(34),"+"),CHAR(34),""),", "),
_xlpm._exists, SUMPRODUCT(--ISNUMBER(MATCH(_xlpm._platform_keywords,_xlpm._original_keywords,0)))&gt;0,
_xlfn.IFS(_xlpm._exists,1,NOT(_xlpm._exists),"")
)</f>
        <v/>
      </c>
      <c r="X130" s="33">
        <f t="shared" ca="1" si="14"/>
        <v>6</v>
      </c>
      <c r="Y130" s="33">
        <f t="shared" ca="1" si="15"/>
        <v>4</v>
      </c>
      <c r="Z130" s="33">
        <f t="shared" ca="1" si="16"/>
        <v>7</v>
      </c>
      <c r="AA130" s="33">
        <f t="shared" ca="1" si="17"/>
        <v>14</v>
      </c>
      <c r="AB130" s="33">
        <f t="shared" ca="1" si="18"/>
        <v>7</v>
      </c>
      <c r="AC130" s="33">
        <f t="shared" ca="1" si="19"/>
        <v>4</v>
      </c>
    </row>
    <row r="131" spans="1:29" x14ac:dyDescent="0.25">
      <c r="A131" s="19" t="str">
        <v>Development,Programming,+Visual Programming</v>
      </c>
      <c r="B131" t="s">
        <v>377</v>
      </c>
      <c r="C131" s="19" t="str" cm="1">
        <f t="array" ref="C131:E131">_xlfn.TEXTSPLIT(A131,",")</f>
        <v>Development</v>
      </c>
      <c r="D131" s="19" t="str">
        <v>Programming</v>
      </c>
      <c r="E131" s="19" t="str">
        <v>+Visual Programming</v>
      </c>
      <c r="F131" s="36" t="str" cm="1">
        <f t="array" ref="F131">_xlfn.TEXTJOIN(",",TRUE,_xlfn._xlws.FILTER(CLASSIFICATION[Keyword], ($E131=CLASSIFICATION[Keyword Aggr])*($D131=CLASSIFICATION[Functional Scope Aggr])))</f>
        <v>+Visual Programming</v>
      </c>
      <c r="G131" s="32" t="str">
        <f t="shared" ref="G131:G194" si="20">IF(C131&lt;&gt;C130,C131,"")</f>
        <v/>
      </c>
      <c r="H131" s="32" t="str">
        <f t="shared" ref="H131:H194" si="21">IF(D131&lt;&gt;D130,D131,"")</f>
        <v/>
      </c>
      <c r="I131" s="32" t="str">
        <f t="shared" ref="I131:I194" si="22">E131</f>
        <v>+Visual Programming</v>
      </c>
      <c r="J131" s="33" t="str" cm="1">
        <f t="array" aca="1" ref="J13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($E131=CLASSIFICATION[[Keyword Aggr]:[Keyword Aggr]])*($D131=CLASSIFICATION[[Functional Scope Aggr]:[Functional Scope Aggr]])),
_xlpm._platform_keywords, _xlfn.TEXTSPLIT(SUBSTITUTE(SUBSTITUTE(VLOOKUP($D131,_xlpm._platform_range,3,FALSE),"+"&amp;CHAR(34),"+"),CHAR(34),""),", "),
_xlpm._exists, SUMPRODUCT(--ISNUMBER(MATCH(_xlpm._platform_keywords,_xlpm._original_keywords,0)))&gt;0,
_xlfn.IFS(AND(_xlpm._exists,LEFT($E131,1)="+"),"+",_xlpm._exists,"*",NOT(_xlpm._exists),"")
)</f>
        <v/>
      </c>
      <c r="K131" s="33" t="str" cm="1">
        <f t="array" aca="1" ref="K13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($E131=CLASSIFICATION[[Keyword Aggr]:[Keyword Aggr]])*($D131=CLASSIFICATION[[Functional Scope Aggr]:[Functional Scope Aggr]])),
_xlpm._platform_keywords, _xlfn.TEXTSPLIT(SUBSTITUTE(SUBSTITUTE(VLOOKUP($D131,_xlpm._platform_range,3,FALSE),"+"&amp;CHAR(34),"+"),CHAR(34),""),", "),
_xlpm._exists, SUMPRODUCT(--ISNUMBER(MATCH(_xlpm._platform_keywords,_xlpm._original_keywords,0)))&gt;0,
_xlfn.IFS(AND(_xlpm._exists,LEFT($E131,1)="+"),"+",_xlpm._exists,"*",NOT(_xlpm._exists),"")
)</f>
        <v>+</v>
      </c>
      <c r="L131" s="33" t="str" cm="1">
        <f t="array" aca="1" ref="L13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($E131=CLASSIFICATION[[Keyword Aggr]:[Keyword Aggr]])*($D131=CLASSIFICATION[[Functional Scope Aggr]:[Functional Scope Aggr]])),
_xlpm._platform_keywords, _xlfn.TEXTSPLIT(SUBSTITUTE(SUBSTITUTE(VLOOKUP($D131,_xlpm._platform_range,3,FALSE),"+"&amp;CHAR(34),"+"),CHAR(34),""),", "),
_xlpm._exists, SUMPRODUCT(--ISNUMBER(MATCH(_xlpm._platform_keywords,_xlpm._original_keywords,0)))&gt;0,
_xlfn.IFS(AND(_xlpm._exists,LEFT($E131,1)="+"),"+",_xlpm._exists,"*",NOT(_xlpm._exists),"")
)</f>
        <v/>
      </c>
      <c r="M131" s="33" t="str" cm="1">
        <f t="array" aca="1" ref="M13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($E131=CLASSIFICATION[[Keyword Aggr]:[Keyword Aggr]])*($D131=CLASSIFICATION[[Functional Scope Aggr]:[Functional Scope Aggr]])),
_xlpm._platform_keywords, _xlfn.TEXTSPLIT(SUBSTITUTE(SUBSTITUTE(VLOOKUP($D131,_xlpm._platform_range,3,FALSE),"+"&amp;CHAR(34),"+"),CHAR(34),""),", "),
_xlpm._exists, SUMPRODUCT(--ISNUMBER(MATCH(_xlpm._platform_keywords,_xlpm._original_keywords,0)))&gt;0,
_xlfn.IFS(AND(_xlpm._exists,LEFT($E131,1)="+"),"+",_xlpm._exists,"*",NOT(_xlpm._exists),"")
)</f>
        <v/>
      </c>
      <c r="N131" s="33" t="str" cm="1">
        <f t="array" aca="1" ref="N13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($E131=CLASSIFICATION[[Keyword Aggr]:[Keyword Aggr]])*($D131=CLASSIFICATION[[Functional Scope Aggr]:[Functional Scope Aggr]])),
_xlpm._platform_keywords, _xlfn.TEXTSPLIT(SUBSTITUTE(SUBSTITUTE(VLOOKUP($D131,_xlpm._platform_range,3,FALSE),"+"&amp;CHAR(34),"+"),CHAR(34),""),", "),
_xlpm._exists, SUMPRODUCT(--ISNUMBER(MATCH(_xlpm._platform_keywords,_xlpm._original_keywords,0)))&gt;0,
_xlfn.IFS(AND(_xlpm._exists,LEFT($E131,1)="+"),"+",_xlpm._exists,"*",NOT(_xlpm._exists),"")
)</f>
        <v/>
      </c>
      <c r="O131" s="33" t="str" cm="1">
        <f t="array" aca="1" ref="O13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($E131=CLASSIFICATION[[Keyword Aggr]:[Keyword Aggr]])*($D131=CLASSIFICATION[[Functional Scope Aggr]:[Functional Scope Aggr]])),
_xlpm._platform_keywords, _xlfn.TEXTSPLIT(SUBSTITUTE(SUBSTITUTE(VLOOKUP($D131,_xlpm._platform_range,3,FALSE),"+"&amp;CHAR(34),"+"),CHAR(34),""),", "),
_xlpm._exists, SUMPRODUCT(--ISNUMBER(MATCH(_xlpm._platform_keywords,_xlpm._original_keywords,0)))&gt;0,
_xlfn.IFS(AND(_xlpm._exists,LEFT($E131,1)="+"),"+",_xlpm._exists,"*",NOT(_xlpm._exists),"")
)</f>
        <v/>
      </c>
      <c r="Q131" s="33" t="str" cm="1">
        <f t="array" aca="1" ref="Q13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($E131=CLASSIFICATION[[Keyword Aggr]:[Keyword Aggr]])*($D131=CLASSIFICATION[[Functional Scope Aggr]:[Functional Scope Aggr]])),
_xlpm._platform_keywords, _xlfn.TEXTSPLIT(SUBSTITUTE(SUBSTITUTE(VLOOKUP($D131,_xlpm._platform_range,3,FALSE),"+"&amp;CHAR(34),"+"),CHAR(34),""),", "),
_xlpm._exists, SUMPRODUCT(--ISNUMBER(MATCH(_xlpm._platform_keywords,_xlpm._original_keywords,0)))&gt;0,
_xlfn.IFS(_xlpm._exists,1,NOT(_xlpm._exists),"")
)</f>
        <v/>
      </c>
      <c r="R131" s="33" cm="1">
        <f t="array" aca="1" ref="R13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($E131=CLASSIFICATION[[Keyword Aggr]:[Keyword Aggr]])*($D131=CLASSIFICATION[[Functional Scope Aggr]:[Functional Scope Aggr]])),
_xlpm._platform_keywords, _xlfn.TEXTSPLIT(SUBSTITUTE(SUBSTITUTE(VLOOKUP($D131,_xlpm._platform_range,3,FALSE),"+"&amp;CHAR(34),"+"),CHAR(34),""),", "),
_xlpm._exists, SUMPRODUCT(--ISNUMBER(MATCH(_xlpm._platform_keywords,_xlpm._original_keywords,0)))&gt;0,
_xlfn.IFS(_xlpm._exists,1,NOT(_xlpm._exists),"")
)</f>
        <v>1</v>
      </c>
      <c r="S131" s="33" t="str" cm="1">
        <f t="array" aca="1" ref="S13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($E131=CLASSIFICATION[[Keyword Aggr]:[Keyword Aggr]])*($D131=CLASSIFICATION[[Functional Scope Aggr]:[Functional Scope Aggr]])),
_xlpm._platform_keywords, _xlfn.TEXTSPLIT(SUBSTITUTE(SUBSTITUTE(VLOOKUP($D131,_xlpm._platform_range,3,FALSE),"+"&amp;CHAR(34),"+"),CHAR(34),""),", "),
_xlpm._exists, SUMPRODUCT(--ISNUMBER(MATCH(_xlpm._platform_keywords,_xlpm._original_keywords,0)))&gt;0,
_xlfn.IFS(_xlpm._exists,1,NOT(_xlpm._exists),"")
)</f>
        <v/>
      </c>
      <c r="T131" s="33" t="str" cm="1">
        <f t="array" aca="1" ref="T13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($E131=CLASSIFICATION[[Keyword Aggr]:[Keyword Aggr]])*($D131=CLASSIFICATION[[Functional Scope Aggr]:[Functional Scope Aggr]])),
_xlpm._platform_keywords, _xlfn.TEXTSPLIT(SUBSTITUTE(SUBSTITUTE(VLOOKUP($D131,_xlpm._platform_range,3,FALSE),"+"&amp;CHAR(34),"+"),CHAR(34),""),", "),
_xlpm._exists, SUMPRODUCT(--ISNUMBER(MATCH(_xlpm._platform_keywords,_xlpm._original_keywords,0)))&gt;0,
_xlfn.IFS(_xlpm._exists,1,NOT(_xlpm._exists),"")
)</f>
        <v/>
      </c>
      <c r="U131" s="33" t="str" cm="1">
        <f t="array" aca="1" ref="U13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($E131=CLASSIFICATION[[Keyword Aggr]:[Keyword Aggr]])*($D131=CLASSIFICATION[[Functional Scope Aggr]:[Functional Scope Aggr]])),
_xlpm._platform_keywords, _xlfn.TEXTSPLIT(SUBSTITUTE(SUBSTITUTE(VLOOKUP($D131,_xlpm._platform_range,3,FALSE),"+"&amp;CHAR(34),"+"),CHAR(34),""),", "),
_xlpm._exists, SUMPRODUCT(--ISNUMBER(MATCH(_xlpm._platform_keywords,_xlpm._original_keywords,0)))&gt;0,
_xlfn.IFS(_xlpm._exists,1,NOT(_xlpm._exists),"")
)</f>
        <v/>
      </c>
      <c r="V131" s="33" t="str" cm="1">
        <f t="array" aca="1" ref="V13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($E131=CLASSIFICATION[[Keyword Aggr]:[Keyword Aggr]])*($D131=CLASSIFICATION[[Functional Scope Aggr]:[Functional Scope Aggr]])),
_xlpm._platform_keywords, _xlfn.TEXTSPLIT(SUBSTITUTE(SUBSTITUTE(VLOOKUP($D131,_xlpm._platform_range,3,FALSE),"+"&amp;CHAR(34),"+"),CHAR(34),""),", "),
_xlpm._exists, SUMPRODUCT(--ISNUMBER(MATCH(_xlpm._platform_keywords,_xlpm._original_keywords,0)))&gt;0,
_xlfn.IFS(_xlpm._exists,1,NOT(_xlpm._exists),"")
)</f>
        <v/>
      </c>
      <c r="X131" s="33" t="str">
        <f t="shared" ref="X131:X194" si="23">IF($H131&lt;&gt;"",COUNTIFS(J$2:J$500,"~*",$D$2:$D$500,$H131),"")</f>
        <v/>
      </c>
      <c r="Y131" s="33" t="str">
        <f t="shared" ref="Y131:Y194" si="24">IF($H131&lt;&gt;"",COUNTIFS(K$2:K$500,"~*",$D$2:$D$500,$H131),"")</f>
        <v/>
      </c>
      <c r="Z131" s="33" t="str">
        <f t="shared" ref="Z131:Z194" si="25">IF($H131&lt;&gt;"",COUNTIFS(L$2:L$500,"~*",$D$2:$D$500,$H131),"")</f>
        <v/>
      </c>
      <c r="AA131" s="33" t="str">
        <f t="shared" ref="AA131:AA194" si="26">IF($H131&lt;&gt;"",COUNTIFS(M$2:M$500,"~*",$D$2:$D$500,$H131),"")</f>
        <v/>
      </c>
      <c r="AB131" s="33" t="str">
        <f t="shared" ref="AB131:AB194" si="27">IF($H131&lt;&gt;"",COUNTIFS(N$2:N$500,"~*",$D$2:$D$500,$H131),"")</f>
        <v/>
      </c>
      <c r="AC131" s="33" t="str">
        <f t="shared" ref="AC131:AC194" si="28">IF($H131&lt;&gt;"",COUNTIFS(O$2:O$500,"~*",$D$2:$D$500,$H131),"")</f>
        <v/>
      </c>
    </row>
    <row r="132" spans="1:29" x14ac:dyDescent="0.25">
      <c r="A132" s="19" t="str">
        <v>Development,Programming,Expressions</v>
      </c>
      <c r="B132" t="s">
        <v>377</v>
      </c>
      <c r="C132" s="19" t="str" cm="1">
        <f t="array" ref="C132:E132">_xlfn.TEXTSPLIT(A132,",")</f>
        <v>Development</v>
      </c>
      <c r="D132" s="19" t="str">
        <v>Programming</v>
      </c>
      <c r="E132" s="19" t="str">
        <v>Expressions</v>
      </c>
      <c r="F132" s="36" t="str" cm="1">
        <f t="array" ref="F132">_xlfn.TEXTJOIN(",",TRUE,_xlfn._xlws.FILTER(CLASSIFICATION[Keyword], ($E132=CLASSIFICATION[Keyword Aggr])*($D132=CLASSIFICATION[Functional Scope Aggr])))</f>
        <v>Boolean Expressions,Conditional Expressions,Expressions</v>
      </c>
      <c r="G132" s="32" t="str">
        <f t="shared" si="20"/>
        <v/>
      </c>
      <c r="H132" s="32" t="str">
        <f t="shared" si="21"/>
        <v/>
      </c>
      <c r="I132" s="32" t="str">
        <f t="shared" si="22"/>
        <v>Expressions</v>
      </c>
      <c r="J132" s="33" t="str" cm="1">
        <f t="array" aca="1" ref="J13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($E132=CLASSIFICATION[[Keyword Aggr]:[Keyword Aggr]])*($D132=CLASSIFICATION[[Functional Scope Aggr]:[Functional Scope Aggr]])),
_xlpm._platform_keywords, _xlfn.TEXTSPLIT(SUBSTITUTE(SUBSTITUTE(VLOOKUP($D132,_xlpm._platform_range,3,FALSE),"+"&amp;CHAR(34),"+"),CHAR(34),""),", "),
_xlpm._exists, SUMPRODUCT(--ISNUMBER(MATCH(_xlpm._platform_keywords,_xlpm._original_keywords,0)))&gt;0,
_xlfn.IFS(AND(_xlpm._exists,LEFT($E132,1)="+"),"+",_xlpm._exists,"*",NOT(_xlpm._exists),"")
)</f>
        <v/>
      </c>
      <c r="K132" s="33" t="str" cm="1">
        <f t="array" aca="1" ref="K13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($E132=CLASSIFICATION[[Keyword Aggr]:[Keyword Aggr]])*($D132=CLASSIFICATION[[Functional Scope Aggr]:[Functional Scope Aggr]])),
_xlpm._platform_keywords, _xlfn.TEXTSPLIT(SUBSTITUTE(SUBSTITUTE(VLOOKUP($D132,_xlpm._platform_range,3,FALSE),"+"&amp;CHAR(34),"+"),CHAR(34),""),", "),
_xlpm._exists, SUMPRODUCT(--ISNUMBER(MATCH(_xlpm._platform_keywords,_xlpm._original_keywords,0)))&gt;0,
_xlfn.IFS(AND(_xlpm._exists,LEFT($E132,1)="+"),"+",_xlpm._exists,"*",NOT(_xlpm._exists),"")
)</f>
        <v>*</v>
      </c>
      <c r="L132" s="33" t="str" cm="1">
        <f t="array" aca="1" ref="L13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($E132=CLASSIFICATION[[Keyword Aggr]:[Keyword Aggr]])*($D132=CLASSIFICATION[[Functional Scope Aggr]:[Functional Scope Aggr]])),
_xlpm._platform_keywords, _xlfn.TEXTSPLIT(SUBSTITUTE(SUBSTITUTE(VLOOKUP($D132,_xlpm._platform_range,3,FALSE),"+"&amp;CHAR(34),"+"),CHAR(34),""),", "),
_xlpm._exists, SUMPRODUCT(--ISNUMBER(MATCH(_xlpm._platform_keywords,_xlpm._original_keywords,0)))&gt;0,
_xlfn.IFS(AND(_xlpm._exists,LEFT($E132,1)="+"),"+",_xlpm._exists,"*",NOT(_xlpm._exists),"")
)</f>
        <v>*</v>
      </c>
      <c r="M132" s="33" t="str" cm="1">
        <f t="array" aca="1" ref="M13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($E132=CLASSIFICATION[[Keyword Aggr]:[Keyword Aggr]])*($D132=CLASSIFICATION[[Functional Scope Aggr]:[Functional Scope Aggr]])),
_xlpm._platform_keywords, _xlfn.TEXTSPLIT(SUBSTITUTE(SUBSTITUTE(VLOOKUP($D132,_xlpm._platform_range,3,FALSE),"+"&amp;CHAR(34),"+"),CHAR(34),""),", "),
_xlpm._exists, SUMPRODUCT(--ISNUMBER(MATCH(_xlpm._platform_keywords,_xlpm._original_keywords,0)))&gt;0,
_xlfn.IFS(AND(_xlpm._exists,LEFT($E132,1)="+"),"+",_xlpm._exists,"*",NOT(_xlpm._exists),"")
)</f>
        <v>*</v>
      </c>
      <c r="N132" s="33" t="str" cm="1">
        <f t="array" aca="1" ref="N13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($E132=CLASSIFICATION[[Keyword Aggr]:[Keyword Aggr]])*($D132=CLASSIFICATION[[Functional Scope Aggr]:[Functional Scope Aggr]])),
_xlpm._platform_keywords, _xlfn.TEXTSPLIT(SUBSTITUTE(SUBSTITUTE(VLOOKUP($D132,_xlpm._platform_range,3,FALSE),"+"&amp;CHAR(34),"+"),CHAR(34),""),", "),
_xlpm._exists, SUMPRODUCT(--ISNUMBER(MATCH(_xlpm._platform_keywords,_xlpm._original_keywords,0)))&gt;0,
_xlfn.IFS(AND(_xlpm._exists,LEFT($E132,1)="+"),"+",_xlpm._exists,"*",NOT(_xlpm._exists),"")
)</f>
        <v>*</v>
      </c>
      <c r="O132" s="33" t="str" cm="1">
        <f t="array" aca="1" ref="O13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($E132=CLASSIFICATION[[Keyword Aggr]:[Keyword Aggr]])*($D132=CLASSIFICATION[[Functional Scope Aggr]:[Functional Scope Aggr]])),
_xlpm._platform_keywords, _xlfn.TEXTSPLIT(SUBSTITUTE(SUBSTITUTE(VLOOKUP($D132,_xlpm._platform_range,3,FALSE),"+"&amp;CHAR(34),"+"),CHAR(34),""),", "),
_xlpm._exists, SUMPRODUCT(--ISNUMBER(MATCH(_xlpm._platform_keywords,_xlpm._original_keywords,0)))&gt;0,
_xlfn.IFS(AND(_xlpm._exists,LEFT($E132,1)="+"),"+",_xlpm._exists,"*",NOT(_xlpm._exists),"")
)</f>
        <v>*</v>
      </c>
      <c r="Q132" s="33" t="str" cm="1">
        <f t="array" aca="1" ref="Q13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($E132=CLASSIFICATION[[Keyword Aggr]:[Keyword Aggr]])*($D132=CLASSIFICATION[[Functional Scope Aggr]:[Functional Scope Aggr]])),
_xlpm._platform_keywords, _xlfn.TEXTSPLIT(SUBSTITUTE(SUBSTITUTE(VLOOKUP($D132,_xlpm._platform_range,3,FALSE),"+"&amp;CHAR(34),"+"),CHAR(34),""),", "),
_xlpm._exists, SUMPRODUCT(--ISNUMBER(MATCH(_xlpm._platform_keywords,_xlpm._original_keywords,0)))&gt;0,
_xlfn.IFS(_xlpm._exists,1,NOT(_xlpm._exists),"")
)</f>
        <v/>
      </c>
      <c r="R132" s="33" cm="1">
        <f t="array" aca="1" ref="R13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($E132=CLASSIFICATION[[Keyword Aggr]:[Keyword Aggr]])*($D132=CLASSIFICATION[[Functional Scope Aggr]:[Functional Scope Aggr]])),
_xlpm._platform_keywords, _xlfn.TEXTSPLIT(SUBSTITUTE(SUBSTITUTE(VLOOKUP($D132,_xlpm._platform_range,3,FALSE),"+"&amp;CHAR(34),"+"),CHAR(34),""),", "),
_xlpm._exists, SUMPRODUCT(--ISNUMBER(MATCH(_xlpm._platform_keywords,_xlpm._original_keywords,0)))&gt;0,
_xlfn.IFS(_xlpm._exists,1,NOT(_xlpm._exists),"")
)</f>
        <v>1</v>
      </c>
      <c r="S132" s="33" cm="1">
        <f t="array" aca="1" ref="S13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($E132=CLASSIFICATION[[Keyword Aggr]:[Keyword Aggr]])*($D132=CLASSIFICATION[[Functional Scope Aggr]:[Functional Scope Aggr]])),
_xlpm._platform_keywords, _xlfn.TEXTSPLIT(SUBSTITUTE(SUBSTITUTE(VLOOKUP($D132,_xlpm._platform_range,3,FALSE),"+"&amp;CHAR(34),"+"),CHAR(34),""),", "),
_xlpm._exists, SUMPRODUCT(--ISNUMBER(MATCH(_xlpm._platform_keywords,_xlpm._original_keywords,0)))&gt;0,
_xlfn.IFS(_xlpm._exists,1,NOT(_xlpm._exists),"")
)</f>
        <v>1</v>
      </c>
      <c r="T132" s="33" cm="1">
        <f t="array" aca="1" ref="T13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($E132=CLASSIFICATION[[Keyword Aggr]:[Keyword Aggr]])*($D132=CLASSIFICATION[[Functional Scope Aggr]:[Functional Scope Aggr]])),
_xlpm._platform_keywords, _xlfn.TEXTSPLIT(SUBSTITUTE(SUBSTITUTE(VLOOKUP($D132,_xlpm._platform_range,3,FALSE),"+"&amp;CHAR(34),"+"),CHAR(34),""),", "),
_xlpm._exists, SUMPRODUCT(--ISNUMBER(MATCH(_xlpm._platform_keywords,_xlpm._original_keywords,0)))&gt;0,
_xlfn.IFS(_xlpm._exists,1,NOT(_xlpm._exists),"")
)</f>
        <v>1</v>
      </c>
      <c r="U132" s="33" cm="1">
        <f t="array" aca="1" ref="U13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($E132=CLASSIFICATION[[Keyword Aggr]:[Keyword Aggr]])*($D132=CLASSIFICATION[[Functional Scope Aggr]:[Functional Scope Aggr]])),
_xlpm._platform_keywords, _xlfn.TEXTSPLIT(SUBSTITUTE(SUBSTITUTE(VLOOKUP($D132,_xlpm._platform_range,3,FALSE),"+"&amp;CHAR(34),"+"),CHAR(34),""),", "),
_xlpm._exists, SUMPRODUCT(--ISNUMBER(MATCH(_xlpm._platform_keywords,_xlpm._original_keywords,0)))&gt;0,
_xlfn.IFS(_xlpm._exists,1,NOT(_xlpm._exists),"")
)</f>
        <v>1</v>
      </c>
      <c r="V132" s="33" cm="1">
        <f t="array" aca="1" ref="V13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($E132=CLASSIFICATION[[Keyword Aggr]:[Keyword Aggr]])*($D132=CLASSIFICATION[[Functional Scope Aggr]:[Functional Scope Aggr]])),
_xlpm._platform_keywords, _xlfn.TEXTSPLIT(SUBSTITUTE(SUBSTITUTE(VLOOKUP($D132,_xlpm._platform_range,3,FALSE),"+"&amp;CHAR(34),"+"),CHAR(34),""),", "),
_xlpm._exists, SUMPRODUCT(--ISNUMBER(MATCH(_xlpm._platform_keywords,_xlpm._original_keywords,0)))&gt;0,
_xlfn.IFS(_xlpm._exists,1,NOT(_xlpm._exists),"")
)</f>
        <v>1</v>
      </c>
      <c r="X132" s="33" t="str">
        <f t="shared" si="23"/>
        <v/>
      </c>
      <c r="Y132" s="33" t="str">
        <f t="shared" si="24"/>
        <v/>
      </c>
      <c r="Z132" s="33" t="str">
        <f t="shared" si="25"/>
        <v/>
      </c>
      <c r="AA132" s="33" t="str">
        <f t="shared" si="26"/>
        <v/>
      </c>
      <c r="AB132" s="33" t="str">
        <f t="shared" si="27"/>
        <v/>
      </c>
      <c r="AC132" s="33" t="str">
        <f t="shared" si="28"/>
        <v/>
      </c>
    </row>
    <row r="133" spans="1:29" x14ac:dyDescent="0.25">
      <c r="A133" s="19" t="str">
        <v>Development,Programming,CLI</v>
      </c>
      <c r="B133" t="s">
        <v>377</v>
      </c>
      <c r="C133" s="19" t="str" cm="1">
        <f t="array" ref="C133:E133">_xlfn.TEXTSPLIT(A133,",")</f>
        <v>Development</v>
      </c>
      <c r="D133" s="19" t="str">
        <v>Programming</v>
      </c>
      <c r="E133" s="19" t="str">
        <v>CLI</v>
      </c>
      <c r="F133" s="36" t="str" cm="1">
        <f t="array" ref="F133">_xlfn.TEXTJOIN(",",TRUE,_xlfn._xlws.FILTER(CLASSIFICATION[Keyword], ($E133=CLASSIFICATION[Keyword Aggr])*($D133=CLASSIFICATION[Functional Scope Aggr])))</f>
        <v>CLI (Microsoft Power Platform CLI)</v>
      </c>
      <c r="G133" s="32" t="str">
        <f t="shared" si="20"/>
        <v/>
      </c>
      <c r="H133" s="32" t="str">
        <f t="shared" si="21"/>
        <v/>
      </c>
      <c r="I133" s="32" t="str">
        <f t="shared" si="22"/>
        <v>CLI</v>
      </c>
      <c r="J133" s="33" t="str" cm="1">
        <f t="array" aca="1" ref="J13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($E133=CLASSIFICATION[[Keyword Aggr]:[Keyword Aggr]])*($D133=CLASSIFICATION[[Functional Scope Aggr]:[Functional Scope Aggr]])),
_xlpm._platform_keywords, _xlfn.TEXTSPLIT(SUBSTITUTE(SUBSTITUTE(VLOOKUP($D133,_xlpm._platform_range,3,FALSE),"+"&amp;CHAR(34),"+"),CHAR(34),""),", "),
_xlpm._exists, SUMPRODUCT(--ISNUMBER(MATCH(_xlpm._platform_keywords,_xlpm._original_keywords,0)))&gt;0,
_xlfn.IFS(AND(_xlpm._exists,LEFT($E133,1)="+"),"+",_xlpm._exists,"*",NOT(_xlpm._exists),"")
)</f>
        <v/>
      </c>
      <c r="K133" s="33" t="str" cm="1">
        <f t="array" aca="1" ref="K13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($E133=CLASSIFICATION[[Keyword Aggr]:[Keyword Aggr]])*($D133=CLASSIFICATION[[Functional Scope Aggr]:[Functional Scope Aggr]])),
_xlpm._platform_keywords, _xlfn.TEXTSPLIT(SUBSTITUTE(SUBSTITUTE(VLOOKUP($D133,_xlpm._platform_range,3,FALSE),"+"&amp;CHAR(34),"+"),CHAR(34),""),", "),
_xlpm._exists, SUMPRODUCT(--ISNUMBER(MATCH(_xlpm._platform_keywords,_xlpm._original_keywords,0)))&gt;0,
_xlfn.IFS(AND(_xlpm._exists,LEFT($E133,1)="+"),"+",_xlpm._exists,"*",NOT(_xlpm._exists),"")
)</f>
        <v/>
      </c>
      <c r="L133" s="33" t="str" cm="1">
        <f t="array" aca="1" ref="L13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($E133=CLASSIFICATION[[Keyword Aggr]:[Keyword Aggr]])*($D133=CLASSIFICATION[[Functional Scope Aggr]:[Functional Scope Aggr]])),
_xlpm._platform_keywords, _xlfn.TEXTSPLIT(SUBSTITUTE(SUBSTITUTE(VLOOKUP($D133,_xlpm._platform_range,3,FALSE),"+"&amp;CHAR(34),"+"),CHAR(34),""),", "),
_xlpm._exists, SUMPRODUCT(--ISNUMBER(MATCH(_xlpm._platform_keywords,_xlpm._original_keywords,0)))&gt;0,
_xlfn.IFS(AND(_xlpm._exists,LEFT($E133,1)="+"),"+",_xlpm._exists,"*",NOT(_xlpm._exists),"")
)</f>
        <v/>
      </c>
      <c r="M133" s="33" t="str" cm="1">
        <f t="array" aca="1" ref="M13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($E133=CLASSIFICATION[[Keyword Aggr]:[Keyword Aggr]])*($D133=CLASSIFICATION[[Functional Scope Aggr]:[Functional Scope Aggr]])),
_xlpm._platform_keywords, _xlfn.TEXTSPLIT(SUBSTITUTE(SUBSTITUTE(VLOOKUP($D133,_xlpm._platform_range,3,FALSE),"+"&amp;CHAR(34),"+"),CHAR(34),""),", "),
_xlpm._exists, SUMPRODUCT(--ISNUMBER(MATCH(_xlpm._platform_keywords,_xlpm._original_keywords,0)))&gt;0,
_xlfn.IFS(AND(_xlpm._exists,LEFT($E133,1)="+"),"+",_xlpm._exists,"*",NOT(_xlpm._exists),"")
)</f>
        <v>*</v>
      </c>
      <c r="N133" s="33" t="str" cm="1">
        <f t="array" aca="1" ref="N13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($E133=CLASSIFICATION[[Keyword Aggr]:[Keyword Aggr]])*($D133=CLASSIFICATION[[Functional Scope Aggr]:[Functional Scope Aggr]])),
_xlpm._platform_keywords, _xlfn.TEXTSPLIT(SUBSTITUTE(SUBSTITUTE(VLOOKUP($D133,_xlpm._platform_range,3,FALSE),"+"&amp;CHAR(34),"+"),CHAR(34),""),", "),
_xlpm._exists, SUMPRODUCT(--ISNUMBER(MATCH(_xlpm._platform_keywords,_xlpm._original_keywords,0)))&gt;0,
_xlfn.IFS(AND(_xlpm._exists,LEFT($E133,1)="+"),"+",_xlpm._exists,"*",NOT(_xlpm._exists),"")
)</f>
        <v/>
      </c>
      <c r="O133" s="33" t="str" cm="1">
        <f t="array" aca="1" ref="O13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($E133=CLASSIFICATION[[Keyword Aggr]:[Keyword Aggr]])*($D133=CLASSIFICATION[[Functional Scope Aggr]:[Functional Scope Aggr]])),
_xlpm._platform_keywords, _xlfn.TEXTSPLIT(SUBSTITUTE(SUBSTITUTE(VLOOKUP($D133,_xlpm._platform_range,3,FALSE),"+"&amp;CHAR(34),"+"),CHAR(34),""),", "),
_xlpm._exists, SUMPRODUCT(--ISNUMBER(MATCH(_xlpm._platform_keywords,_xlpm._original_keywords,0)))&gt;0,
_xlfn.IFS(AND(_xlpm._exists,LEFT($E133,1)="+"),"+",_xlpm._exists,"*",NOT(_xlpm._exists),"")
)</f>
        <v/>
      </c>
      <c r="Q133" s="33" t="str" cm="1">
        <f t="array" aca="1" ref="Q13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($E133=CLASSIFICATION[[Keyword Aggr]:[Keyword Aggr]])*($D133=CLASSIFICATION[[Functional Scope Aggr]:[Functional Scope Aggr]])),
_xlpm._platform_keywords, _xlfn.TEXTSPLIT(SUBSTITUTE(SUBSTITUTE(VLOOKUP($D133,_xlpm._platform_range,3,FALSE),"+"&amp;CHAR(34),"+"),CHAR(34),""),", "),
_xlpm._exists, SUMPRODUCT(--ISNUMBER(MATCH(_xlpm._platform_keywords,_xlpm._original_keywords,0)))&gt;0,
_xlfn.IFS(_xlpm._exists,1,NOT(_xlpm._exists),"")
)</f>
        <v/>
      </c>
      <c r="R133" s="33" t="str" cm="1">
        <f t="array" aca="1" ref="R13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($E133=CLASSIFICATION[[Keyword Aggr]:[Keyword Aggr]])*($D133=CLASSIFICATION[[Functional Scope Aggr]:[Functional Scope Aggr]])),
_xlpm._platform_keywords, _xlfn.TEXTSPLIT(SUBSTITUTE(SUBSTITUTE(VLOOKUP($D133,_xlpm._platform_range,3,FALSE),"+"&amp;CHAR(34),"+"),CHAR(34),""),", "),
_xlpm._exists, SUMPRODUCT(--ISNUMBER(MATCH(_xlpm._platform_keywords,_xlpm._original_keywords,0)))&gt;0,
_xlfn.IFS(_xlpm._exists,1,NOT(_xlpm._exists),"")
)</f>
        <v/>
      </c>
      <c r="S133" s="33" t="str" cm="1">
        <f t="array" aca="1" ref="S13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($E133=CLASSIFICATION[[Keyword Aggr]:[Keyword Aggr]])*($D133=CLASSIFICATION[[Functional Scope Aggr]:[Functional Scope Aggr]])),
_xlpm._platform_keywords, _xlfn.TEXTSPLIT(SUBSTITUTE(SUBSTITUTE(VLOOKUP($D133,_xlpm._platform_range,3,FALSE),"+"&amp;CHAR(34),"+"),CHAR(34),""),", "),
_xlpm._exists, SUMPRODUCT(--ISNUMBER(MATCH(_xlpm._platform_keywords,_xlpm._original_keywords,0)))&gt;0,
_xlfn.IFS(_xlpm._exists,1,NOT(_xlpm._exists),"")
)</f>
        <v/>
      </c>
      <c r="T133" s="33" cm="1">
        <f t="array" aca="1" ref="T13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($E133=CLASSIFICATION[[Keyword Aggr]:[Keyword Aggr]])*($D133=CLASSIFICATION[[Functional Scope Aggr]:[Functional Scope Aggr]])),
_xlpm._platform_keywords, _xlfn.TEXTSPLIT(SUBSTITUTE(SUBSTITUTE(VLOOKUP($D133,_xlpm._platform_range,3,FALSE),"+"&amp;CHAR(34),"+"),CHAR(34),""),", "),
_xlpm._exists, SUMPRODUCT(--ISNUMBER(MATCH(_xlpm._platform_keywords,_xlpm._original_keywords,0)))&gt;0,
_xlfn.IFS(_xlpm._exists,1,NOT(_xlpm._exists),"")
)</f>
        <v>1</v>
      </c>
      <c r="U133" s="33" t="str" cm="1">
        <f t="array" aca="1" ref="U13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($E133=CLASSIFICATION[[Keyword Aggr]:[Keyword Aggr]])*($D133=CLASSIFICATION[[Functional Scope Aggr]:[Functional Scope Aggr]])),
_xlpm._platform_keywords, _xlfn.TEXTSPLIT(SUBSTITUTE(SUBSTITUTE(VLOOKUP($D133,_xlpm._platform_range,3,FALSE),"+"&amp;CHAR(34),"+"),CHAR(34),""),", "),
_xlpm._exists, SUMPRODUCT(--ISNUMBER(MATCH(_xlpm._platform_keywords,_xlpm._original_keywords,0)))&gt;0,
_xlfn.IFS(_xlpm._exists,1,NOT(_xlpm._exists),"")
)</f>
        <v/>
      </c>
      <c r="V133" s="33" t="str" cm="1">
        <f t="array" aca="1" ref="V13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($E133=CLASSIFICATION[[Keyword Aggr]:[Keyword Aggr]])*($D133=CLASSIFICATION[[Functional Scope Aggr]:[Functional Scope Aggr]])),
_xlpm._platform_keywords, _xlfn.TEXTSPLIT(SUBSTITUTE(SUBSTITUTE(VLOOKUP($D133,_xlpm._platform_range,3,FALSE),"+"&amp;CHAR(34),"+"),CHAR(34),""),", "),
_xlpm._exists, SUMPRODUCT(--ISNUMBER(MATCH(_xlpm._platform_keywords,_xlpm._original_keywords,0)))&gt;0,
_xlfn.IFS(_xlpm._exists,1,NOT(_xlpm._exists),"")
)</f>
        <v/>
      </c>
      <c r="X133" s="33" t="str">
        <f t="shared" si="23"/>
        <v/>
      </c>
      <c r="Y133" s="33" t="str">
        <f t="shared" si="24"/>
        <v/>
      </c>
      <c r="Z133" s="33" t="str">
        <f t="shared" si="25"/>
        <v/>
      </c>
      <c r="AA133" s="33" t="str">
        <f t="shared" si="26"/>
        <v/>
      </c>
      <c r="AB133" s="33" t="str">
        <f t="shared" si="27"/>
        <v/>
      </c>
      <c r="AC133" s="33" t="str">
        <f t="shared" si="28"/>
        <v/>
      </c>
    </row>
    <row r="134" spans="1:29" x14ac:dyDescent="0.25">
      <c r="A134" s="19" t="str">
        <v>Development,Programming,IT Data Types</v>
      </c>
      <c r="B134" t="s">
        <v>377</v>
      </c>
      <c r="C134" s="19" t="str" cm="1">
        <f t="array" ref="C134:E134">_xlfn.TEXTSPLIT(A134,",")</f>
        <v>Development</v>
      </c>
      <c r="D134" s="19" t="str">
        <v>Programming</v>
      </c>
      <c r="E134" s="19" t="str">
        <v>IT Data Types</v>
      </c>
      <c r="F134" s="36" t="str" cm="1">
        <f t="array" ref="F134">_xlfn.TEXTJOIN(",",TRUE,_xlfn._xlws.FILTER(CLASSIFICATION[Keyword], ($E134=CLASSIFICATION[Keyword Aggr])*($D134=CLASSIFICATION[Functional Scope Aggr])))</f>
        <v>Complex Types</v>
      </c>
      <c r="G134" s="32" t="str">
        <f t="shared" si="20"/>
        <v/>
      </c>
      <c r="H134" s="32" t="str">
        <f t="shared" si="21"/>
        <v/>
      </c>
      <c r="I134" s="32" t="str">
        <f t="shared" si="22"/>
        <v>IT Data Types</v>
      </c>
      <c r="J134" s="33" t="str" cm="1">
        <f t="array" aca="1" ref="J13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($E134=CLASSIFICATION[[Keyword Aggr]:[Keyword Aggr]])*($D134=CLASSIFICATION[[Functional Scope Aggr]:[Functional Scope Aggr]])),
_xlpm._platform_keywords, _xlfn.TEXTSPLIT(SUBSTITUTE(SUBSTITUTE(VLOOKUP($D134,_xlpm._platform_range,3,FALSE),"+"&amp;CHAR(34),"+"),CHAR(34),""),", "),
_xlpm._exists, SUMPRODUCT(--ISNUMBER(MATCH(_xlpm._platform_keywords,_xlpm._original_keywords,0)))&gt;0,
_xlfn.IFS(AND(_xlpm._exists,LEFT($E134,1)="+"),"+",_xlpm._exists,"*",NOT(_xlpm._exists),"")
)</f>
        <v/>
      </c>
      <c r="K134" s="33" t="str" cm="1">
        <f t="array" aca="1" ref="K13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($E134=CLASSIFICATION[[Keyword Aggr]:[Keyword Aggr]])*($D134=CLASSIFICATION[[Functional Scope Aggr]:[Functional Scope Aggr]])),
_xlpm._platform_keywords, _xlfn.TEXTSPLIT(SUBSTITUTE(SUBSTITUTE(VLOOKUP($D134,_xlpm._platform_range,3,FALSE),"+"&amp;CHAR(34),"+"),CHAR(34),""),", "),
_xlpm._exists, SUMPRODUCT(--ISNUMBER(MATCH(_xlpm._platform_keywords,_xlpm._original_keywords,0)))&gt;0,
_xlfn.IFS(AND(_xlpm._exists,LEFT($E134,1)="+"),"+",_xlpm._exists,"*",NOT(_xlpm._exists),"")
)</f>
        <v/>
      </c>
      <c r="L134" s="33" t="str" cm="1">
        <f t="array" aca="1" ref="L13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($E134=CLASSIFICATION[[Keyword Aggr]:[Keyword Aggr]])*($D134=CLASSIFICATION[[Functional Scope Aggr]:[Functional Scope Aggr]])),
_xlpm._platform_keywords, _xlfn.TEXTSPLIT(SUBSTITUTE(SUBSTITUTE(VLOOKUP($D134,_xlpm._platform_range,3,FALSE),"+"&amp;CHAR(34),"+"),CHAR(34),""),", "),
_xlpm._exists, SUMPRODUCT(--ISNUMBER(MATCH(_xlpm._platform_keywords,_xlpm._original_keywords,0)))&gt;0,
_xlfn.IFS(AND(_xlpm._exists,LEFT($E134,1)="+"),"+",_xlpm._exists,"*",NOT(_xlpm._exists),"")
)</f>
        <v/>
      </c>
      <c r="M134" s="33" t="str" cm="1">
        <f t="array" aca="1" ref="M13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($E134=CLASSIFICATION[[Keyword Aggr]:[Keyword Aggr]])*($D134=CLASSIFICATION[[Functional Scope Aggr]:[Functional Scope Aggr]])),
_xlpm._platform_keywords, _xlfn.TEXTSPLIT(SUBSTITUTE(SUBSTITUTE(VLOOKUP($D134,_xlpm._platform_range,3,FALSE),"+"&amp;CHAR(34),"+"),CHAR(34),""),", "),
_xlpm._exists, SUMPRODUCT(--ISNUMBER(MATCH(_xlpm._platform_keywords,_xlpm._original_keywords,0)))&gt;0,
_xlfn.IFS(AND(_xlpm._exists,LEFT($E134,1)="+"),"+",_xlpm._exists,"*",NOT(_xlpm._exists),"")
)</f>
        <v>*</v>
      </c>
      <c r="N134" s="33" t="str" cm="1">
        <f t="array" aca="1" ref="N13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($E134=CLASSIFICATION[[Keyword Aggr]:[Keyword Aggr]])*($D134=CLASSIFICATION[[Functional Scope Aggr]:[Functional Scope Aggr]])),
_xlpm._platform_keywords, _xlfn.TEXTSPLIT(SUBSTITUTE(SUBSTITUTE(VLOOKUP($D134,_xlpm._platform_range,3,FALSE),"+"&amp;CHAR(34),"+"),CHAR(34),""),", "),
_xlpm._exists, SUMPRODUCT(--ISNUMBER(MATCH(_xlpm._platform_keywords,_xlpm._original_keywords,0)))&gt;0,
_xlfn.IFS(AND(_xlpm._exists,LEFT($E134,1)="+"),"+",_xlpm._exists,"*",NOT(_xlpm._exists),"")
)</f>
        <v/>
      </c>
      <c r="O134" s="33" t="str" cm="1">
        <f t="array" aca="1" ref="O13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($E134=CLASSIFICATION[[Keyword Aggr]:[Keyword Aggr]])*($D134=CLASSIFICATION[[Functional Scope Aggr]:[Functional Scope Aggr]])),
_xlpm._platform_keywords, _xlfn.TEXTSPLIT(SUBSTITUTE(SUBSTITUTE(VLOOKUP($D134,_xlpm._platform_range,3,FALSE),"+"&amp;CHAR(34),"+"),CHAR(34),""),", "),
_xlpm._exists, SUMPRODUCT(--ISNUMBER(MATCH(_xlpm._platform_keywords,_xlpm._original_keywords,0)))&gt;0,
_xlfn.IFS(AND(_xlpm._exists,LEFT($E134,1)="+"),"+",_xlpm._exists,"*",NOT(_xlpm._exists),"")
)</f>
        <v/>
      </c>
      <c r="Q134" s="33" t="str" cm="1">
        <f t="array" aca="1" ref="Q13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($E134=CLASSIFICATION[[Keyword Aggr]:[Keyword Aggr]])*($D134=CLASSIFICATION[[Functional Scope Aggr]:[Functional Scope Aggr]])),
_xlpm._platform_keywords, _xlfn.TEXTSPLIT(SUBSTITUTE(SUBSTITUTE(VLOOKUP($D134,_xlpm._platform_range,3,FALSE),"+"&amp;CHAR(34),"+"),CHAR(34),""),", "),
_xlpm._exists, SUMPRODUCT(--ISNUMBER(MATCH(_xlpm._platform_keywords,_xlpm._original_keywords,0)))&gt;0,
_xlfn.IFS(_xlpm._exists,1,NOT(_xlpm._exists),"")
)</f>
        <v/>
      </c>
      <c r="R134" s="33" t="str" cm="1">
        <f t="array" aca="1" ref="R13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($E134=CLASSIFICATION[[Keyword Aggr]:[Keyword Aggr]])*($D134=CLASSIFICATION[[Functional Scope Aggr]:[Functional Scope Aggr]])),
_xlpm._platform_keywords, _xlfn.TEXTSPLIT(SUBSTITUTE(SUBSTITUTE(VLOOKUP($D134,_xlpm._platform_range,3,FALSE),"+"&amp;CHAR(34),"+"),CHAR(34),""),", "),
_xlpm._exists, SUMPRODUCT(--ISNUMBER(MATCH(_xlpm._platform_keywords,_xlpm._original_keywords,0)))&gt;0,
_xlfn.IFS(_xlpm._exists,1,NOT(_xlpm._exists),"")
)</f>
        <v/>
      </c>
      <c r="S134" s="33" t="str" cm="1">
        <f t="array" aca="1" ref="S13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($E134=CLASSIFICATION[[Keyword Aggr]:[Keyword Aggr]])*($D134=CLASSIFICATION[[Functional Scope Aggr]:[Functional Scope Aggr]])),
_xlpm._platform_keywords, _xlfn.TEXTSPLIT(SUBSTITUTE(SUBSTITUTE(VLOOKUP($D134,_xlpm._platform_range,3,FALSE),"+"&amp;CHAR(34),"+"),CHAR(34),""),", "),
_xlpm._exists, SUMPRODUCT(--ISNUMBER(MATCH(_xlpm._platform_keywords,_xlpm._original_keywords,0)))&gt;0,
_xlfn.IFS(_xlpm._exists,1,NOT(_xlpm._exists),"")
)</f>
        <v/>
      </c>
      <c r="T134" s="33" cm="1">
        <f t="array" aca="1" ref="T13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($E134=CLASSIFICATION[[Keyword Aggr]:[Keyword Aggr]])*($D134=CLASSIFICATION[[Functional Scope Aggr]:[Functional Scope Aggr]])),
_xlpm._platform_keywords, _xlfn.TEXTSPLIT(SUBSTITUTE(SUBSTITUTE(VLOOKUP($D134,_xlpm._platform_range,3,FALSE),"+"&amp;CHAR(34),"+"),CHAR(34),""),", "),
_xlpm._exists, SUMPRODUCT(--ISNUMBER(MATCH(_xlpm._platform_keywords,_xlpm._original_keywords,0)))&gt;0,
_xlfn.IFS(_xlpm._exists,1,NOT(_xlpm._exists),"")
)</f>
        <v>1</v>
      </c>
      <c r="U134" s="33" t="str" cm="1">
        <f t="array" aca="1" ref="U13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($E134=CLASSIFICATION[[Keyword Aggr]:[Keyword Aggr]])*($D134=CLASSIFICATION[[Functional Scope Aggr]:[Functional Scope Aggr]])),
_xlpm._platform_keywords, _xlfn.TEXTSPLIT(SUBSTITUTE(SUBSTITUTE(VLOOKUP($D134,_xlpm._platform_range,3,FALSE),"+"&amp;CHAR(34),"+"),CHAR(34),""),", "),
_xlpm._exists, SUMPRODUCT(--ISNUMBER(MATCH(_xlpm._platform_keywords,_xlpm._original_keywords,0)))&gt;0,
_xlfn.IFS(_xlpm._exists,1,NOT(_xlpm._exists),"")
)</f>
        <v/>
      </c>
      <c r="V134" s="33" t="str" cm="1">
        <f t="array" aca="1" ref="V13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($E134=CLASSIFICATION[[Keyword Aggr]:[Keyword Aggr]])*($D134=CLASSIFICATION[[Functional Scope Aggr]:[Functional Scope Aggr]])),
_xlpm._platform_keywords, _xlfn.TEXTSPLIT(SUBSTITUTE(SUBSTITUTE(VLOOKUP($D134,_xlpm._platform_range,3,FALSE),"+"&amp;CHAR(34),"+"),CHAR(34),""),", "),
_xlpm._exists, SUMPRODUCT(--ISNUMBER(MATCH(_xlpm._platform_keywords,_xlpm._original_keywords,0)))&gt;0,
_xlfn.IFS(_xlpm._exists,1,NOT(_xlpm._exists),"")
)</f>
        <v/>
      </c>
      <c r="X134" s="33" t="str">
        <f t="shared" si="23"/>
        <v/>
      </c>
      <c r="Y134" s="33" t="str">
        <f t="shared" si="24"/>
        <v/>
      </c>
      <c r="Z134" s="33" t="str">
        <f t="shared" si="25"/>
        <v/>
      </c>
      <c r="AA134" s="33" t="str">
        <f t="shared" si="26"/>
        <v/>
      </c>
      <c r="AB134" s="33" t="str">
        <f t="shared" si="27"/>
        <v/>
      </c>
      <c r="AC134" s="33" t="str">
        <f t="shared" si="28"/>
        <v/>
      </c>
    </row>
    <row r="135" spans="1:29" x14ac:dyDescent="0.25">
      <c r="A135" s="19" t="str">
        <v>Development,Programming,Eclipse</v>
      </c>
      <c r="B135" t="s">
        <v>377</v>
      </c>
      <c r="C135" s="19" t="str" cm="1">
        <f t="array" ref="C135:E135">_xlfn.TEXTSPLIT(A135,",")</f>
        <v>Development</v>
      </c>
      <c r="D135" s="19" t="str">
        <v>Programming</v>
      </c>
      <c r="E135" s="19" t="str">
        <v>Eclipse</v>
      </c>
      <c r="F135" s="36" t="str" cm="1">
        <f t="array" ref="F135">_xlfn.TEXTJOIN(",",TRUE,_xlfn._xlws.FILTER(CLASSIFICATION[Keyword], ($E135=CLASSIFICATION[Keyword Aggr])*($D135=CLASSIFICATION[Functional Scope Aggr])))</f>
        <v>Eclipse</v>
      </c>
      <c r="G135" s="32" t="str">
        <f t="shared" si="20"/>
        <v/>
      </c>
      <c r="H135" s="32" t="str">
        <f t="shared" si="21"/>
        <v/>
      </c>
      <c r="I135" s="32" t="str">
        <f t="shared" si="22"/>
        <v>Eclipse</v>
      </c>
      <c r="J135" s="33" t="str" cm="1">
        <f t="array" aca="1" ref="J13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($E135=CLASSIFICATION[[Keyword Aggr]:[Keyword Aggr]])*($D135=CLASSIFICATION[[Functional Scope Aggr]:[Functional Scope Aggr]])),
_xlpm._platform_keywords, _xlfn.TEXTSPLIT(SUBSTITUTE(SUBSTITUTE(VLOOKUP($D135,_xlpm._platform_range,3,FALSE),"+"&amp;CHAR(34),"+"),CHAR(34),""),", "),
_xlpm._exists, SUMPRODUCT(--ISNUMBER(MATCH(_xlpm._platform_keywords,_xlpm._original_keywords,0)))&gt;0,
_xlfn.IFS(AND(_xlpm._exists,LEFT($E135,1)="+"),"+",_xlpm._exists,"*",NOT(_xlpm._exists),"")
)</f>
        <v>*</v>
      </c>
      <c r="K135" s="33" t="str" cm="1">
        <f t="array" aca="1" ref="K13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($E135=CLASSIFICATION[[Keyword Aggr]:[Keyword Aggr]])*($D135=CLASSIFICATION[[Functional Scope Aggr]:[Functional Scope Aggr]])),
_xlpm._platform_keywords, _xlfn.TEXTSPLIT(SUBSTITUTE(SUBSTITUTE(VLOOKUP($D135,_xlpm._platform_range,3,FALSE),"+"&amp;CHAR(34),"+"),CHAR(34),""),", "),
_xlpm._exists, SUMPRODUCT(--ISNUMBER(MATCH(_xlpm._platform_keywords,_xlpm._original_keywords,0)))&gt;0,
_xlfn.IFS(AND(_xlpm._exists,LEFT($E135,1)="+"),"+",_xlpm._exists,"*",NOT(_xlpm._exists),"")
)</f>
        <v/>
      </c>
      <c r="L135" s="33" t="str" cm="1">
        <f t="array" aca="1" ref="L13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($E135=CLASSIFICATION[[Keyword Aggr]:[Keyword Aggr]])*($D135=CLASSIFICATION[[Functional Scope Aggr]:[Functional Scope Aggr]])),
_xlpm._platform_keywords, _xlfn.TEXTSPLIT(SUBSTITUTE(SUBSTITUTE(VLOOKUP($D135,_xlpm._platform_range,3,FALSE),"+"&amp;CHAR(34),"+"),CHAR(34),""),", "),
_xlpm._exists, SUMPRODUCT(--ISNUMBER(MATCH(_xlpm._platform_keywords,_xlpm._original_keywords,0)))&gt;0,
_xlfn.IFS(AND(_xlpm._exists,LEFT($E135,1)="+"),"+",_xlpm._exists,"*",NOT(_xlpm._exists),"")
)</f>
        <v/>
      </c>
      <c r="M135" s="33" t="str" cm="1">
        <f t="array" aca="1" ref="M13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($E135=CLASSIFICATION[[Keyword Aggr]:[Keyword Aggr]])*($D135=CLASSIFICATION[[Functional Scope Aggr]:[Functional Scope Aggr]])),
_xlpm._platform_keywords, _xlfn.TEXTSPLIT(SUBSTITUTE(SUBSTITUTE(VLOOKUP($D135,_xlpm._platform_range,3,FALSE),"+"&amp;CHAR(34),"+"),CHAR(34),""),", "),
_xlpm._exists, SUMPRODUCT(--ISNUMBER(MATCH(_xlpm._platform_keywords,_xlpm._original_keywords,0)))&gt;0,
_xlfn.IFS(AND(_xlpm._exists,LEFT($E135,1)="+"),"+",_xlpm._exists,"*",NOT(_xlpm._exists),"")
)</f>
        <v/>
      </c>
      <c r="N135" s="33" t="str" cm="1">
        <f t="array" aca="1" ref="N13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($E135=CLASSIFICATION[[Keyword Aggr]:[Keyword Aggr]])*($D135=CLASSIFICATION[[Functional Scope Aggr]:[Functional Scope Aggr]])),
_xlpm._platform_keywords, _xlfn.TEXTSPLIT(SUBSTITUTE(SUBSTITUTE(VLOOKUP($D135,_xlpm._platform_range,3,FALSE),"+"&amp;CHAR(34),"+"),CHAR(34),""),", "),
_xlpm._exists, SUMPRODUCT(--ISNUMBER(MATCH(_xlpm._platform_keywords,_xlpm._original_keywords,0)))&gt;0,
_xlfn.IFS(AND(_xlpm._exists,LEFT($E135,1)="+"),"+",_xlpm._exists,"*",NOT(_xlpm._exists),"")
)</f>
        <v/>
      </c>
      <c r="O135" s="33" t="str" cm="1">
        <f t="array" aca="1" ref="O13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($E135=CLASSIFICATION[[Keyword Aggr]:[Keyword Aggr]])*($D135=CLASSIFICATION[[Functional Scope Aggr]:[Functional Scope Aggr]])),
_xlpm._platform_keywords, _xlfn.TEXTSPLIT(SUBSTITUTE(SUBSTITUTE(VLOOKUP($D135,_xlpm._platform_range,3,FALSE),"+"&amp;CHAR(34),"+"),CHAR(34),""),", "),
_xlpm._exists, SUMPRODUCT(--ISNUMBER(MATCH(_xlpm._platform_keywords,_xlpm._original_keywords,0)))&gt;0,
_xlfn.IFS(AND(_xlpm._exists,LEFT($E135,1)="+"),"+",_xlpm._exists,"*",NOT(_xlpm._exists),"")
)</f>
        <v/>
      </c>
      <c r="Q135" s="33" cm="1">
        <f t="array" aca="1" ref="Q13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($E135=CLASSIFICATION[[Keyword Aggr]:[Keyword Aggr]])*($D135=CLASSIFICATION[[Functional Scope Aggr]:[Functional Scope Aggr]])),
_xlpm._platform_keywords, _xlfn.TEXTSPLIT(SUBSTITUTE(SUBSTITUTE(VLOOKUP($D135,_xlpm._platform_range,3,FALSE),"+"&amp;CHAR(34),"+"),CHAR(34),""),", "),
_xlpm._exists, SUMPRODUCT(--ISNUMBER(MATCH(_xlpm._platform_keywords,_xlpm._original_keywords,0)))&gt;0,
_xlfn.IFS(_xlpm._exists,1,NOT(_xlpm._exists),"")
)</f>
        <v>1</v>
      </c>
      <c r="R135" s="33" t="str" cm="1">
        <f t="array" aca="1" ref="R13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($E135=CLASSIFICATION[[Keyword Aggr]:[Keyword Aggr]])*($D135=CLASSIFICATION[[Functional Scope Aggr]:[Functional Scope Aggr]])),
_xlpm._platform_keywords, _xlfn.TEXTSPLIT(SUBSTITUTE(SUBSTITUTE(VLOOKUP($D135,_xlpm._platform_range,3,FALSE),"+"&amp;CHAR(34),"+"),CHAR(34),""),", "),
_xlpm._exists, SUMPRODUCT(--ISNUMBER(MATCH(_xlpm._platform_keywords,_xlpm._original_keywords,0)))&gt;0,
_xlfn.IFS(_xlpm._exists,1,NOT(_xlpm._exists),"")
)</f>
        <v/>
      </c>
      <c r="S135" s="33" t="str" cm="1">
        <f t="array" aca="1" ref="S13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($E135=CLASSIFICATION[[Keyword Aggr]:[Keyword Aggr]])*($D135=CLASSIFICATION[[Functional Scope Aggr]:[Functional Scope Aggr]])),
_xlpm._platform_keywords, _xlfn.TEXTSPLIT(SUBSTITUTE(SUBSTITUTE(VLOOKUP($D135,_xlpm._platform_range,3,FALSE),"+"&amp;CHAR(34),"+"),CHAR(34),""),", "),
_xlpm._exists, SUMPRODUCT(--ISNUMBER(MATCH(_xlpm._platform_keywords,_xlpm._original_keywords,0)))&gt;0,
_xlfn.IFS(_xlpm._exists,1,NOT(_xlpm._exists),"")
)</f>
        <v/>
      </c>
      <c r="T135" s="33" t="str" cm="1">
        <f t="array" aca="1" ref="T13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($E135=CLASSIFICATION[[Keyword Aggr]:[Keyword Aggr]])*($D135=CLASSIFICATION[[Functional Scope Aggr]:[Functional Scope Aggr]])),
_xlpm._platform_keywords, _xlfn.TEXTSPLIT(SUBSTITUTE(SUBSTITUTE(VLOOKUP($D135,_xlpm._platform_range,3,FALSE),"+"&amp;CHAR(34),"+"),CHAR(34),""),", "),
_xlpm._exists, SUMPRODUCT(--ISNUMBER(MATCH(_xlpm._platform_keywords,_xlpm._original_keywords,0)))&gt;0,
_xlfn.IFS(_xlpm._exists,1,NOT(_xlpm._exists),"")
)</f>
        <v/>
      </c>
      <c r="U135" s="33" t="str" cm="1">
        <f t="array" aca="1" ref="U13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($E135=CLASSIFICATION[[Keyword Aggr]:[Keyword Aggr]])*($D135=CLASSIFICATION[[Functional Scope Aggr]:[Functional Scope Aggr]])),
_xlpm._platform_keywords, _xlfn.TEXTSPLIT(SUBSTITUTE(SUBSTITUTE(VLOOKUP($D135,_xlpm._platform_range,3,FALSE),"+"&amp;CHAR(34),"+"),CHAR(34),""),", "),
_xlpm._exists, SUMPRODUCT(--ISNUMBER(MATCH(_xlpm._platform_keywords,_xlpm._original_keywords,0)))&gt;0,
_xlfn.IFS(_xlpm._exists,1,NOT(_xlpm._exists),"")
)</f>
        <v/>
      </c>
      <c r="V135" s="33" t="str" cm="1">
        <f t="array" aca="1" ref="V13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($E135=CLASSIFICATION[[Keyword Aggr]:[Keyword Aggr]])*($D135=CLASSIFICATION[[Functional Scope Aggr]:[Functional Scope Aggr]])),
_xlpm._platform_keywords, _xlfn.TEXTSPLIT(SUBSTITUTE(SUBSTITUTE(VLOOKUP($D135,_xlpm._platform_range,3,FALSE),"+"&amp;CHAR(34),"+"),CHAR(34),""),", "),
_xlpm._exists, SUMPRODUCT(--ISNUMBER(MATCH(_xlpm._platform_keywords,_xlpm._original_keywords,0)))&gt;0,
_xlfn.IFS(_xlpm._exists,1,NOT(_xlpm._exists),"")
)</f>
        <v/>
      </c>
      <c r="X135" s="33" t="str">
        <f t="shared" si="23"/>
        <v/>
      </c>
      <c r="Y135" s="33" t="str">
        <f t="shared" si="24"/>
        <v/>
      </c>
      <c r="Z135" s="33" t="str">
        <f t="shared" si="25"/>
        <v/>
      </c>
      <c r="AA135" s="33" t="str">
        <f t="shared" si="26"/>
        <v/>
      </c>
      <c r="AB135" s="33" t="str">
        <f t="shared" si="27"/>
        <v/>
      </c>
      <c r="AC135" s="33" t="str">
        <f t="shared" si="28"/>
        <v/>
      </c>
    </row>
    <row r="136" spans="1:29" x14ac:dyDescent="0.25">
      <c r="A136" s="19" t="str">
        <v>Development,Programming,Emulators</v>
      </c>
      <c r="B136" t="s">
        <v>377</v>
      </c>
      <c r="C136" s="19" t="str" cm="1">
        <f t="array" ref="C136:E136">_xlfn.TEXTSPLIT(A136,",")</f>
        <v>Development</v>
      </c>
      <c r="D136" s="19" t="str">
        <v>Programming</v>
      </c>
      <c r="E136" s="19" t="str">
        <v>Emulators</v>
      </c>
      <c r="F136" s="36" t="str" cm="1">
        <f t="array" ref="F136">_xlfn.TEXTJOIN(",",TRUE,_xlfn._xlws.FILTER(CLASSIFICATION[Keyword], ($E136=CLASSIFICATION[Keyword Aggr])*($D136=CLASSIFICATION[Functional Scope Aggr])))</f>
        <v>Emulators Andoid iOS</v>
      </c>
      <c r="G136" s="32" t="str">
        <f t="shared" si="20"/>
        <v/>
      </c>
      <c r="H136" s="32" t="str">
        <f t="shared" si="21"/>
        <v/>
      </c>
      <c r="I136" s="32" t="str">
        <f t="shared" si="22"/>
        <v>Emulators</v>
      </c>
      <c r="J136" s="33" t="str" cm="1">
        <f t="array" aca="1" ref="J13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($E136=CLASSIFICATION[[Keyword Aggr]:[Keyword Aggr]])*($D136=CLASSIFICATION[[Functional Scope Aggr]:[Functional Scope Aggr]])),
_xlpm._platform_keywords, _xlfn.TEXTSPLIT(SUBSTITUTE(SUBSTITUTE(VLOOKUP($D136,_xlpm._platform_range,3,FALSE),"+"&amp;CHAR(34),"+"),CHAR(34),""),", "),
_xlpm._exists, SUMPRODUCT(--ISNUMBER(MATCH(_xlpm._platform_keywords,_xlpm._original_keywords,0)))&gt;0,
_xlfn.IFS(AND(_xlpm._exists,LEFT($E136,1)="+"),"+",_xlpm._exists,"*",NOT(_xlpm._exists),"")
)</f>
        <v>*</v>
      </c>
      <c r="K136" s="33" t="str" cm="1">
        <f t="array" aca="1" ref="K13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($E136=CLASSIFICATION[[Keyword Aggr]:[Keyword Aggr]])*($D136=CLASSIFICATION[[Functional Scope Aggr]:[Functional Scope Aggr]])),
_xlpm._platform_keywords, _xlfn.TEXTSPLIT(SUBSTITUTE(SUBSTITUTE(VLOOKUP($D136,_xlpm._platform_range,3,FALSE),"+"&amp;CHAR(34),"+"),CHAR(34),""),", "),
_xlpm._exists, SUMPRODUCT(--ISNUMBER(MATCH(_xlpm._platform_keywords,_xlpm._original_keywords,0)))&gt;0,
_xlfn.IFS(AND(_xlpm._exists,LEFT($E136,1)="+"),"+",_xlpm._exists,"*",NOT(_xlpm._exists),"")
)</f>
        <v/>
      </c>
      <c r="L136" s="33" t="str" cm="1">
        <f t="array" aca="1" ref="L13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($E136=CLASSIFICATION[[Keyword Aggr]:[Keyword Aggr]])*($D136=CLASSIFICATION[[Functional Scope Aggr]:[Functional Scope Aggr]])),
_xlpm._platform_keywords, _xlfn.TEXTSPLIT(SUBSTITUTE(SUBSTITUTE(VLOOKUP($D136,_xlpm._platform_range,3,FALSE),"+"&amp;CHAR(34),"+"),CHAR(34),""),", "),
_xlpm._exists, SUMPRODUCT(--ISNUMBER(MATCH(_xlpm._platform_keywords,_xlpm._original_keywords,0)))&gt;0,
_xlfn.IFS(AND(_xlpm._exists,LEFT($E136,1)="+"),"+",_xlpm._exists,"*",NOT(_xlpm._exists),"")
)</f>
        <v/>
      </c>
      <c r="M136" s="33" t="str" cm="1">
        <f t="array" aca="1" ref="M13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($E136=CLASSIFICATION[[Keyword Aggr]:[Keyword Aggr]])*($D136=CLASSIFICATION[[Functional Scope Aggr]:[Functional Scope Aggr]])),
_xlpm._platform_keywords, _xlfn.TEXTSPLIT(SUBSTITUTE(SUBSTITUTE(VLOOKUP($D136,_xlpm._platform_range,3,FALSE),"+"&amp;CHAR(34),"+"),CHAR(34),""),", "),
_xlpm._exists, SUMPRODUCT(--ISNUMBER(MATCH(_xlpm._platform_keywords,_xlpm._original_keywords,0)))&gt;0,
_xlfn.IFS(AND(_xlpm._exists,LEFT($E136,1)="+"),"+",_xlpm._exists,"*",NOT(_xlpm._exists),"")
)</f>
        <v/>
      </c>
      <c r="N136" s="33" t="str" cm="1">
        <f t="array" aca="1" ref="N13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($E136=CLASSIFICATION[[Keyword Aggr]:[Keyword Aggr]])*($D136=CLASSIFICATION[[Functional Scope Aggr]:[Functional Scope Aggr]])),
_xlpm._platform_keywords, _xlfn.TEXTSPLIT(SUBSTITUTE(SUBSTITUTE(VLOOKUP($D136,_xlpm._platform_range,3,FALSE),"+"&amp;CHAR(34),"+"),CHAR(34),""),", "),
_xlpm._exists, SUMPRODUCT(--ISNUMBER(MATCH(_xlpm._platform_keywords,_xlpm._original_keywords,0)))&gt;0,
_xlfn.IFS(AND(_xlpm._exists,LEFT($E136,1)="+"),"+",_xlpm._exists,"*",NOT(_xlpm._exists),"")
)</f>
        <v/>
      </c>
      <c r="O136" s="33" t="str" cm="1">
        <f t="array" aca="1" ref="O13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($E136=CLASSIFICATION[[Keyword Aggr]:[Keyword Aggr]])*($D136=CLASSIFICATION[[Functional Scope Aggr]:[Functional Scope Aggr]])),
_xlpm._platform_keywords, _xlfn.TEXTSPLIT(SUBSTITUTE(SUBSTITUTE(VLOOKUP($D136,_xlpm._platform_range,3,FALSE),"+"&amp;CHAR(34),"+"),CHAR(34),""),", "),
_xlpm._exists, SUMPRODUCT(--ISNUMBER(MATCH(_xlpm._platform_keywords,_xlpm._original_keywords,0)))&gt;0,
_xlfn.IFS(AND(_xlpm._exists,LEFT($E136,1)="+"),"+",_xlpm._exists,"*",NOT(_xlpm._exists),"")
)</f>
        <v/>
      </c>
      <c r="Q136" s="33" cm="1">
        <f t="array" aca="1" ref="Q13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($E136=CLASSIFICATION[[Keyword Aggr]:[Keyword Aggr]])*($D136=CLASSIFICATION[[Functional Scope Aggr]:[Functional Scope Aggr]])),
_xlpm._platform_keywords, _xlfn.TEXTSPLIT(SUBSTITUTE(SUBSTITUTE(VLOOKUP($D136,_xlpm._platform_range,3,FALSE),"+"&amp;CHAR(34),"+"),CHAR(34),""),", "),
_xlpm._exists, SUMPRODUCT(--ISNUMBER(MATCH(_xlpm._platform_keywords,_xlpm._original_keywords,0)))&gt;0,
_xlfn.IFS(_xlpm._exists,1,NOT(_xlpm._exists),"")
)</f>
        <v>1</v>
      </c>
      <c r="R136" s="33" t="str" cm="1">
        <f t="array" aca="1" ref="R13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($E136=CLASSIFICATION[[Keyword Aggr]:[Keyword Aggr]])*($D136=CLASSIFICATION[[Functional Scope Aggr]:[Functional Scope Aggr]])),
_xlpm._platform_keywords, _xlfn.TEXTSPLIT(SUBSTITUTE(SUBSTITUTE(VLOOKUP($D136,_xlpm._platform_range,3,FALSE),"+"&amp;CHAR(34),"+"),CHAR(34),""),", "),
_xlpm._exists, SUMPRODUCT(--ISNUMBER(MATCH(_xlpm._platform_keywords,_xlpm._original_keywords,0)))&gt;0,
_xlfn.IFS(_xlpm._exists,1,NOT(_xlpm._exists),"")
)</f>
        <v/>
      </c>
      <c r="S136" s="33" t="str" cm="1">
        <f t="array" aca="1" ref="S13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($E136=CLASSIFICATION[[Keyword Aggr]:[Keyword Aggr]])*($D136=CLASSIFICATION[[Functional Scope Aggr]:[Functional Scope Aggr]])),
_xlpm._platform_keywords, _xlfn.TEXTSPLIT(SUBSTITUTE(SUBSTITUTE(VLOOKUP($D136,_xlpm._platform_range,3,FALSE),"+"&amp;CHAR(34),"+"),CHAR(34),""),", "),
_xlpm._exists, SUMPRODUCT(--ISNUMBER(MATCH(_xlpm._platform_keywords,_xlpm._original_keywords,0)))&gt;0,
_xlfn.IFS(_xlpm._exists,1,NOT(_xlpm._exists),"")
)</f>
        <v/>
      </c>
      <c r="T136" s="33" t="str" cm="1">
        <f t="array" aca="1" ref="T13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($E136=CLASSIFICATION[[Keyword Aggr]:[Keyword Aggr]])*($D136=CLASSIFICATION[[Functional Scope Aggr]:[Functional Scope Aggr]])),
_xlpm._platform_keywords, _xlfn.TEXTSPLIT(SUBSTITUTE(SUBSTITUTE(VLOOKUP($D136,_xlpm._platform_range,3,FALSE),"+"&amp;CHAR(34),"+"),CHAR(34),""),", "),
_xlpm._exists, SUMPRODUCT(--ISNUMBER(MATCH(_xlpm._platform_keywords,_xlpm._original_keywords,0)))&gt;0,
_xlfn.IFS(_xlpm._exists,1,NOT(_xlpm._exists),"")
)</f>
        <v/>
      </c>
      <c r="U136" s="33" t="str" cm="1">
        <f t="array" aca="1" ref="U13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($E136=CLASSIFICATION[[Keyword Aggr]:[Keyword Aggr]])*($D136=CLASSIFICATION[[Functional Scope Aggr]:[Functional Scope Aggr]])),
_xlpm._platform_keywords, _xlfn.TEXTSPLIT(SUBSTITUTE(SUBSTITUTE(VLOOKUP($D136,_xlpm._platform_range,3,FALSE),"+"&amp;CHAR(34),"+"),CHAR(34),""),", "),
_xlpm._exists, SUMPRODUCT(--ISNUMBER(MATCH(_xlpm._platform_keywords,_xlpm._original_keywords,0)))&gt;0,
_xlfn.IFS(_xlpm._exists,1,NOT(_xlpm._exists),"")
)</f>
        <v/>
      </c>
      <c r="V136" s="33" t="str" cm="1">
        <f t="array" aca="1" ref="V13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($E136=CLASSIFICATION[[Keyword Aggr]:[Keyword Aggr]])*($D136=CLASSIFICATION[[Functional Scope Aggr]:[Functional Scope Aggr]])),
_xlpm._platform_keywords, _xlfn.TEXTSPLIT(SUBSTITUTE(SUBSTITUTE(VLOOKUP($D136,_xlpm._platform_range,3,FALSE),"+"&amp;CHAR(34),"+"),CHAR(34),""),", "),
_xlpm._exists, SUMPRODUCT(--ISNUMBER(MATCH(_xlpm._platform_keywords,_xlpm._original_keywords,0)))&gt;0,
_xlfn.IFS(_xlpm._exists,1,NOT(_xlpm._exists),"")
)</f>
        <v/>
      </c>
      <c r="X136" s="33" t="str">
        <f t="shared" si="23"/>
        <v/>
      </c>
      <c r="Y136" s="33" t="str">
        <f t="shared" si="24"/>
        <v/>
      </c>
      <c r="Z136" s="33" t="str">
        <f t="shared" si="25"/>
        <v/>
      </c>
      <c r="AA136" s="33" t="str">
        <f t="shared" si="26"/>
        <v/>
      </c>
      <c r="AB136" s="33" t="str">
        <f t="shared" si="27"/>
        <v/>
      </c>
      <c r="AC136" s="33" t="str">
        <f t="shared" si="28"/>
        <v/>
      </c>
    </row>
    <row r="137" spans="1:29" x14ac:dyDescent="0.25">
      <c r="A137" s="19" t="str">
        <v>Development,Programming,Entity Types</v>
      </c>
      <c r="B137" t="s">
        <v>377</v>
      </c>
      <c r="C137" s="19" t="str" cm="1">
        <f t="array" ref="C137:E137">_xlfn.TEXTSPLIT(A137,",")</f>
        <v>Development</v>
      </c>
      <c r="D137" s="19" t="str">
        <v>Programming</v>
      </c>
      <c r="E137" s="19" t="str">
        <v>Entity Types</v>
      </c>
      <c r="F137" s="36" t="str" cm="1">
        <f t="array" ref="F137">_xlfn.TEXTJOIN(",",TRUE,_xlfn._xlws.FILTER(CLASSIFICATION[Keyword], ($E137=CLASSIFICATION[Keyword Aggr])*($D137=CLASSIFICATION[Functional Scope Aggr])))</f>
        <v>Entity Types</v>
      </c>
      <c r="G137" s="32" t="str">
        <f t="shared" si="20"/>
        <v/>
      </c>
      <c r="H137" s="32" t="str">
        <f t="shared" si="21"/>
        <v/>
      </c>
      <c r="I137" s="32" t="str">
        <f t="shared" si="22"/>
        <v>Entity Types</v>
      </c>
      <c r="J137" s="33" t="str" cm="1">
        <f t="array" aca="1" ref="J13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($E137=CLASSIFICATION[[Keyword Aggr]:[Keyword Aggr]])*($D137=CLASSIFICATION[[Functional Scope Aggr]:[Functional Scope Aggr]])),
_xlpm._platform_keywords, _xlfn.TEXTSPLIT(SUBSTITUTE(SUBSTITUTE(VLOOKUP($D137,_xlpm._platform_range,3,FALSE),"+"&amp;CHAR(34),"+"),CHAR(34),""),", "),
_xlpm._exists, SUMPRODUCT(--ISNUMBER(MATCH(_xlpm._platform_keywords,_xlpm._original_keywords,0)))&gt;0,
_xlfn.IFS(AND(_xlpm._exists,LEFT($E137,1)="+"),"+",_xlpm._exists,"*",NOT(_xlpm._exists),"")
)</f>
        <v/>
      </c>
      <c r="K137" s="33" t="str" cm="1">
        <f t="array" aca="1" ref="K13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($E137=CLASSIFICATION[[Keyword Aggr]:[Keyword Aggr]])*($D137=CLASSIFICATION[[Functional Scope Aggr]:[Functional Scope Aggr]])),
_xlpm._platform_keywords, _xlfn.TEXTSPLIT(SUBSTITUTE(SUBSTITUTE(VLOOKUP($D137,_xlpm._platform_range,3,FALSE),"+"&amp;CHAR(34),"+"),CHAR(34),""),", "),
_xlpm._exists, SUMPRODUCT(--ISNUMBER(MATCH(_xlpm._platform_keywords,_xlpm._original_keywords,0)))&gt;0,
_xlfn.IFS(AND(_xlpm._exists,LEFT($E137,1)="+"),"+",_xlpm._exists,"*",NOT(_xlpm._exists),"")
)</f>
        <v/>
      </c>
      <c r="L137" s="33" t="str" cm="1">
        <f t="array" aca="1" ref="L13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($E137=CLASSIFICATION[[Keyword Aggr]:[Keyword Aggr]])*($D137=CLASSIFICATION[[Functional Scope Aggr]:[Functional Scope Aggr]])),
_xlpm._platform_keywords, _xlfn.TEXTSPLIT(SUBSTITUTE(SUBSTITUTE(VLOOKUP($D137,_xlpm._platform_range,3,FALSE),"+"&amp;CHAR(34),"+"),CHAR(34),""),", "),
_xlpm._exists, SUMPRODUCT(--ISNUMBER(MATCH(_xlpm._platform_keywords,_xlpm._original_keywords,0)))&gt;0,
_xlfn.IFS(AND(_xlpm._exists,LEFT($E137,1)="+"),"+",_xlpm._exists,"*",NOT(_xlpm._exists),"")
)</f>
        <v/>
      </c>
      <c r="M137" s="33" t="str" cm="1">
        <f t="array" aca="1" ref="M13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($E137=CLASSIFICATION[[Keyword Aggr]:[Keyword Aggr]])*($D137=CLASSIFICATION[[Functional Scope Aggr]:[Functional Scope Aggr]])),
_xlpm._platform_keywords, _xlfn.TEXTSPLIT(SUBSTITUTE(SUBSTITUTE(VLOOKUP($D137,_xlpm._platform_range,3,FALSE),"+"&amp;CHAR(34),"+"),CHAR(34),""),", "),
_xlpm._exists, SUMPRODUCT(--ISNUMBER(MATCH(_xlpm._platform_keywords,_xlpm._original_keywords,0)))&gt;0,
_xlfn.IFS(AND(_xlpm._exists,LEFT($E137,1)="+"),"+",_xlpm._exists,"*",NOT(_xlpm._exists),"")
)</f>
        <v>*</v>
      </c>
      <c r="N137" s="33" t="str" cm="1">
        <f t="array" aca="1" ref="N13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($E137=CLASSIFICATION[[Keyword Aggr]:[Keyword Aggr]])*($D137=CLASSIFICATION[[Functional Scope Aggr]:[Functional Scope Aggr]])),
_xlpm._platform_keywords, _xlfn.TEXTSPLIT(SUBSTITUTE(SUBSTITUTE(VLOOKUP($D137,_xlpm._platform_range,3,FALSE),"+"&amp;CHAR(34),"+"),CHAR(34),""),", "),
_xlpm._exists, SUMPRODUCT(--ISNUMBER(MATCH(_xlpm._platform_keywords,_xlpm._original_keywords,0)))&gt;0,
_xlfn.IFS(AND(_xlpm._exists,LEFT($E137,1)="+"),"+",_xlpm._exists,"*",NOT(_xlpm._exists),"")
)</f>
        <v/>
      </c>
      <c r="O137" s="33" t="str" cm="1">
        <f t="array" aca="1" ref="O13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($E137=CLASSIFICATION[[Keyword Aggr]:[Keyword Aggr]])*($D137=CLASSIFICATION[[Functional Scope Aggr]:[Functional Scope Aggr]])),
_xlpm._platform_keywords, _xlfn.TEXTSPLIT(SUBSTITUTE(SUBSTITUTE(VLOOKUP($D137,_xlpm._platform_range,3,FALSE),"+"&amp;CHAR(34),"+"),CHAR(34),""),", "),
_xlpm._exists, SUMPRODUCT(--ISNUMBER(MATCH(_xlpm._platform_keywords,_xlpm._original_keywords,0)))&gt;0,
_xlfn.IFS(AND(_xlpm._exists,LEFT($E137,1)="+"),"+",_xlpm._exists,"*",NOT(_xlpm._exists),"")
)</f>
        <v/>
      </c>
      <c r="Q137" s="33" t="str" cm="1">
        <f t="array" aca="1" ref="Q13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($E137=CLASSIFICATION[[Keyword Aggr]:[Keyword Aggr]])*($D137=CLASSIFICATION[[Functional Scope Aggr]:[Functional Scope Aggr]])),
_xlpm._platform_keywords, _xlfn.TEXTSPLIT(SUBSTITUTE(SUBSTITUTE(VLOOKUP($D137,_xlpm._platform_range,3,FALSE),"+"&amp;CHAR(34),"+"),CHAR(34),""),", "),
_xlpm._exists, SUMPRODUCT(--ISNUMBER(MATCH(_xlpm._platform_keywords,_xlpm._original_keywords,0)))&gt;0,
_xlfn.IFS(_xlpm._exists,1,NOT(_xlpm._exists),"")
)</f>
        <v/>
      </c>
      <c r="R137" s="33" t="str" cm="1">
        <f t="array" aca="1" ref="R13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($E137=CLASSIFICATION[[Keyword Aggr]:[Keyword Aggr]])*($D137=CLASSIFICATION[[Functional Scope Aggr]:[Functional Scope Aggr]])),
_xlpm._platform_keywords, _xlfn.TEXTSPLIT(SUBSTITUTE(SUBSTITUTE(VLOOKUP($D137,_xlpm._platform_range,3,FALSE),"+"&amp;CHAR(34),"+"),CHAR(34),""),", "),
_xlpm._exists, SUMPRODUCT(--ISNUMBER(MATCH(_xlpm._platform_keywords,_xlpm._original_keywords,0)))&gt;0,
_xlfn.IFS(_xlpm._exists,1,NOT(_xlpm._exists),"")
)</f>
        <v/>
      </c>
      <c r="S137" s="33" t="str" cm="1">
        <f t="array" aca="1" ref="S13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($E137=CLASSIFICATION[[Keyword Aggr]:[Keyword Aggr]])*($D137=CLASSIFICATION[[Functional Scope Aggr]:[Functional Scope Aggr]])),
_xlpm._platform_keywords, _xlfn.TEXTSPLIT(SUBSTITUTE(SUBSTITUTE(VLOOKUP($D137,_xlpm._platform_range,3,FALSE),"+"&amp;CHAR(34),"+"),CHAR(34),""),", "),
_xlpm._exists, SUMPRODUCT(--ISNUMBER(MATCH(_xlpm._platform_keywords,_xlpm._original_keywords,0)))&gt;0,
_xlfn.IFS(_xlpm._exists,1,NOT(_xlpm._exists),"")
)</f>
        <v/>
      </c>
      <c r="T137" s="33" cm="1">
        <f t="array" aca="1" ref="T13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($E137=CLASSIFICATION[[Keyword Aggr]:[Keyword Aggr]])*($D137=CLASSIFICATION[[Functional Scope Aggr]:[Functional Scope Aggr]])),
_xlpm._platform_keywords, _xlfn.TEXTSPLIT(SUBSTITUTE(SUBSTITUTE(VLOOKUP($D137,_xlpm._platform_range,3,FALSE),"+"&amp;CHAR(34),"+"),CHAR(34),""),", "),
_xlpm._exists, SUMPRODUCT(--ISNUMBER(MATCH(_xlpm._platform_keywords,_xlpm._original_keywords,0)))&gt;0,
_xlfn.IFS(_xlpm._exists,1,NOT(_xlpm._exists),"")
)</f>
        <v>1</v>
      </c>
      <c r="U137" s="33" t="str" cm="1">
        <f t="array" aca="1" ref="U13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($E137=CLASSIFICATION[[Keyword Aggr]:[Keyword Aggr]])*($D137=CLASSIFICATION[[Functional Scope Aggr]:[Functional Scope Aggr]])),
_xlpm._platform_keywords, _xlfn.TEXTSPLIT(SUBSTITUTE(SUBSTITUTE(VLOOKUP($D137,_xlpm._platform_range,3,FALSE),"+"&amp;CHAR(34),"+"),CHAR(34),""),", "),
_xlpm._exists, SUMPRODUCT(--ISNUMBER(MATCH(_xlpm._platform_keywords,_xlpm._original_keywords,0)))&gt;0,
_xlfn.IFS(_xlpm._exists,1,NOT(_xlpm._exists),"")
)</f>
        <v/>
      </c>
      <c r="V137" s="33" t="str" cm="1">
        <f t="array" aca="1" ref="V13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($E137=CLASSIFICATION[[Keyword Aggr]:[Keyword Aggr]])*($D137=CLASSIFICATION[[Functional Scope Aggr]:[Functional Scope Aggr]])),
_xlpm._platform_keywords, _xlfn.TEXTSPLIT(SUBSTITUTE(SUBSTITUTE(VLOOKUP($D137,_xlpm._platform_range,3,FALSE),"+"&amp;CHAR(34),"+"),CHAR(34),""),", "),
_xlpm._exists, SUMPRODUCT(--ISNUMBER(MATCH(_xlpm._platform_keywords,_xlpm._original_keywords,0)))&gt;0,
_xlfn.IFS(_xlpm._exists,1,NOT(_xlpm._exists),"")
)</f>
        <v/>
      </c>
      <c r="X137" s="33" t="str">
        <f t="shared" si="23"/>
        <v/>
      </c>
      <c r="Y137" s="33" t="str">
        <f t="shared" si="24"/>
        <v/>
      </c>
      <c r="Z137" s="33" t="str">
        <f t="shared" si="25"/>
        <v/>
      </c>
      <c r="AA137" s="33" t="str">
        <f t="shared" si="26"/>
        <v/>
      </c>
      <c r="AB137" s="33" t="str">
        <f t="shared" si="27"/>
        <v/>
      </c>
      <c r="AC137" s="33" t="str">
        <f t="shared" si="28"/>
        <v/>
      </c>
    </row>
    <row r="138" spans="1:29" x14ac:dyDescent="0.25">
      <c r="A138" s="19" t="str">
        <v>Development,Programming,Enumerations</v>
      </c>
      <c r="B138" t="s">
        <v>377</v>
      </c>
      <c r="C138" s="19" t="str" cm="1">
        <f t="array" ref="C138:E138">_xlfn.TEXTSPLIT(A138,",")</f>
        <v>Development</v>
      </c>
      <c r="D138" s="19" t="str">
        <v>Programming</v>
      </c>
      <c r="E138" s="19" t="str">
        <v>Enumerations</v>
      </c>
      <c r="F138" s="36" t="str" cm="1">
        <f t="array" ref="F138">_xlfn.TEXTJOIN(",",TRUE,_xlfn._xlws.FILTER(CLASSIFICATION[Keyword], ($E138=CLASSIFICATION[Keyword Aggr])*($D138=CLASSIFICATION[Functional Scope Aggr])))</f>
        <v>EnumTypes</v>
      </c>
      <c r="G138" s="32" t="str">
        <f t="shared" si="20"/>
        <v/>
      </c>
      <c r="H138" s="32" t="str">
        <f t="shared" si="21"/>
        <v/>
      </c>
      <c r="I138" s="32" t="str">
        <f t="shared" si="22"/>
        <v>Enumerations</v>
      </c>
      <c r="J138" s="33" t="str" cm="1">
        <f t="array" aca="1" ref="J13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($E138=CLASSIFICATION[[Keyword Aggr]:[Keyword Aggr]])*($D138=CLASSIFICATION[[Functional Scope Aggr]:[Functional Scope Aggr]])),
_xlpm._platform_keywords, _xlfn.TEXTSPLIT(SUBSTITUTE(SUBSTITUTE(VLOOKUP($D138,_xlpm._platform_range,3,FALSE),"+"&amp;CHAR(34),"+"),CHAR(34),""),", "),
_xlpm._exists, SUMPRODUCT(--ISNUMBER(MATCH(_xlpm._platform_keywords,_xlpm._original_keywords,0)))&gt;0,
_xlfn.IFS(AND(_xlpm._exists,LEFT($E138,1)="+"),"+",_xlpm._exists,"*",NOT(_xlpm._exists),"")
)</f>
        <v/>
      </c>
      <c r="K138" s="33" t="str" cm="1">
        <f t="array" aca="1" ref="K13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($E138=CLASSIFICATION[[Keyword Aggr]:[Keyword Aggr]])*($D138=CLASSIFICATION[[Functional Scope Aggr]:[Functional Scope Aggr]])),
_xlpm._platform_keywords, _xlfn.TEXTSPLIT(SUBSTITUTE(SUBSTITUTE(VLOOKUP($D138,_xlpm._platform_range,3,FALSE),"+"&amp;CHAR(34),"+"),CHAR(34),""),", "),
_xlpm._exists, SUMPRODUCT(--ISNUMBER(MATCH(_xlpm._platform_keywords,_xlpm._original_keywords,0)))&gt;0,
_xlfn.IFS(AND(_xlpm._exists,LEFT($E138,1)="+"),"+",_xlpm._exists,"*",NOT(_xlpm._exists),"")
)</f>
        <v/>
      </c>
      <c r="L138" s="33" t="str" cm="1">
        <f t="array" aca="1" ref="L13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($E138=CLASSIFICATION[[Keyword Aggr]:[Keyword Aggr]])*($D138=CLASSIFICATION[[Functional Scope Aggr]:[Functional Scope Aggr]])),
_xlpm._platform_keywords, _xlfn.TEXTSPLIT(SUBSTITUTE(SUBSTITUTE(VLOOKUP($D138,_xlpm._platform_range,3,FALSE),"+"&amp;CHAR(34),"+"),CHAR(34),""),", "),
_xlpm._exists, SUMPRODUCT(--ISNUMBER(MATCH(_xlpm._platform_keywords,_xlpm._original_keywords,0)))&gt;0,
_xlfn.IFS(AND(_xlpm._exists,LEFT($E138,1)="+"),"+",_xlpm._exists,"*",NOT(_xlpm._exists),"")
)</f>
        <v/>
      </c>
      <c r="M138" s="33" t="str" cm="1">
        <f t="array" aca="1" ref="M13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($E138=CLASSIFICATION[[Keyword Aggr]:[Keyword Aggr]])*($D138=CLASSIFICATION[[Functional Scope Aggr]:[Functional Scope Aggr]])),
_xlpm._platform_keywords, _xlfn.TEXTSPLIT(SUBSTITUTE(SUBSTITUTE(VLOOKUP($D138,_xlpm._platform_range,3,FALSE),"+"&amp;CHAR(34),"+"),CHAR(34),""),", "),
_xlpm._exists, SUMPRODUCT(--ISNUMBER(MATCH(_xlpm._platform_keywords,_xlpm._original_keywords,0)))&gt;0,
_xlfn.IFS(AND(_xlpm._exists,LEFT($E138,1)="+"),"+",_xlpm._exists,"*",NOT(_xlpm._exists),"")
)</f>
        <v>*</v>
      </c>
      <c r="N138" s="33" t="str" cm="1">
        <f t="array" aca="1" ref="N13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($E138=CLASSIFICATION[[Keyword Aggr]:[Keyword Aggr]])*($D138=CLASSIFICATION[[Functional Scope Aggr]:[Functional Scope Aggr]])),
_xlpm._platform_keywords, _xlfn.TEXTSPLIT(SUBSTITUTE(SUBSTITUTE(VLOOKUP($D138,_xlpm._platform_range,3,FALSE),"+"&amp;CHAR(34),"+"),CHAR(34),""),", "),
_xlpm._exists, SUMPRODUCT(--ISNUMBER(MATCH(_xlpm._platform_keywords,_xlpm._original_keywords,0)))&gt;0,
_xlfn.IFS(AND(_xlpm._exists,LEFT($E138,1)="+"),"+",_xlpm._exists,"*",NOT(_xlpm._exists),"")
)</f>
        <v/>
      </c>
      <c r="O138" s="33" t="str" cm="1">
        <f t="array" aca="1" ref="O13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($E138=CLASSIFICATION[[Keyword Aggr]:[Keyword Aggr]])*($D138=CLASSIFICATION[[Functional Scope Aggr]:[Functional Scope Aggr]])),
_xlpm._platform_keywords, _xlfn.TEXTSPLIT(SUBSTITUTE(SUBSTITUTE(VLOOKUP($D138,_xlpm._platform_range,3,FALSE),"+"&amp;CHAR(34),"+"),CHAR(34),""),", "),
_xlpm._exists, SUMPRODUCT(--ISNUMBER(MATCH(_xlpm._platform_keywords,_xlpm._original_keywords,0)))&gt;0,
_xlfn.IFS(AND(_xlpm._exists,LEFT($E138,1)="+"),"+",_xlpm._exists,"*",NOT(_xlpm._exists),"")
)</f>
        <v/>
      </c>
      <c r="Q138" s="33" t="str" cm="1">
        <f t="array" aca="1" ref="Q13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($E138=CLASSIFICATION[[Keyword Aggr]:[Keyword Aggr]])*($D138=CLASSIFICATION[[Functional Scope Aggr]:[Functional Scope Aggr]])),
_xlpm._platform_keywords, _xlfn.TEXTSPLIT(SUBSTITUTE(SUBSTITUTE(VLOOKUP($D138,_xlpm._platform_range,3,FALSE),"+"&amp;CHAR(34),"+"),CHAR(34),""),", "),
_xlpm._exists, SUMPRODUCT(--ISNUMBER(MATCH(_xlpm._platform_keywords,_xlpm._original_keywords,0)))&gt;0,
_xlfn.IFS(_xlpm._exists,1,NOT(_xlpm._exists),"")
)</f>
        <v/>
      </c>
      <c r="R138" s="33" t="str" cm="1">
        <f t="array" aca="1" ref="R13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($E138=CLASSIFICATION[[Keyword Aggr]:[Keyword Aggr]])*($D138=CLASSIFICATION[[Functional Scope Aggr]:[Functional Scope Aggr]])),
_xlpm._platform_keywords, _xlfn.TEXTSPLIT(SUBSTITUTE(SUBSTITUTE(VLOOKUP($D138,_xlpm._platform_range,3,FALSE),"+"&amp;CHAR(34),"+"),CHAR(34),""),", "),
_xlpm._exists, SUMPRODUCT(--ISNUMBER(MATCH(_xlpm._platform_keywords,_xlpm._original_keywords,0)))&gt;0,
_xlfn.IFS(_xlpm._exists,1,NOT(_xlpm._exists),"")
)</f>
        <v/>
      </c>
      <c r="S138" s="33" t="str" cm="1">
        <f t="array" aca="1" ref="S13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($E138=CLASSIFICATION[[Keyword Aggr]:[Keyword Aggr]])*($D138=CLASSIFICATION[[Functional Scope Aggr]:[Functional Scope Aggr]])),
_xlpm._platform_keywords, _xlfn.TEXTSPLIT(SUBSTITUTE(SUBSTITUTE(VLOOKUP($D138,_xlpm._platform_range,3,FALSE),"+"&amp;CHAR(34),"+"),CHAR(34),""),", "),
_xlpm._exists, SUMPRODUCT(--ISNUMBER(MATCH(_xlpm._platform_keywords,_xlpm._original_keywords,0)))&gt;0,
_xlfn.IFS(_xlpm._exists,1,NOT(_xlpm._exists),"")
)</f>
        <v/>
      </c>
      <c r="T138" s="33" cm="1">
        <f t="array" aca="1" ref="T13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($E138=CLASSIFICATION[[Keyword Aggr]:[Keyword Aggr]])*($D138=CLASSIFICATION[[Functional Scope Aggr]:[Functional Scope Aggr]])),
_xlpm._platform_keywords, _xlfn.TEXTSPLIT(SUBSTITUTE(SUBSTITUTE(VLOOKUP($D138,_xlpm._platform_range,3,FALSE),"+"&amp;CHAR(34),"+"),CHAR(34),""),", "),
_xlpm._exists, SUMPRODUCT(--ISNUMBER(MATCH(_xlpm._platform_keywords,_xlpm._original_keywords,0)))&gt;0,
_xlfn.IFS(_xlpm._exists,1,NOT(_xlpm._exists),"")
)</f>
        <v>1</v>
      </c>
      <c r="U138" s="33" t="str" cm="1">
        <f t="array" aca="1" ref="U13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($E138=CLASSIFICATION[[Keyword Aggr]:[Keyword Aggr]])*($D138=CLASSIFICATION[[Functional Scope Aggr]:[Functional Scope Aggr]])),
_xlpm._platform_keywords, _xlfn.TEXTSPLIT(SUBSTITUTE(SUBSTITUTE(VLOOKUP($D138,_xlpm._platform_range,3,FALSE),"+"&amp;CHAR(34),"+"),CHAR(34),""),", "),
_xlpm._exists, SUMPRODUCT(--ISNUMBER(MATCH(_xlpm._platform_keywords,_xlpm._original_keywords,0)))&gt;0,
_xlfn.IFS(_xlpm._exists,1,NOT(_xlpm._exists),"")
)</f>
        <v/>
      </c>
      <c r="V138" s="33" t="str" cm="1">
        <f t="array" aca="1" ref="V13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($E138=CLASSIFICATION[[Keyword Aggr]:[Keyword Aggr]])*($D138=CLASSIFICATION[[Functional Scope Aggr]:[Functional Scope Aggr]])),
_xlpm._platform_keywords, _xlfn.TEXTSPLIT(SUBSTITUTE(SUBSTITUTE(VLOOKUP($D138,_xlpm._platform_range,3,FALSE),"+"&amp;CHAR(34),"+"),CHAR(34),""),", "),
_xlpm._exists, SUMPRODUCT(--ISNUMBER(MATCH(_xlpm._platform_keywords,_xlpm._original_keywords,0)))&gt;0,
_xlfn.IFS(_xlpm._exists,1,NOT(_xlpm._exists),"")
)</f>
        <v/>
      </c>
      <c r="X138" s="33" t="str">
        <f t="shared" si="23"/>
        <v/>
      </c>
      <c r="Y138" s="33" t="str">
        <f t="shared" si="24"/>
        <v/>
      </c>
      <c r="Z138" s="33" t="str">
        <f t="shared" si="25"/>
        <v/>
      </c>
      <c r="AA138" s="33" t="str">
        <f t="shared" si="26"/>
        <v/>
      </c>
      <c r="AB138" s="33" t="str">
        <f t="shared" si="27"/>
        <v/>
      </c>
      <c r="AC138" s="33" t="str">
        <f t="shared" si="28"/>
        <v/>
      </c>
    </row>
    <row r="139" spans="1:29" x14ac:dyDescent="0.25">
      <c r="A139" s="19" t="str">
        <v>Development,Programming,Functions</v>
      </c>
      <c r="B139" t="s">
        <v>377</v>
      </c>
      <c r="C139" s="19" t="str" cm="1">
        <f t="array" ref="C139:E139">_xlfn.TEXTSPLIT(A139,",")</f>
        <v>Development</v>
      </c>
      <c r="D139" s="19" t="str">
        <v>Programming</v>
      </c>
      <c r="E139" s="19" t="str">
        <v>Functions</v>
      </c>
      <c r="F139" s="36" t="str" cm="1">
        <f t="array" ref="F139">_xlfn.TEXTJOIN(",",TRUE,_xlfn._xlws.FILTER(CLASSIFICATION[Keyword], ($E139=CLASSIFICATION[Keyword Aggr])*($D139=CLASSIFICATION[Functional Scope Aggr])))</f>
        <v>Functions</v>
      </c>
      <c r="G139" s="32" t="str">
        <f t="shared" si="20"/>
        <v/>
      </c>
      <c r="H139" s="32" t="str">
        <f t="shared" si="21"/>
        <v/>
      </c>
      <c r="I139" s="32" t="str">
        <f t="shared" si="22"/>
        <v>Functions</v>
      </c>
      <c r="J139" s="33" t="str" cm="1">
        <f t="array" aca="1" ref="J13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($E139=CLASSIFICATION[[Keyword Aggr]:[Keyword Aggr]])*($D139=CLASSIFICATION[[Functional Scope Aggr]:[Functional Scope Aggr]])),
_xlpm._platform_keywords, _xlfn.TEXTSPLIT(SUBSTITUTE(SUBSTITUTE(VLOOKUP($D139,_xlpm._platform_range,3,FALSE),"+"&amp;CHAR(34),"+"),CHAR(34),""),", "),
_xlpm._exists, SUMPRODUCT(--ISNUMBER(MATCH(_xlpm._platform_keywords,_xlpm._original_keywords,0)))&gt;0,
_xlfn.IFS(AND(_xlpm._exists,LEFT($E139,1)="+"),"+",_xlpm._exists,"*",NOT(_xlpm._exists),"")
)</f>
        <v/>
      </c>
      <c r="K139" s="33" t="str" cm="1">
        <f t="array" aca="1" ref="K13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($E139=CLASSIFICATION[[Keyword Aggr]:[Keyword Aggr]])*($D139=CLASSIFICATION[[Functional Scope Aggr]:[Functional Scope Aggr]])),
_xlpm._platform_keywords, _xlfn.TEXTSPLIT(SUBSTITUTE(SUBSTITUTE(VLOOKUP($D139,_xlpm._platform_range,3,FALSE),"+"&amp;CHAR(34),"+"),CHAR(34),""),", "),
_xlpm._exists, SUMPRODUCT(--ISNUMBER(MATCH(_xlpm._platform_keywords,_xlpm._original_keywords,0)))&gt;0,
_xlfn.IFS(AND(_xlpm._exists,LEFT($E139,1)="+"),"+",_xlpm._exists,"*",NOT(_xlpm._exists),"")
)</f>
        <v/>
      </c>
      <c r="L139" s="33" t="str" cm="1">
        <f t="array" aca="1" ref="L13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($E139=CLASSIFICATION[[Keyword Aggr]:[Keyword Aggr]])*($D139=CLASSIFICATION[[Functional Scope Aggr]:[Functional Scope Aggr]])),
_xlpm._platform_keywords, _xlfn.TEXTSPLIT(SUBSTITUTE(SUBSTITUTE(VLOOKUP($D139,_xlpm._platform_range,3,FALSE),"+"&amp;CHAR(34),"+"),CHAR(34),""),", "),
_xlpm._exists, SUMPRODUCT(--ISNUMBER(MATCH(_xlpm._platform_keywords,_xlpm._original_keywords,0)))&gt;0,
_xlfn.IFS(AND(_xlpm._exists,LEFT($E139,1)="+"),"+",_xlpm._exists,"*",NOT(_xlpm._exists),"")
)</f>
        <v/>
      </c>
      <c r="M139" s="33" t="str" cm="1">
        <f t="array" aca="1" ref="M13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($E139=CLASSIFICATION[[Keyword Aggr]:[Keyword Aggr]])*($D139=CLASSIFICATION[[Functional Scope Aggr]:[Functional Scope Aggr]])),
_xlpm._platform_keywords, _xlfn.TEXTSPLIT(SUBSTITUTE(SUBSTITUTE(VLOOKUP($D139,_xlpm._platform_range,3,FALSE),"+"&amp;CHAR(34),"+"),CHAR(34),""),", "),
_xlpm._exists, SUMPRODUCT(--ISNUMBER(MATCH(_xlpm._platform_keywords,_xlpm._original_keywords,0)))&gt;0,
_xlfn.IFS(AND(_xlpm._exists,LEFT($E139,1)="+"),"+",_xlpm._exists,"*",NOT(_xlpm._exists),"")
)</f>
        <v>*</v>
      </c>
      <c r="N139" s="33" t="str" cm="1">
        <f t="array" aca="1" ref="N13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($E139=CLASSIFICATION[[Keyword Aggr]:[Keyword Aggr]])*($D139=CLASSIFICATION[[Functional Scope Aggr]:[Functional Scope Aggr]])),
_xlpm._platform_keywords, _xlfn.TEXTSPLIT(SUBSTITUTE(SUBSTITUTE(VLOOKUP($D139,_xlpm._platform_range,3,FALSE),"+"&amp;CHAR(34),"+"),CHAR(34),""),", "),
_xlpm._exists, SUMPRODUCT(--ISNUMBER(MATCH(_xlpm._platform_keywords,_xlpm._original_keywords,0)))&gt;0,
_xlfn.IFS(AND(_xlpm._exists,LEFT($E139,1)="+"),"+",_xlpm._exists,"*",NOT(_xlpm._exists),"")
)</f>
        <v>*</v>
      </c>
      <c r="O139" s="33" t="str" cm="1">
        <f t="array" aca="1" ref="O13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($E139=CLASSIFICATION[[Keyword Aggr]:[Keyword Aggr]])*($D139=CLASSIFICATION[[Functional Scope Aggr]:[Functional Scope Aggr]])),
_xlpm._platform_keywords, _xlfn.TEXTSPLIT(SUBSTITUTE(SUBSTITUTE(VLOOKUP($D139,_xlpm._platform_range,3,FALSE),"+"&amp;CHAR(34),"+"),CHAR(34),""),", "),
_xlpm._exists, SUMPRODUCT(--ISNUMBER(MATCH(_xlpm._platform_keywords,_xlpm._original_keywords,0)))&gt;0,
_xlfn.IFS(AND(_xlpm._exists,LEFT($E139,1)="+"),"+",_xlpm._exists,"*",NOT(_xlpm._exists),"")
)</f>
        <v/>
      </c>
      <c r="Q139" s="33" t="str" cm="1">
        <f t="array" aca="1" ref="Q13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($E139=CLASSIFICATION[[Keyword Aggr]:[Keyword Aggr]])*($D139=CLASSIFICATION[[Functional Scope Aggr]:[Functional Scope Aggr]])),
_xlpm._platform_keywords, _xlfn.TEXTSPLIT(SUBSTITUTE(SUBSTITUTE(VLOOKUP($D139,_xlpm._platform_range,3,FALSE),"+"&amp;CHAR(34),"+"),CHAR(34),""),", "),
_xlpm._exists, SUMPRODUCT(--ISNUMBER(MATCH(_xlpm._platform_keywords,_xlpm._original_keywords,0)))&gt;0,
_xlfn.IFS(_xlpm._exists,1,NOT(_xlpm._exists),"")
)</f>
        <v/>
      </c>
      <c r="R139" s="33" t="str" cm="1">
        <f t="array" aca="1" ref="R13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($E139=CLASSIFICATION[[Keyword Aggr]:[Keyword Aggr]])*($D139=CLASSIFICATION[[Functional Scope Aggr]:[Functional Scope Aggr]])),
_xlpm._platform_keywords, _xlfn.TEXTSPLIT(SUBSTITUTE(SUBSTITUTE(VLOOKUP($D139,_xlpm._platform_range,3,FALSE),"+"&amp;CHAR(34),"+"),CHAR(34),""),", "),
_xlpm._exists, SUMPRODUCT(--ISNUMBER(MATCH(_xlpm._platform_keywords,_xlpm._original_keywords,0)))&gt;0,
_xlfn.IFS(_xlpm._exists,1,NOT(_xlpm._exists),"")
)</f>
        <v/>
      </c>
      <c r="S139" s="33" t="str" cm="1">
        <f t="array" aca="1" ref="S13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($E139=CLASSIFICATION[[Keyword Aggr]:[Keyword Aggr]])*($D139=CLASSIFICATION[[Functional Scope Aggr]:[Functional Scope Aggr]])),
_xlpm._platform_keywords, _xlfn.TEXTSPLIT(SUBSTITUTE(SUBSTITUTE(VLOOKUP($D139,_xlpm._platform_range,3,FALSE),"+"&amp;CHAR(34),"+"),CHAR(34),""),", "),
_xlpm._exists, SUMPRODUCT(--ISNUMBER(MATCH(_xlpm._platform_keywords,_xlpm._original_keywords,0)))&gt;0,
_xlfn.IFS(_xlpm._exists,1,NOT(_xlpm._exists),"")
)</f>
        <v/>
      </c>
      <c r="T139" s="33" cm="1">
        <f t="array" aca="1" ref="T13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($E139=CLASSIFICATION[[Keyword Aggr]:[Keyword Aggr]])*($D139=CLASSIFICATION[[Functional Scope Aggr]:[Functional Scope Aggr]])),
_xlpm._platform_keywords, _xlfn.TEXTSPLIT(SUBSTITUTE(SUBSTITUTE(VLOOKUP($D139,_xlpm._platform_range,3,FALSE),"+"&amp;CHAR(34),"+"),CHAR(34),""),", "),
_xlpm._exists, SUMPRODUCT(--ISNUMBER(MATCH(_xlpm._platform_keywords,_xlpm._original_keywords,0)))&gt;0,
_xlfn.IFS(_xlpm._exists,1,NOT(_xlpm._exists),"")
)</f>
        <v>1</v>
      </c>
      <c r="U139" s="33" cm="1">
        <f t="array" aca="1" ref="U13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($E139=CLASSIFICATION[[Keyword Aggr]:[Keyword Aggr]])*($D139=CLASSIFICATION[[Functional Scope Aggr]:[Functional Scope Aggr]])),
_xlpm._platform_keywords, _xlfn.TEXTSPLIT(SUBSTITUTE(SUBSTITUTE(VLOOKUP($D139,_xlpm._platform_range,3,FALSE),"+"&amp;CHAR(34),"+"),CHAR(34),""),", "),
_xlpm._exists, SUMPRODUCT(--ISNUMBER(MATCH(_xlpm._platform_keywords,_xlpm._original_keywords,0)))&gt;0,
_xlfn.IFS(_xlpm._exists,1,NOT(_xlpm._exists),"")
)</f>
        <v>1</v>
      </c>
      <c r="V139" s="33" t="str" cm="1">
        <f t="array" aca="1" ref="V13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($E139=CLASSIFICATION[[Keyword Aggr]:[Keyword Aggr]])*($D139=CLASSIFICATION[[Functional Scope Aggr]:[Functional Scope Aggr]])),
_xlpm._platform_keywords, _xlfn.TEXTSPLIT(SUBSTITUTE(SUBSTITUTE(VLOOKUP($D139,_xlpm._platform_range,3,FALSE),"+"&amp;CHAR(34),"+"),CHAR(34),""),", "),
_xlpm._exists, SUMPRODUCT(--ISNUMBER(MATCH(_xlpm._platform_keywords,_xlpm._original_keywords,0)))&gt;0,
_xlfn.IFS(_xlpm._exists,1,NOT(_xlpm._exists),"")
)</f>
        <v/>
      </c>
      <c r="X139" s="33" t="str">
        <f t="shared" si="23"/>
        <v/>
      </c>
      <c r="Y139" s="33" t="str">
        <f t="shared" si="24"/>
        <v/>
      </c>
      <c r="Z139" s="33" t="str">
        <f t="shared" si="25"/>
        <v/>
      </c>
      <c r="AA139" s="33" t="str">
        <f t="shared" si="26"/>
        <v/>
      </c>
      <c r="AB139" s="33" t="str">
        <f t="shared" si="27"/>
        <v/>
      </c>
      <c r="AC139" s="33" t="str">
        <f t="shared" si="28"/>
        <v/>
      </c>
    </row>
    <row r="140" spans="1:29" x14ac:dyDescent="0.25">
      <c r="A140" s="19" t="str">
        <v>Development,Programming,HTML</v>
      </c>
      <c r="B140" t="s">
        <v>377</v>
      </c>
      <c r="C140" s="19" t="str" cm="1">
        <f t="array" ref="C140:E140">_xlfn.TEXTSPLIT(A140,",")</f>
        <v>Development</v>
      </c>
      <c r="D140" s="19" t="str">
        <v>Programming</v>
      </c>
      <c r="E140" s="19" t="str">
        <v>HTML</v>
      </c>
      <c r="F140" s="36" t="str" cm="1">
        <f t="array" ref="F140">_xlfn.TEXTJOIN(",",TRUE,_xlfn._xlws.FILTER(CLASSIFICATION[Keyword], ($E140=CLASSIFICATION[Keyword Aggr])*($D140=CLASSIFICATION[Functional Scope Aggr])))</f>
        <v>HTML,HTML DOM</v>
      </c>
      <c r="G140" s="32" t="str">
        <f t="shared" si="20"/>
        <v/>
      </c>
      <c r="H140" s="32" t="str">
        <f t="shared" si="21"/>
        <v/>
      </c>
      <c r="I140" s="32" t="str">
        <f t="shared" si="22"/>
        <v>HTML</v>
      </c>
      <c r="J140" s="33" t="str" cm="1">
        <f t="array" aca="1" ref="J14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($E140=CLASSIFICATION[[Keyword Aggr]:[Keyword Aggr]])*($D140=CLASSIFICATION[[Functional Scope Aggr]:[Functional Scope Aggr]])),
_xlpm._platform_keywords, _xlfn.TEXTSPLIT(SUBSTITUTE(SUBSTITUTE(VLOOKUP($D140,_xlpm._platform_range,3,FALSE),"+"&amp;CHAR(34),"+"),CHAR(34),""),", "),
_xlpm._exists, SUMPRODUCT(--ISNUMBER(MATCH(_xlpm._platform_keywords,_xlpm._original_keywords,0)))&gt;0,
_xlfn.IFS(AND(_xlpm._exists,LEFT($E140,1)="+"),"+",_xlpm._exists,"*",NOT(_xlpm._exists),"")
)</f>
        <v/>
      </c>
      <c r="K140" s="33" t="str" cm="1">
        <f t="array" aca="1" ref="K14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($E140=CLASSIFICATION[[Keyword Aggr]:[Keyword Aggr]])*($D140=CLASSIFICATION[[Functional Scope Aggr]:[Functional Scope Aggr]])),
_xlpm._platform_keywords, _xlfn.TEXTSPLIT(SUBSTITUTE(SUBSTITUTE(VLOOKUP($D140,_xlpm._platform_range,3,FALSE),"+"&amp;CHAR(34),"+"),CHAR(34),""),", "),
_xlpm._exists, SUMPRODUCT(--ISNUMBER(MATCH(_xlpm._platform_keywords,_xlpm._original_keywords,0)))&gt;0,
_xlfn.IFS(AND(_xlpm._exists,LEFT($E140,1)="+"),"+",_xlpm._exists,"*",NOT(_xlpm._exists),"")
)</f>
        <v>*</v>
      </c>
      <c r="L140" s="33" t="str" cm="1">
        <f t="array" aca="1" ref="L14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($E140=CLASSIFICATION[[Keyword Aggr]:[Keyword Aggr]])*($D140=CLASSIFICATION[[Functional Scope Aggr]:[Functional Scope Aggr]])),
_xlpm._platform_keywords, _xlfn.TEXTSPLIT(SUBSTITUTE(SUBSTITUTE(VLOOKUP($D140,_xlpm._platform_range,3,FALSE),"+"&amp;CHAR(34),"+"),CHAR(34),""),", "),
_xlpm._exists, SUMPRODUCT(--ISNUMBER(MATCH(_xlpm._platform_keywords,_xlpm._original_keywords,0)))&gt;0,
_xlfn.IFS(AND(_xlpm._exists,LEFT($E140,1)="+"),"+",_xlpm._exists,"*",NOT(_xlpm._exists),"")
)</f>
        <v>*</v>
      </c>
      <c r="M140" s="33" t="str" cm="1">
        <f t="array" aca="1" ref="M14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($E140=CLASSIFICATION[[Keyword Aggr]:[Keyword Aggr]])*($D140=CLASSIFICATION[[Functional Scope Aggr]:[Functional Scope Aggr]])),
_xlpm._platform_keywords, _xlfn.TEXTSPLIT(SUBSTITUTE(SUBSTITUTE(VLOOKUP($D140,_xlpm._platform_range,3,FALSE),"+"&amp;CHAR(34),"+"),CHAR(34),""),", "),
_xlpm._exists, SUMPRODUCT(--ISNUMBER(MATCH(_xlpm._platform_keywords,_xlpm._original_keywords,0)))&gt;0,
_xlfn.IFS(AND(_xlpm._exists,LEFT($E140,1)="+"),"+",_xlpm._exists,"*",NOT(_xlpm._exists),"")
)</f>
        <v/>
      </c>
      <c r="N140" s="33" t="str" cm="1">
        <f t="array" aca="1" ref="N14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($E140=CLASSIFICATION[[Keyword Aggr]:[Keyword Aggr]])*($D140=CLASSIFICATION[[Functional Scope Aggr]:[Functional Scope Aggr]])),
_xlpm._platform_keywords, _xlfn.TEXTSPLIT(SUBSTITUTE(SUBSTITUTE(VLOOKUP($D140,_xlpm._platform_range,3,FALSE),"+"&amp;CHAR(34),"+"),CHAR(34),""),", "),
_xlpm._exists, SUMPRODUCT(--ISNUMBER(MATCH(_xlpm._platform_keywords,_xlpm._original_keywords,0)))&gt;0,
_xlfn.IFS(AND(_xlpm._exists,LEFT($E140,1)="+"),"+",_xlpm._exists,"*",NOT(_xlpm._exists),"")
)</f>
        <v>*</v>
      </c>
      <c r="O140" s="33" t="str" cm="1">
        <f t="array" aca="1" ref="O14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($E140=CLASSIFICATION[[Keyword Aggr]:[Keyword Aggr]])*($D140=CLASSIFICATION[[Functional Scope Aggr]:[Functional Scope Aggr]])),
_xlpm._platform_keywords, _xlfn.TEXTSPLIT(SUBSTITUTE(SUBSTITUTE(VLOOKUP($D140,_xlpm._platform_range,3,FALSE),"+"&amp;CHAR(34),"+"),CHAR(34),""),", "),
_xlpm._exists, SUMPRODUCT(--ISNUMBER(MATCH(_xlpm._platform_keywords,_xlpm._original_keywords,0)))&gt;0,
_xlfn.IFS(AND(_xlpm._exists,LEFT($E140,1)="+"),"+",_xlpm._exists,"*",NOT(_xlpm._exists),"")
)</f>
        <v>*</v>
      </c>
      <c r="Q140" s="33" t="str" cm="1">
        <f t="array" aca="1" ref="Q14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($E140=CLASSIFICATION[[Keyword Aggr]:[Keyword Aggr]])*($D140=CLASSIFICATION[[Functional Scope Aggr]:[Functional Scope Aggr]])),
_xlpm._platform_keywords, _xlfn.TEXTSPLIT(SUBSTITUTE(SUBSTITUTE(VLOOKUP($D140,_xlpm._platform_range,3,FALSE),"+"&amp;CHAR(34),"+"),CHAR(34),""),", "),
_xlpm._exists, SUMPRODUCT(--ISNUMBER(MATCH(_xlpm._platform_keywords,_xlpm._original_keywords,0)))&gt;0,
_xlfn.IFS(_xlpm._exists,1,NOT(_xlpm._exists),"")
)</f>
        <v/>
      </c>
      <c r="R140" s="33" cm="1">
        <f t="array" aca="1" ref="R14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($E140=CLASSIFICATION[[Keyword Aggr]:[Keyword Aggr]])*($D140=CLASSIFICATION[[Functional Scope Aggr]:[Functional Scope Aggr]])),
_xlpm._platform_keywords, _xlfn.TEXTSPLIT(SUBSTITUTE(SUBSTITUTE(VLOOKUP($D140,_xlpm._platform_range,3,FALSE),"+"&amp;CHAR(34),"+"),CHAR(34),""),", "),
_xlpm._exists, SUMPRODUCT(--ISNUMBER(MATCH(_xlpm._platform_keywords,_xlpm._original_keywords,0)))&gt;0,
_xlfn.IFS(_xlpm._exists,1,NOT(_xlpm._exists),"")
)</f>
        <v>1</v>
      </c>
      <c r="S140" s="33" cm="1">
        <f t="array" aca="1" ref="S14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($E140=CLASSIFICATION[[Keyword Aggr]:[Keyword Aggr]])*($D140=CLASSIFICATION[[Functional Scope Aggr]:[Functional Scope Aggr]])),
_xlpm._platform_keywords, _xlfn.TEXTSPLIT(SUBSTITUTE(SUBSTITUTE(VLOOKUP($D140,_xlpm._platform_range,3,FALSE),"+"&amp;CHAR(34),"+"),CHAR(34),""),", "),
_xlpm._exists, SUMPRODUCT(--ISNUMBER(MATCH(_xlpm._platform_keywords,_xlpm._original_keywords,0)))&gt;0,
_xlfn.IFS(_xlpm._exists,1,NOT(_xlpm._exists),"")
)</f>
        <v>1</v>
      </c>
      <c r="T140" s="33" t="str" cm="1">
        <f t="array" aca="1" ref="T14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($E140=CLASSIFICATION[[Keyword Aggr]:[Keyword Aggr]])*($D140=CLASSIFICATION[[Functional Scope Aggr]:[Functional Scope Aggr]])),
_xlpm._platform_keywords, _xlfn.TEXTSPLIT(SUBSTITUTE(SUBSTITUTE(VLOOKUP($D140,_xlpm._platform_range,3,FALSE),"+"&amp;CHAR(34),"+"),CHAR(34),""),", "),
_xlpm._exists, SUMPRODUCT(--ISNUMBER(MATCH(_xlpm._platform_keywords,_xlpm._original_keywords,0)))&gt;0,
_xlfn.IFS(_xlpm._exists,1,NOT(_xlpm._exists),"")
)</f>
        <v/>
      </c>
      <c r="U140" s="33" cm="1">
        <f t="array" aca="1" ref="U14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($E140=CLASSIFICATION[[Keyword Aggr]:[Keyword Aggr]])*($D140=CLASSIFICATION[[Functional Scope Aggr]:[Functional Scope Aggr]])),
_xlpm._platform_keywords, _xlfn.TEXTSPLIT(SUBSTITUTE(SUBSTITUTE(VLOOKUP($D140,_xlpm._platform_range,3,FALSE),"+"&amp;CHAR(34),"+"),CHAR(34),""),", "),
_xlpm._exists, SUMPRODUCT(--ISNUMBER(MATCH(_xlpm._platform_keywords,_xlpm._original_keywords,0)))&gt;0,
_xlfn.IFS(_xlpm._exists,1,NOT(_xlpm._exists),"")
)</f>
        <v>1</v>
      </c>
      <c r="V140" s="33" cm="1">
        <f t="array" aca="1" ref="V14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($E140=CLASSIFICATION[[Keyword Aggr]:[Keyword Aggr]])*($D140=CLASSIFICATION[[Functional Scope Aggr]:[Functional Scope Aggr]])),
_xlpm._platform_keywords, _xlfn.TEXTSPLIT(SUBSTITUTE(SUBSTITUTE(VLOOKUP($D140,_xlpm._platform_range,3,FALSE),"+"&amp;CHAR(34),"+"),CHAR(34),""),", "),
_xlpm._exists, SUMPRODUCT(--ISNUMBER(MATCH(_xlpm._platform_keywords,_xlpm._original_keywords,0)))&gt;0,
_xlfn.IFS(_xlpm._exists,1,NOT(_xlpm._exists),"")
)</f>
        <v>1</v>
      </c>
      <c r="X140" s="33" t="str">
        <f t="shared" si="23"/>
        <v/>
      </c>
      <c r="Y140" s="33" t="str">
        <f t="shared" si="24"/>
        <v/>
      </c>
      <c r="Z140" s="33" t="str">
        <f t="shared" si="25"/>
        <v/>
      </c>
      <c r="AA140" s="33" t="str">
        <f t="shared" si="26"/>
        <v/>
      </c>
      <c r="AB140" s="33" t="str">
        <f t="shared" si="27"/>
        <v/>
      </c>
      <c r="AC140" s="33" t="str">
        <f t="shared" si="28"/>
        <v/>
      </c>
    </row>
    <row r="141" spans="1:29" x14ac:dyDescent="0.25">
      <c r="A141" s="19" t="str">
        <v>Development,Programming,SDK/IDE</v>
      </c>
      <c r="B141" t="s">
        <v>377</v>
      </c>
      <c r="C141" s="19" t="str" cm="1">
        <f t="array" ref="C141:E141">_xlfn.TEXTSPLIT(A141,",")</f>
        <v>Development</v>
      </c>
      <c r="D141" s="19" t="str">
        <v>Programming</v>
      </c>
      <c r="E141" s="19" t="str">
        <v>SDK/IDE</v>
      </c>
      <c r="F141" s="36" t="str" cm="1">
        <f t="array" ref="F141">_xlfn.TEXTJOIN(",",TRUE,_xlfn._xlws.FILTER(CLASSIFICATION[Keyword], ($E141=CLASSIFICATION[Keyword Aggr])*($D141=CLASSIFICATION[Functional Scope Aggr])))</f>
        <v>IDE,IDE (Visual Studio Code),SDK</v>
      </c>
      <c r="G141" s="32" t="str">
        <f t="shared" si="20"/>
        <v/>
      </c>
      <c r="H141" s="32" t="str">
        <f t="shared" si="21"/>
        <v/>
      </c>
      <c r="I141" s="32" t="str">
        <f t="shared" si="22"/>
        <v>SDK/IDE</v>
      </c>
      <c r="J141" s="33" t="str" cm="1">
        <f t="array" aca="1" ref="J14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($E141=CLASSIFICATION[[Keyword Aggr]:[Keyword Aggr]])*($D141=CLASSIFICATION[[Functional Scope Aggr]:[Functional Scope Aggr]])),
_xlpm._platform_keywords, _xlfn.TEXTSPLIT(SUBSTITUTE(SUBSTITUTE(VLOOKUP($D141,_xlpm._platform_range,3,FALSE),"+"&amp;CHAR(34),"+"),CHAR(34),""),", "),
_xlpm._exists, SUMPRODUCT(--ISNUMBER(MATCH(_xlpm._platform_keywords,_xlpm._original_keywords,0)))&gt;0,
_xlfn.IFS(AND(_xlpm._exists,LEFT($E141,1)="+"),"+",_xlpm._exists,"*",NOT(_xlpm._exists),"")
)</f>
        <v/>
      </c>
      <c r="K141" s="33" t="str" cm="1">
        <f t="array" aca="1" ref="K14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($E141=CLASSIFICATION[[Keyword Aggr]:[Keyword Aggr]])*($D141=CLASSIFICATION[[Functional Scope Aggr]:[Functional Scope Aggr]])),
_xlpm._platform_keywords, _xlfn.TEXTSPLIT(SUBSTITUTE(SUBSTITUTE(VLOOKUP($D141,_xlpm._platform_range,3,FALSE),"+"&amp;CHAR(34),"+"),CHAR(34),""),", "),
_xlpm._exists, SUMPRODUCT(--ISNUMBER(MATCH(_xlpm._platform_keywords,_xlpm._original_keywords,0)))&gt;0,
_xlfn.IFS(AND(_xlpm._exists,LEFT($E141,1)="+"),"+",_xlpm._exists,"*",NOT(_xlpm._exists),"")
)</f>
        <v/>
      </c>
      <c r="L141" s="33" t="str" cm="1">
        <f t="array" aca="1" ref="L14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($E141=CLASSIFICATION[[Keyword Aggr]:[Keyword Aggr]])*($D141=CLASSIFICATION[[Functional Scope Aggr]:[Functional Scope Aggr]])),
_xlpm._platform_keywords, _xlfn.TEXTSPLIT(SUBSTITUTE(SUBSTITUTE(VLOOKUP($D141,_xlpm._platform_range,3,FALSE),"+"&amp;CHAR(34),"+"),CHAR(34),""),", "),
_xlpm._exists, SUMPRODUCT(--ISNUMBER(MATCH(_xlpm._platform_keywords,_xlpm._original_keywords,0)))&gt;0,
_xlfn.IFS(AND(_xlpm._exists,LEFT($E141,1)="+"),"+",_xlpm._exists,"*",NOT(_xlpm._exists),"")
)</f>
        <v>*</v>
      </c>
      <c r="M141" s="33" t="str" cm="1">
        <f t="array" aca="1" ref="M14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($E141=CLASSIFICATION[[Keyword Aggr]:[Keyword Aggr]])*($D141=CLASSIFICATION[[Functional Scope Aggr]:[Functional Scope Aggr]])),
_xlpm._platform_keywords, _xlfn.TEXTSPLIT(SUBSTITUTE(SUBSTITUTE(VLOOKUP($D141,_xlpm._platform_range,3,FALSE),"+"&amp;CHAR(34),"+"),CHAR(34),""),", "),
_xlpm._exists, SUMPRODUCT(--ISNUMBER(MATCH(_xlpm._platform_keywords,_xlpm._original_keywords,0)))&gt;0,
_xlfn.IFS(AND(_xlpm._exists,LEFT($E141,1)="+"),"+",_xlpm._exists,"*",NOT(_xlpm._exists),"")
)</f>
        <v>*</v>
      </c>
      <c r="N141" s="33" t="str" cm="1">
        <f t="array" aca="1" ref="N14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($E141=CLASSIFICATION[[Keyword Aggr]:[Keyword Aggr]])*($D141=CLASSIFICATION[[Functional Scope Aggr]:[Functional Scope Aggr]])),
_xlpm._platform_keywords, _xlfn.TEXTSPLIT(SUBSTITUTE(SUBSTITUTE(VLOOKUP($D141,_xlpm._platform_range,3,FALSE),"+"&amp;CHAR(34),"+"),CHAR(34),""),", "),
_xlpm._exists, SUMPRODUCT(--ISNUMBER(MATCH(_xlpm._platform_keywords,_xlpm._original_keywords,0)))&gt;0,
_xlfn.IFS(AND(_xlpm._exists,LEFT($E141,1)="+"),"+",_xlpm._exists,"*",NOT(_xlpm._exists),"")
)</f>
        <v/>
      </c>
      <c r="O141" s="33" t="str" cm="1">
        <f t="array" aca="1" ref="O14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($E141=CLASSIFICATION[[Keyword Aggr]:[Keyword Aggr]])*($D141=CLASSIFICATION[[Functional Scope Aggr]:[Functional Scope Aggr]])),
_xlpm._platform_keywords, _xlfn.TEXTSPLIT(SUBSTITUTE(SUBSTITUTE(VLOOKUP($D141,_xlpm._platform_range,3,FALSE),"+"&amp;CHAR(34),"+"),CHAR(34),""),", "),
_xlpm._exists, SUMPRODUCT(--ISNUMBER(MATCH(_xlpm._platform_keywords,_xlpm._original_keywords,0)))&gt;0,
_xlfn.IFS(AND(_xlpm._exists,LEFT($E141,1)="+"),"+",_xlpm._exists,"*",NOT(_xlpm._exists),"")
)</f>
        <v/>
      </c>
      <c r="Q141" s="33" t="str" cm="1">
        <f t="array" aca="1" ref="Q14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($E141=CLASSIFICATION[[Keyword Aggr]:[Keyword Aggr]])*($D141=CLASSIFICATION[[Functional Scope Aggr]:[Functional Scope Aggr]])),
_xlpm._platform_keywords, _xlfn.TEXTSPLIT(SUBSTITUTE(SUBSTITUTE(VLOOKUP($D141,_xlpm._platform_range,3,FALSE),"+"&amp;CHAR(34),"+"),CHAR(34),""),", "),
_xlpm._exists, SUMPRODUCT(--ISNUMBER(MATCH(_xlpm._platform_keywords,_xlpm._original_keywords,0)))&gt;0,
_xlfn.IFS(_xlpm._exists,1,NOT(_xlpm._exists),"")
)</f>
        <v/>
      </c>
      <c r="R141" s="33" t="str" cm="1">
        <f t="array" aca="1" ref="R14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($E141=CLASSIFICATION[[Keyword Aggr]:[Keyword Aggr]])*($D141=CLASSIFICATION[[Functional Scope Aggr]:[Functional Scope Aggr]])),
_xlpm._platform_keywords, _xlfn.TEXTSPLIT(SUBSTITUTE(SUBSTITUTE(VLOOKUP($D141,_xlpm._platform_range,3,FALSE),"+"&amp;CHAR(34),"+"),CHAR(34),""),", "),
_xlpm._exists, SUMPRODUCT(--ISNUMBER(MATCH(_xlpm._platform_keywords,_xlpm._original_keywords,0)))&gt;0,
_xlfn.IFS(_xlpm._exists,1,NOT(_xlpm._exists),"")
)</f>
        <v/>
      </c>
      <c r="S141" s="33" cm="1">
        <f t="array" aca="1" ref="S14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($E141=CLASSIFICATION[[Keyword Aggr]:[Keyword Aggr]])*($D141=CLASSIFICATION[[Functional Scope Aggr]:[Functional Scope Aggr]])),
_xlpm._platform_keywords, _xlfn.TEXTSPLIT(SUBSTITUTE(SUBSTITUTE(VLOOKUP($D141,_xlpm._platform_range,3,FALSE),"+"&amp;CHAR(34),"+"),CHAR(34),""),", "),
_xlpm._exists, SUMPRODUCT(--ISNUMBER(MATCH(_xlpm._platform_keywords,_xlpm._original_keywords,0)))&gt;0,
_xlfn.IFS(_xlpm._exists,1,NOT(_xlpm._exists),"")
)</f>
        <v>1</v>
      </c>
      <c r="T141" s="33" cm="1">
        <f t="array" aca="1" ref="T14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($E141=CLASSIFICATION[[Keyword Aggr]:[Keyword Aggr]])*($D141=CLASSIFICATION[[Functional Scope Aggr]:[Functional Scope Aggr]])),
_xlpm._platform_keywords, _xlfn.TEXTSPLIT(SUBSTITUTE(SUBSTITUTE(VLOOKUP($D141,_xlpm._platform_range,3,FALSE),"+"&amp;CHAR(34),"+"),CHAR(34),""),", "),
_xlpm._exists, SUMPRODUCT(--ISNUMBER(MATCH(_xlpm._platform_keywords,_xlpm._original_keywords,0)))&gt;0,
_xlfn.IFS(_xlpm._exists,1,NOT(_xlpm._exists),"")
)</f>
        <v>1</v>
      </c>
      <c r="U141" s="33" t="str" cm="1">
        <f t="array" aca="1" ref="U14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($E141=CLASSIFICATION[[Keyword Aggr]:[Keyword Aggr]])*($D141=CLASSIFICATION[[Functional Scope Aggr]:[Functional Scope Aggr]])),
_xlpm._platform_keywords, _xlfn.TEXTSPLIT(SUBSTITUTE(SUBSTITUTE(VLOOKUP($D141,_xlpm._platform_range,3,FALSE),"+"&amp;CHAR(34),"+"),CHAR(34),""),", "),
_xlpm._exists, SUMPRODUCT(--ISNUMBER(MATCH(_xlpm._platform_keywords,_xlpm._original_keywords,0)))&gt;0,
_xlfn.IFS(_xlpm._exists,1,NOT(_xlpm._exists),"")
)</f>
        <v/>
      </c>
      <c r="V141" s="33" t="str" cm="1">
        <f t="array" aca="1" ref="V14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($E141=CLASSIFICATION[[Keyword Aggr]:[Keyword Aggr]])*($D141=CLASSIFICATION[[Functional Scope Aggr]:[Functional Scope Aggr]])),
_xlpm._platform_keywords, _xlfn.TEXTSPLIT(SUBSTITUTE(SUBSTITUTE(VLOOKUP($D141,_xlpm._platform_range,3,FALSE),"+"&amp;CHAR(34),"+"),CHAR(34),""),", "),
_xlpm._exists, SUMPRODUCT(--ISNUMBER(MATCH(_xlpm._platform_keywords,_xlpm._original_keywords,0)))&gt;0,
_xlfn.IFS(_xlpm._exists,1,NOT(_xlpm._exists),"")
)</f>
        <v/>
      </c>
      <c r="X141" s="33" t="str">
        <f t="shared" si="23"/>
        <v/>
      </c>
      <c r="Y141" s="33" t="str">
        <f t="shared" si="24"/>
        <v/>
      </c>
      <c r="Z141" s="33" t="str">
        <f t="shared" si="25"/>
        <v/>
      </c>
      <c r="AA141" s="33" t="str">
        <f t="shared" si="26"/>
        <v/>
      </c>
      <c r="AB141" s="33" t="str">
        <f t="shared" si="27"/>
        <v/>
      </c>
      <c r="AC141" s="33" t="str">
        <f t="shared" si="28"/>
        <v/>
      </c>
    </row>
    <row r="142" spans="1:29" x14ac:dyDescent="0.25">
      <c r="A142" s="19" t="str">
        <v>Development,Programming,Iteration Statements</v>
      </c>
      <c r="B142" t="s">
        <v>377</v>
      </c>
      <c r="C142" s="19" t="str" cm="1">
        <f t="array" ref="C142:E142">_xlfn.TEXTSPLIT(A142,",")</f>
        <v>Development</v>
      </c>
      <c r="D142" s="19" t="str">
        <v>Programming</v>
      </c>
      <c r="E142" s="19" t="str">
        <v>Iteration Statements</v>
      </c>
      <c r="F142" s="36" t="str" cm="1">
        <f t="array" ref="F142">_xlfn.TEXTJOIN(",",TRUE,_xlfn._xlws.FILTER(CLASSIFICATION[Keyword], ($E142=CLASSIFICATION[Keyword Aggr])*($D142=CLASSIFICATION[Functional Scope Aggr])))</f>
        <v>Iteration Statements</v>
      </c>
      <c r="G142" s="32" t="str">
        <f t="shared" si="20"/>
        <v/>
      </c>
      <c r="H142" s="32" t="str">
        <f t="shared" si="21"/>
        <v/>
      </c>
      <c r="I142" s="32" t="str">
        <f t="shared" si="22"/>
        <v>Iteration Statements</v>
      </c>
      <c r="J142" s="33" t="str" cm="1">
        <f t="array" aca="1" ref="J14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($E142=CLASSIFICATION[[Keyword Aggr]:[Keyword Aggr]])*($D142=CLASSIFICATION[[Functional Scope Aggr]:[Functional Scope Aggr]])),
_xlpm._platform_keywords, _xlfn.TEXTSPLIT(SUBSTITUTE(SUBSTITUTE(VLOOKUP($D142,_xlpm._platform_range,3,FALSE),"+"&amp;CHAR(34),"+"),CHAR(34),""),", "),
_xlpm._exists, SUMPRODUCT(--ISNUMBER(MATCH(_xlpm._platform_keywords,_xlpm._original_keywords,0)))&gt;0,
_xlfn.IFS(AND(_xlpm._exists,LEFT($E142,1)="+"),"+",_xlpm._exists,"*",NOT(_xlpm._exists),"")
)</f>
        <v/>
      </c>
      <c r="K142" s="33" t="str" cm="1">
        <f t="array" aca="1" ref="K14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($E142=CLASSIFICATION[[Keyword Aggr]:[Keyword Aggr]])*($D142=CLASSIFICATION[[Functional Scope Aggr]:[Functional Scope Aggr]])),
_xlpm._platform_keywords, _xlfn.TEXTSPLIT(SUBSTITUTE(SUBSTITUTE(VLOOKUP($D142,_xlpm._platform_range,3,FALSE),"+"&amp;CHAR(34),"+"),CHAR(34),""),", "),
_xlpm._exists, SUMPRODUCT(--ISNUMBER(MATCH(_xlpm._platform_keywords,_xlpm._original_keywords,0)))&gt;0,
_xlfn.IFS(AND(_xlpm._exists,LEFT($E142,1)="+"),"+",_xlpm._exists,"*",NOT(_xlpm._exists),"")
)</f>
        <v>*</v>
      </c>
      <c r="L142" s="33" t="str" cm="1">
        <f t="array" aca="1" ref="L14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($E142=CLASSIFICATION[[Keyword Aggr]:[Keyword Aggr]])*($D142=CLASSIFICATION[[Functional Scope Aggr]:[Functional Scope Aggr]])),
_xlpm._platform_keywords, _xlfn.TEXTSPLIT(SUBSTITUTE(SUBSTITUTE(VLOOKUP($D142,_xlpm._platform_range,3,FALSE),"+"&amp;CHAR(34),"+"),CHAR(34),""),", "),
_xlpm._exists, SUMPRODUCT(--ISNUMBER(MATCH(_xlpm._platform_keywords,_xlpm._original_keywords,0)))&gt;0,
_xlfn.IFS(AND(_xlpm._exists,LEFT($E142,1)="+"),"+",_xlpm._exists,"*",NOT(_xlpm._exists),"")
)</f>
        <v>*</v>
      </c>
      <c r="M142" s="33" t="str" cm="1">
        <f t="array" aca="1" ref="M14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($E142=CLASSIFICATION[[Keyword Aggr]:[Keyword Aggr]])*($D142=CLASSIFICATION[[Functional Scope Aggr]:[Functional Scope Aggr]])),
_xlpm._platform_keywords, _xlfn.TEXTSPLIT(SUBSTITUTE(SUBSTITUTE(VLOOKUP($D142,_xlpm._platform_range,3,FALSE),"+"&amp;CHAR(34),"+"),CHAR(34),""),", "),
_xlpm._exists, SUMPRODUCT(--ISNUMBER(MATCH(_xlpm._platform_keywords,_xlpm._original_keywords,0)))&gt;0,
_xlfn.IFS(AND(_xlpm._exists,LEFT($E142,1)="+"),"+",_xlpm._exists,"*",NOT(_xlpm._exists),"")
)</f>
        <v>*</v>
      </c>
      <c r="N142" s="33" t="str" cm="1">
        <f t="array" aca="1" ref="N14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($E142=CLASSIFICATION[[Keyword Aggr]:[Keyword Aggr]])*($D142=CLASSIFICATION[[Functional Scope Aggr]:[Functional Scope Aggr]])),
_xlpm._platform_keywords, _xlfn.TEXTSPLIT(SUBSTITUTE(SUBSTITUTE(VLOOKUP($D142,_xlpm._platform_range,3,FALSE),"+"&amp;CHAR(34),"+"),CHAR(34),""),", "),
_xlpm._exists, SUMPRODUCT(--ISNUMBER(MATCH(_xlpm._platform_keywords,_xlpm._original_keywords,0)))&gt;0,
_xlfn.IFS(AND(_xlpm._exists,LEFT($E142,1)="+"),"+",_xlpm._exists,"*",NOT(_xlpm._exists),"")
)</f>
        <v/>
      </c>
      <c r="O142" s="33" t="str" cm="1">
        <f t="array" aca="1" ref="O14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($E142=CLASSIFICATION[[Keyword Aggr]:[Keyword Aggr]])*($D142=CLASSIFICATION[[Functional Scope Aggr]:[Functional Scope Aggr]])),
_xlpm._platform_keywords, _xlfn.TEXTSPLIT(SUBSTITUTE(SUBSTITUTE(VLOOKUP($D142,_xlpm._platform_range,3,FALSE),"+"&amp;CHAR(34),"+"),CHAR(34),""),", "),
_xlpm._exists, SUMPRODUCT(--ISNUMBER(MATCH(_xlpm._platform_keywords,_xlpm._original_keywords,0)))&gt;0,
_xlfn.IFS(AND(_xlpm._exists,LEFT($E142,1)="+"),"+",_xlpm._exists,"*",NOT(_xlpm._exists),"")
)</f>
        <v/>
      </c>
      <c r="Q142" s="33" t="str" cm="1">
        <f t="array" aca="1" ref="Q14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($E142=CLASSIFICATION[[Keyword Aggr]:[Keyword Aggr]])*($D142=CLASSIFICATION[[Functional Scope Aggr]:[Functional Scope Aggr]])),
_xlpm._platform_keywords, _xlfn.TEXTSPLIT(SUBSTITUTE(SUBSTITUTE(VLOOKUP($D142,_xlpm._platform_range,3,FALSE),"+"&amp;CHAR(34),"+"),CHAR(34),""),", "),
_xlpm._exists, SUMPRODUCT(--ISNUMBER(MATCH(_xlpm._platform_keywords,_xlpm._original_keywords,0)))&gt;0,
_xlfn.IFS(_xlpm._exists,1,NOT(_xlpm._exists),"")
)</f>
        <v/>
      </c>
      <c r="R142" s="33" cm="1">
        <f t="array" aca="1" ref="R14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($E142=CLASSIFICATION[[Keyword Aggr]:[Keyword Aggr]])*($D142=CLASSIFICATION[[Functional Scope Aggr]:[Functional Scope Aggr]])),
_xlpm._platform_keywords, _xlfn.TEXTSPLIT(SUBSTITUTE(SUBSTITUTE(VLOOKUP($D142,_xlpm._platform_range,3,FALSE),"+"&amp;CHAR(34),"+"),CHAR(34),""),", "),
_xlpm._exists, SUMPRODUCT(--ISNUMBER(MATCH(_xlpm._platform_keywords,_xlpm._original_keywords,0)))&gt;0,
_xlfn.IFS(_xlpm._exists,1,NOT(_xlpm._exists),"")
)</f>
        <v>1</v>
      </c>
      <c r="S142" s="33" cm="1">
        <f t="array" aca="1" ref="S14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($E142=CLASSIFICATION[[Keyword Aggr]:[Keyword Aggr]])*($D142=CLASSIFICATION[[Functional Scope Aggr]:[Functional Scope Aggr]])),
_xlpm._platform_keywords, _xlfn.TEXTSPLIT(SUBSTITUTE(SUBSTITUTE(VLOOKUP($D142,_xlpm._platform_range,3,FALSE),"+"&amp;CHAR(34),"+"),CHAR(34),""),", "),
_xlpm._exists, SUMPRODUCT(--ISNUMBER(MATCH(_xlpm._platform_keywords,_xlpm._original_keywords,0)))&gt;0,
_xlfn.IFS(_xlpm._exists,1,NOT(_xlpm._exists),"")
)</f>
        <v>1</v>
      </c>
      <c r="T142" s="33" cm="1">
        <f t="array" aca="1" ref="T14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($E142=CLASSIFICATION[[Keyword Aggr]:[Keyword Aggr]])*($D142=CLASSIFICATION[[Functional Scope Aggr]:[Functional Scope Aggr]])),
_xlpm._platform_keywords, _xlfn.TEXTSPLIT(SUBSTITUTE(SUBSTITUTE(VLOOKUP($D142,_xlpm._platform_range,3,FALSE),"+"&amp;CHAR(34),"+"),CHAR(34),""),", "),
_xlpm._exists, SUMPRODUCT(--ISNUMBER(MATCH(_xlpm._platform_keywords,_xlpm._original_keywords,0)))&gt;0,
_xlfn.IFS(_xlpm._exists,1,NOT(_xlpm._exists),"")
)</f>
        <v>1</v>
      </c>
      <c r="U142" s="33" t="str" cm="1">
        <f t="array" aca="1" ref="U14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($E142=CLASSIFICATION[[Keyword Aggr]:[Keyword Aggr]])*($D142=CLASSIFICATION[[Functional Scope Aggr]:[Functional Scope Aggr]])),
_xlpm._platform_keywords, _xlfn.TEXTSPLIT(SUBSTITUTE(SUBSTITUTE(VLOOKUP($D142,_xlpm._platform_range,3,FALSE),"+"&amp;CHAR(34),"+"),CHAR(34),""),", "),
_xlpm._exists, SUMPRODUCT(--ISNUMBER(MATCH(_xlpm._platform_keywords,_xlpm._original_keywords,0)))&gt;0,
_xlfn.IFS(_xlpm._exists,1,NOT(_xlpm._exists),"")
)</f>
        <v/>
      </c>
      <c r="V142" s="33" t="str" cm="1">
        <f t="array" aca="1" ref="V14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($E142=CLASSIFICATION[[Keyword Aggr]:[Keyword Aggr]])*($D142=CLASSIFICATION[[Functional Scope Aggr]:[Functional Scope Aggr]])),
_xlpm._platform_keywords, _xlfn.TEXTSPLIT(SUBSTITUTE(SUBSTITUTE(VLOOKUP($D142,_xlpm._platform_range,3,FALSE),"+"&amp;CHAR(34),"+"),CHAR(34),""),", "),
_xlpm._exists, SUMPRODUCT(--ISNUMBER(MATCH(_xlpm._platform_keywords,_xlpm._original_keywords,0)))&gt;0,
_xlfn.IFS(_xlpm._exists,1,NOT(_xlpm._exists),"")
)</f>
        <v/>
      </c>
      <c r="X142" s="33" t="str">
        <f t="shared" si="23"/>
        <v/>
      </c>
      <c r="Y142" s="33" t="str">
        <f t="shared" si="24"/>
        <v/>
      </c>
      <c r="Z142" s="33" t="str">
        <f t="shared" si="25"/>
        <v/>
      </c>
      <c r="AA142" s="33" t="str">
        <f t="shared" si="26"/>
        <v/>
      </c>
      <c r="AB142" s="33" t="str">
        <f t="shared" si="27"/>
        <v/>
      </c>
      <c r="AC142" s="33" t="str">
        <f t="shared" si="28"/>
        <v/>
      </c>
    </row>
    <row r="143" spans="1:29" x14ac:dyDescent="0.25">
      <c r="A143" s="19" t="str">
        <v>Development,Programming,Java</v>
      </c>
      <c r="B143" t="s">
        <v>377</v>
      </c>
      <c r="C143" s="19" t="str" cm="1">
        <f t="array" ref="C143:E143">_xlfn.TEXTSPLIT(A143,",")</f>
        <v>Development</v>
      </c>
      <c r="D143" s="19" t="str">
        <v>Programming</v>
      </c>
      <c r="E143" s="19" t="str">
        <v>Java</v>
      </c>
      <c r="F143" s="36" t="str" cm="1">
        <f t="array" ref="F143">_xlfn.TEXTJOIN(",",TRUE,_xlfn._xlws.FILTER(CLASSIFICATION[Keyword], ($E143=CLASSIFICATION[Keyword Aggr])*($D143=CLASSIFICATION[Functional Scope Aggr])))</f>
        <v>Java</v>
      </c>
      <c r="G143" s="32" t="str">
        <f t="shared" si="20"/>
        <v/>
      </c>
      <c r="H143" s="32" t="str">
        <f t="shared" si="21"/>
        <v/>
      </c>
      <c r="I143" s="32" t="str">
        <f t="shared" si="22"/>
        <v>Java</v>
      </c>
      <c r="J143" s="33" t="str" cm="1">
        <f t="array" aca="1" ref="J14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($E143=CLASSIFICATION[[Keyword Aggr]:[Keyword Aggr]])*($D143=CLASSIFICATION[[Functional Scope Aggr]:[Functional Scope Aggr]])),
_xlpm._platform_keywords, _xlfn.TEXTSPLIT(SUBSTITUTE(SUBSTITUTE(VLOOKUP($D143,_xlpm._platform_range,3,FALSE),"+"&amp;CHAR(34),"+"),CHAR(34),""),", "),
_xlpm._exists, SUMPRODUCT(--ISNUMBER(MATCH(_xlpm._platform_keywords,_xlpm._original_keywords,0)))&gt;0,
_xlfn.IFS(AND(_xlpm._exists,LEFT($E143,1)="+"),"+",_xlpm._exists,"*",NOT(_xlpm._exists),"")
)</f>
        <v>*</v>
      </c>
      <c r="K143" s="33" t="str" cm="1">
        <f t="array" aca="1" ref="K14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($E143=CLASSIFICATION[[Keyword Aggr]:[Keyword Aggr]])*($D143=CLASSIFICATION[[Functional Scope Aggr]:[Functional Scope Aggr]])),
_xlpm._platform_keywords, _xlfn.TEXTSPLIT(SUBSTITUTE(SUBSTITUTE(VLOOKUP($D143,_xlpm._platform_range,3,FALSE),"+"&amp;CHAR(34),"+"),CHAR(34),""),", "),
_xlpm._exists, SUMPRODUCT(--ISNUMBER(MATCH(_xlpm._platform_keywords,_xlpm._original_keywords,0)))&gt;0,
_xlfn.IFS(AND(_xlpm._exists,LEFT($E143,1)="+"),"+",_xlpm._exists,"*",NOT(_xlpm._exists),"")
)</f>
        <v/>
      </c>
      <c r="L143" s="33" t="str" cm="1">
        <f t="array" aca="1" ref="L14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($E143=CLASSIFICATION[[Keyword Aggr]:[Keyword Aggr]])*($D143=CLASSIFICATION[[Functional Scope Aggr]:[Functional Scope Aggr]])),
_xlpm._platform_keywords, _xlfn.TEXTSPLIT(SUBSTITUTE(SUBSTITUTE(VLOOKUP($D143,_xlpm._platform_range,3,FALSE),"+"&amp;CHAR(34),"+"),CHAR(34),""),", "),
_xlpm._exists, SUMPRODUCT(--ISNUMBER(MATCH(_xlpm._platform_keywords,_xlpm._original_keywords,0)))&gt;0,
_xlfn.IFS(AND(_xlpm._exists,LEFT($E143,1)="+"),"+",_xlpm._exists,"*",NOT(_xlpm._exists),"")
)</f>
        <v/>
      </c>
      <c r="M143" s="33" t="str" cm="1">
        <f t="array" aca="1" ref="M14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($E143=CLASSIFICATION[[Keyword Aggr]:[Keyword Aggr]])*($D143=CLASSIFICATION[[Functional Scope Aggr]:[Functional Scope Aggr]])),
_xlpm._platform_keywords, _xlfn.TEXTSPLIT(SUBSTITUTE(SUBSTITUTE(VLOOKUP($D143,_xlpm._platform_range,3,FALSE),"+"&amp;CHAR(34),"+"),CHAR(34),""),", "),
_xlpm._exists, SUMPRODUCT(--ISNUMBER(MATCH(_xlpm._platform_keywords,_xlpm._original_keywords,0)))&gt;0,
_xlfn.IFS(AND(_xlpm._exists,LEFT($E143,1)="+"),"+",_xlpm._exists,"*",NOT(_xlpm._exists),"")
)</f>
        <v/>
      </c>
      <c r="N143" s="33" t="str" cm="1">
        <f t="array" aca="1" ref="N14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($E143=CLASSIFICATION[[Keyword Aggr]:[Keyword Aggr]])*($D143=CLASSIFICATION[[Functional Scope Aggr]:[Functional Scope Aggr]])),
_xlpm._platform_keywords, _xlfn.TEXTSPLIT(SUBSTITUTE(SUBSTITUTE(VLOOKUP($D143,_xlpm._platform_range,3,FALSE),"+"&amp;CHAR(34),"+"),CHAR(34),""),", "),
_xlpm._exists, SUMPRODUCT(--ISNUMBER(MATCH(_xlpm._platform_keywords,_xlpm._original_keywords,0)))&gt;0,
_xlfn.IFS(AND(_xlpm._exists,LEFT($E143,1)="+"),"+",_xlpm._exists,"*",NOT(_xlpm._exists),"")
)</f>
        <v/>
      </c>
      <c r="O143" s="33" t="str" cm="1">
        <f t="array" aca="1" ref="O14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($E143=CLASSIFICATION[[Keyword Aggr]:[Keyword Aggr]])*($D143=CLASSIFICATION[[Functional Scope Aggr]:[Functional Scope Aggr]])),
_xlpm._platform_keywords, _xlfn.TEXTSPLIT(SUBSTITUTE(SUBSTITUTE(VLOOKUP($D143,_xlpm._platform_range,3,FALSE),"+"&amp;CHAR(34),"+"),CHAR(34),""),", "),
_xlpm._exists, SUMPRODUCT(--ISNUMBER(MATCH(_xlpm._platform_keywords,_xlpm._original_keywords,0)))&gt;0,
_xlfn.IFS(AND(_xlpm._exists,LEFT($E143,1)="+"),"+",_xlpm._exists,"*",NOT(_xlpm._exists),"")
)</f>
        <v/>
      </c>
      <c r="Q143" s="33" cm="1">
        <f t="array" aca="1" ref="Q14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($E143=CLASSIFICATION[[Keyword Aggr]:[Keyword Aggr]])*($D143=CLASSIFICATION[[Functional Scope Aggr]:[Functional Scope Aggr]])),
_xlpm._platform_keywords, _xlfn.TEXTSPLIT(SUBSTITUTE(SUBSTITUTE(VLOOKUP($D143,_xlpm._platform_range,3,FALSE),"+"&amp;CHAR(34),"+"),CHAR(34),""),", "),
_xlpm._exists, SUMPRODUCT(--ISNUMBER(MATCH(_xlpm._platform_keywords,_xlpm._original_keywords,0)))&gt;0,
_xlfn.IFS(_xlpm._exists,1,NOT(_xlpm._exists),"")
)</f>
        <v>1</v>
      </c>
      <c r="R143" s="33" t="str" cm="1">
        <f t="array" aca="1" ref="R14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($E143=CLASSIFICATION[[Keyword Aggr]:[Keyword Aggr]])*($D143=CLASSIFICATION[[Functional Scope Aggr]:[Functional Scope Aggr]])),
_xlpm._platform_keywords, _xlfn.TEXTSPLIT(SUBSTITUTE(SUBSTITUTE(VLOOKUP($D143,_xlpm._platform_range,3,FALSE),"+"&amp;CHAR(34),"+"),CHAR(34),""),", "),
_xlpm._exists, SUMPRODUCT(--ISNUMBER(MATCH(_xlpm._platform_keywords,_xlpm._original_keywords,0)))&gt;0,
_xlfn.IFS(_xlpm._exists,1,NOT(_xlpm._exists),"")
)</f>
        <v/>
      </c>
      <c r="S143" s="33" t="str" cm="1">
        <f t="array" aca="1" ref="S14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($E143=CLASSIFICATION[[Keyword Aggr]:[Keyword Aggr]])*($D143=CLASSIFICATION[[Functional Scope Aggr]:[Functional Scope Aggr]])),
_xlpm._platform_keywords, _xlfn.TEXTSPLIT(SUBSTITUTE(SUBSTITUTE(VLOOKUP($D143,_xlpm._platform_range,3,FALSE),"+"&amp;CHAR(34),"+"),CHAR(34),""),", "),
_xlpm._exists, SUMPRODUCT(--ISNUMBER(MATCH(_xlpm._platform_keywords,_xlpm._original_keywords,0)))&gt;0,
_xlfn.IFS(_xlpm._exists,1,NOT(_xlpm._exists),"")
)</f>
        <v/>
      </c>
      <c r="T143" s="33" t="str" cm="1">
        <f t="array" aca="1" ref="T14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($E143=CLASSIFICATION[[Keyword Aggr]:[Keyword Aggr]])*($D143=CLASSIFICATION[[Functional Scope Aggr]:[Functional Scope Aggr]])),
_xlpm._platform_keywords, _xlfn.TEXTSPLIT(SUBSTITUTE(SUBSTITUTE(VLOOKUP($D143,_xlpm._platform_range,3,FALSE),"+"&amp;CHAR(34),"+"),CHAR(34),""),", "),
_xlpm._exists, SUMPRODUCT(--ISNUMBER(MATCH(_xlpm._platform_keywords,_xlpm._original_keywords,0)))&gt;0,
_xlfn.IFS(_xlpm._exists,1,NOT(_xlpm._exists),"")
)</f>
        <v/>
      </c>
      <c r="U143" s="33" t="str" cm="1">
        <f t="array" aca="1" ref="U14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($E143=CLASSIFICATION[[Keyword Aggr]:[Keyword Aggr]])*($D143=CLASSIFICATION[[Functional Scope Aggr]:[Functional Scope Aggr]])),
_xlpm._platform_keywords, _xlfn.TEXTSPLIT(SUBSTITUTE(SUBSTITUTE(VLOOKUP($D143,_xlpm._platform_range,3,FALSE),"+"&amp;CHAR(34),"+"),CHAR(34),""),", "),
_xlpm._exists, SUMPRODUCT(--ISNUMBER(MATCH(_xlpm._platform_keywords,_xlpm._original_keywords,0)))&gt;0,
_xlfn.IFS(_xlpm._exists,1,NOT(_xlpm._exists),"")
)</f>
        <v/>
      </c>
      <c r="V143" s="33" t="str" cm="1">
        <f t="array" aca="1" ref="V14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($E143=CLASSIFICATION[[Keyword Aggr]:[Keyword Aggr]])*($D143=CLASSIFICATION[[Functional Scope Aggr]:[Functional Scope Aggr]])),
_xlpm._platform_keywords, _xlfn.TEXTSPLIT(SUBSTITUTE(SUBSTITUTE(VLOOKUP($D143,_xlpm._platform_range,3,FALSE),"+"&amp;CHAR(34),"+"),CHAR(34),""),", "),
_xlpm._exists, SUMPRODUCT(--ISNUMBER(MATCH(_xlpm._platform_keywords,_xlpm._original_keywords,0)))&gt;0,
_xlfn.IFS(_xlpm._exists,1,NOT(_xlpm._exists),"")
)</f>
        <v/>
      </c>
      <c r="X143" s="33" t="str">
        <f t="shared" si="23"/>
        <v/>
      </c>
      <c r="Y143" s="33" t="str">
        <f t="shared" si="24"/>
        <v/>
      </c>
      <c r="Z143" s="33" t="str">
        <f t="shared" si="25"/>
        <v/>
      </c>
      <c r="AA143" s="33" t="str">
        <f t="shared" si="26"/>
        <v/>
      </c>
      <c r="AB143" s="33" t="str">
        <f t="shared" si="27"/>
        <v/>
      </c>
      <c r="AC143" s="33" t="str">
        <f t="shared" si="28"/>
        <v/>
      </c>
    </row>
    <row r="144" spans="1:29" x14ac:dyDescent="0.25">
      <c r="A144" s="19" t="str">
        <v>Development,Programming,Java API</v>
      </c>
      <c r="B144" t="s">
        <v>377</v>
      </c>
      <c r="C144" s="19" t="str" cm="1">
        <f t="array" ref="C144:E144">_xlfn.TEXTSPLIT(A144,",")</f>
        <v>Development</v>
      </c>
      <c r="D144" s="19" t="str">
        <v>Programming</v>
      </c>
      <c r="E144" s="19" t="str">
        <v>Java API</v>
      </c>
      <c r="F144" s="36" t="str" cm="1">
        <f t="array" ref="F144">_xlfn.TEXTJOIN(",",TRUE,_xlfn._xlws.FILTER(CLASSIFICATION[Keyword], ($E144=CLASSIFICATION[Keyword Aggr])*($D144=CLASSIFICATION[Functional Scope Aggr])))</f>
        <v>Java API</v>
      </c>
      <c r="G144" s="32" t="str">
        <f t="shared" si="20"/>
        <v/>
      </c>
      <c r="H144" s="32" t="str">
        <f t="shared" si="21"/>
        <v/>
      </c>
      <c r="I144" s="32" t="str">
        <f t="shared" si="22"/>
        <v>Java API</v>
      </c>
      <c r="J144" s="33" t="str" cm="1">
        <f t="array" aca="1" ref="J14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($E144=CLASSIFICATION[[Keyword Aggr]:[Keyword Aggr]])*($D144=CLASSIFICATION[[Functional Scope Aggr]:[Functional Scope Aggr]])),
_xlpm._platform_keywords, _xlfn.TEXTSPLIT(SUBSTITUTE(SUBSTITUTE(VLOOKUP($D144,_xlpm._platform_range,3,FALSE),"+"&amp;CHAR(34),"+"),CHAR(34),""),", "),
_xlpm._exists, SUMPRODUCT(--ISNUMBER(MATCH(_xlpm._platform_keywords,_xlpm._original_keywords,0)))&gt;0,
_xlfn.IFS(AND(_xlpm._exists,LEFT($E144,1)="+"),"+",_xlpm._exists,"*",NOT(_xlpm._exists),"")
)</f>
        <v>*</v>
      </c>
      <c r="K144" s="33" t="str" cm="1">
        <f t="array" aca="1" ref="K14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($E144=CLASSIFICATION[[Keyword Aggr]:[Keyword Aggr]])*($D144=CLASSIFICATION[[Functional Scope Aggr]:[Functional Scope Aggr]])),
_xlpm._platform_keywords, _xlfn.TEXTSPLIT(SUBSTITUTE(SUBSTITUTE(VLOOKUP($D144,_xlpm._platform_range,3,FALSE),"+"&amp;CHAR(34),"+"),CHAR(34),""),", "),
_xlpm._exists, SUMPRODUCT(--ISNUMBER(MATCH(_xlpm._platform_keywords,_xlpm._original_keywords,0)))&gt;0,
_xlfn.IFS(AND(_xlpm._exists,LEFT($E144,1)="+"),"+",_xlpm._exists,"*",NOT(_xlpm._exists),"")
)</f>
        <v/>
      </c>
      <c r="L144" s="33" t="str" cm="1">
        <f t="array" aca="1" ref="L14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($E144=CLASSIFICATION[[Keyword Aggr]:[Keyword Aggr]])*($D144=CLASSIFICATION[[Functional Scope Aggr]:[Functional Scope Aggr]])),
_xlpm._platform_keywords, _xlfn.TEXTSPLIT(SUBSTITUTE(SUBSTITUTE(VLOOKUP($D144,_xlpm._platform_range,3,FALSE),"+"&amp;CHAR(34),"+"),CHAR(34),""),", "),
_xlpm._exists, SUMPRODUCT(--ISNUMBER(MATCH(_xlpm._platform_keywords,_xlpm._original_keywords,0)))&gt;0,
_xlfn.IFS(AND(_xlpm._exists,LEFT($E144,1)="+"),"+",_xlpm._exists,"*",NOT(_xlpm._exists),"")
)</f>
        <v/>
      </c>
      <c r="M144" s="33" t="str" cm="1">
        <f t="array" aca="1" ref="M14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($E144=CLASSIFICATION[[Keyword Aggr]:[Keyword Aggr]])*($D144=CLASSIFICATION[[Functional Scope Aggr]:[Functional Scope Aggr]])),
_xlpm._platform_keywords, _xlfn.TEXTSPLIT(SUBSTITUTE(SUBSTITUTE(VLOOKUP($D144,_xlpm._platform_range,3,FALSE),"+"&amp;CHAR(34),"+"),CHAR(34),""),", "),
_xlpm._exists, SUMPRODUCT(--ISNUMBER(MATCH(_xlpm._platform_keywords,_xlpm._original_keywords,0)))&gt;0,
_xlfn.IFS(AND(_xlpm._exists,LEFT($E144,1)="+"),"+",_xlpm._exists,"*",NOT(_xlpm._exists),"")
)</f>
        <v/>
      </c>
      <c r="N144" s="33" t="str" cm="1">
        <f t="array" aca="1" ref="N14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($E144=CLASSIFICATION[[Keyword Aggr]:[Keyword Aggr]])*($D144=CLASSIFICATION[[Functional Scope Aggr]:[Functional Scope Aggr]])),
_xlpm._platform_keywords, _xlfn.TEXTSPLIT(SUBSTITUTE(SUBSTITUTE(VLOOKUP($D144,_xlpm._platform_range,3,FALSE),"+"&amp;CHAR(34),"+"),CHAR(34),""),", "),
_xlpm._exists, SUMPRODUCT(--ISNUMBER(MATCH(_xlpm._platform_keywords,_xlpm._original_keywords,0)))&gt;0,
_xlfn.IFS(AND(_xlpm._exists,LEFT($E144,1)="+"),"+",_xlpm._exists,"*",NOT(_xlpm._exists),"")
)</f>
        <v/>
      </c>
      <c r="O144" s="33" t="str" cm="1">
        <f t="array" aca="1" ref="O14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($E144=CLASSIFICATION[[Keyword Aggr]:[Keyword Aggr]])*($D144=CLASSIFICATION[[Functional Scope Aggr]:[Functional Scope Aggr]])),
_xlpm._platform_keywords, _xlfn.TEXTSPLIT(SUBSTITUTE(SUBSTITUTE(VLOOKUP($D144,_xlpm._platform_range,3,FALSE),"+"&amp;CHAR(34),"+"),CHAR(34),""),", "),
_xlpm._exists, SUMPRODUCT(--ISNUMBER(MATCH(_xlpm._platform_keywords,_xlpm._original_keywords,0)))&gt;0,
_xlfn.IFS(AND(_xlpm._exists,LEFT($E144,1)="+"),"+",_xlpm._exists,"*",NOT(_xlpm._exists),"")
)</f>
        <v/>
      </c>
      <c r="Q144" s="33" cm="1">
        <f t="array" aca="1" ref="Q14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($E144=CLASSIFICATION[[Keyword Aggr]:[Keyword Aggr]])*($D144=CLASSIFICATION[[Functional Scope Aggr]:[Functional Scope Aggr]])),
_xlpm._platform_keywords, _xlfn.TEXTSPLIT(SUBSTITUTE(SUBSTITUTE(VLOOKUP($D144,_xlpm._platform_range,3,FALSE),"+"&amp;CHAR(34),"+"),CHAR(34),""),", "),
_xlpm._exists, SUMPRODUCT(--ISNUMBER(MATCH(_xlpm._platform_keywords,_xlpm._original_keywords,0)))&gt;0,
_xlfn.IFS(_xlpm._exists,1,NOT(_xlpm._exists),"")
)</f>
        <v>1</v>
      </c>
      <c r="R144" s="33" t="str" cm="1">
        <f t="array" aca="1" ref="R14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($E144=CLASSIFICATION[[Keyword Aggr]:[Keyword Aggr]])*($D144=CLASSIFICATION[[Functional Scope Aggr]:[Functional Scope Aggr]])),
_xlpm._platform_keywords, _xlfn.TEXTSPLIT(SUBSTITUTE(SUBSTITUTE(VLOOKUP($D144,_xlpm._platform_range,3,FALSE),"+"&amp;CHAR(34),"+"),CHAR(34),""),", "),
_xlpm._exists, SUMPRODUCT(--ISNUMBER(MATCH(_xlpm._platform_keywords,_xlpm._original_keywords,0)))&gt;0,
_xlfn.IFS(_xlpm._exists,1,NOT(_xlpm._exists),"")
)</f>
        <v/>
      </c>
      <c r="S144" s="33" t="str" cm="1">
        <f t="array" aca="1" ref="S14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($E144=CLASSIFICATION[[Keyword Aggr]:[Keyword Aggr]])*($D144=CLASSIFICATION[[Functional Scope Aggr]:[Functional Scope Aggr]])),
_xlpm._platform_keywords, _xlfn.TEXTSPLIT(SUBSTITUTE(SUBSTITUTE(VLOOKUP($D144,_xlpm._platform_range,3,FALSE),"+"&amp;CHAR(34),"+"),CHAR(34),""),", "),
_xlpm._exists, SUMPRODUCT(--ISNUMBER(MATCH(_xlpm._platform_keywords,_xlpm._original_keywords,0)))&gt;0,
_xlfn.IFS(_xlpm._exists,1,NOT(_xlpm._exists),"")
)</f>
        <v/>
      </c>
      <c r="T144" s="33" t="str" cm="1">
        <f t="array" aca="1" ref="T14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($E144=CLASSIFICATION[[Keyword Aggr]:[Keyword Aggr]])*($D144=CLASSIFICATION[[Functional Scope Aggr]:[Functional Scope Aggr]])),
_xlpm._platform_keywords, _xlfn.TEXTSPLIT(SUBSTITUTE(SUBSTITUTE(VLOOKUP($D144,_xlpm._platform_range,3,FALSE),"+"&amp;CHAR(34),"+"),CHAR(34),""),", "),
_xlpm._exists, SUMPRODUCT(--ISNUMBER(MATCH(_xlpm._platform_keywords,_xlpm._original_keywords,0)))&gt;0,
_xlfn.IFS(_xlpm._exists,1,NOT(_xlpm._exists),"")
)</f>
        <v/>
      </c>
      <c r="U144" s="33" t="str" cm="1">
        <f t="array" aca="1" ref="U14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($E144=CLASSIFICATION[[Keyword Aggr]:[Keyword Aggr]])*($D144=CLASSIFICATION[[Functional Scope Aggr]:[Functional Scope Aggr]])),
_xlpm._platform_keywords, _xlfn.TEXTSPLIT(SUBSTITUTE(SUBSTITUTE(VLOOKUP($D144,_xlpm._platform_range,3,FALSE),"+"&amp;CHAR(34),"+"),CHAR(34),""),", "),
_xlpm._exists, SUMPRODUCT(--ISNUMBER(MATCH(_xlpm._platform_keywords,_xlpm._original_keywords,0)))&gt;0,
_xlfn.IFS(_xlpm._exists,1,NOT(_xlpm._exists),"")
)</f>
        <v/>
      </c>
      <c r="V144" s="33" t="str" cm="1">
        <f t="array" aca="1" ref="V14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($E144=CLASSIFICATION[[Keyword Aggr]:[Keyword Aggr]])*($D144=CLASSIFICATION[[Functional Scope Aggr]:[Functional Scope Aggr]])),
_xlpm._platform_keywords, _xlfn.TEXTSPLIT(SUBSTITUTE(SUBSTITUTE(VLOOKUP($D144,_xlpm._platform_range,3,FALSE),"+"&amp;CHAR(34),"+"),CHAR(34),""),", "),
_xlpm._exists, SUMPRODUCT(--ISNUMBER(MATCH(_xlpm._platform_keywords,_xlpm._original_keywords,0)))&gt;0,
_xlfn.IFS(_xlpm._exists,1,NOT(_xlpm._exists),"")
)</f>
        <v/>
      </c>
      <c r="X144" s="33" t="str">
        <f t="shared" si="23"/>
        <v/>
      </c>
      <c r="Y144" s="33" t="str">
        <f t="shared" si="24"/>
        <v/>
      </c>
      <c r="Z144" s="33" t="str">
        <f t="shared" si="25"/>
        <v/>
      </c>
      <c r="AA144" s="33" t="str">
        <f t="shared" si="26"/>
        <v/>
      </c>
      <c r="AB144" s="33" t="str">
        <f t="shared" si="27"/>
        <v/>
      </c>
      <c r="AC144" s="33" t="str">
        <f t="shared" si="28"/>
        <v/>
      </c>
    </row>
    <row r="145" spans="1:29" x14ac:dyDescent="0.25">
      <c r="A145" s="19" t="str">
        <v>Development,Programming,JavaScript</v>
      </c>
      <c r="B145" t="s">
        <v>377</v>
      </c>
      <c r="C145" s="19" t="str" cm="1">
        <f t="array" ref="C145:E145">_xlfn.TEXTSPLIT(A145,",")</f>
        <v>Development</v>
      </c>
      <c r="D145" s="19" t="str">
        <v>Programming</v>
      </c>
      <c r="E145" s="19" t="str">
        <v>JavaScript</v>
      </c>
      <c r="F145" s="36" t="str" cm="1">
        <f t="array" ref="F145">_xlfn.TEXTJOIN(",",TRUE,_xlfn._xlws.FILTER(CLASSIFICATION[Keyword], ($E145=CLASSIFICATION[Keyword Aggr])*($D145=CLASSIFICATION[Functional Scope Aggr])))</f>
        <v>JavaScript</v>
      </c>
      <c r="G145" s="32" t="str">
        <f t="shared" si="20"/>
        <v/>
      </c>
      <c r="H145" s="32" t="str">
        <f t="shared" si="21"/>
        <v/>
      </c>
      <c r="I145" s="32" t="str">
        <f t="shared" si="22"/>
        <v>JavaScript</v>
      </c>
      <c r="J145" s="33" t="str" cm="1">
        <f t="array" aca="1" ref="J14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($E145=CLASSIFICATION[[Keyword Aggr]:[Keyword Aggr]])*($D145=CLASSIFICATION[[Functional Scope Aggr]:[Functional Scope Aggr]])),
_xlpm._platform_keywords, _xlfn.TEXTSPLIT(SUBSTITUTE(SUBSTITUTE(VLOOKUP($D145,_xlpm._platform_range,3,FALSE),"+"&amp;CHAR(34),"+"),CHAR(34),""),", "),
_xlpm._exists, SUMPRODUCT(--ISNUMBER(MATCH(_xlpm._platform_keywords,_xlpm._original_keywords,0)))&gt;0,
_xlfn.IFS(AND(_xlpm._exists,LEFT($E145,1)="+"),"+",_xlpm._exists,"*",NOT(_xlpm._exists),"")
)</f>
        <v/>
      </c>
      <c r="K145" s="33" t="str" cm="1">
        <f t="array" aca="1" ref="K14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($E145=CLASSIFICATION[[Keyword Aggr]:[Keyword Aggr]])*($D145=CLASSIFICATION[[Functional Scope Aggr]:[Functional Scope Aggr]])),
_xlpm._platform_keywords, _xlfn.TEXTSPLIT(SUBSTITUTE(SUBSTITUTE(VLOOKUP($D145,_xlpm._platform_range,3,FALSE),"+"&amp;CHAR(34),"+"),CHAR(34),""),", "),
_xlpm._exists, SUMPRODUCT(--ISNUMBER(MATCH(_xlpm._platform_keywords,_xlpm._original_keywords,0)))&gt;0,
_xlfn.IFS(AND(_xlpm._exists,LEFT($E145,1)="+"),"+",_xlpm._exists,"*",NOT(_xlpm._exists),"")
)</f>
        <v/>
      </c>
      <c r="L145" s="33" t="str" cm="1">
        <f t="array" aca="1" ref="L14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($E145=CLASSIFICATION[[Keyword Aggr]:[Keyword Aggr]])*($D145=CLASSIFICATION[[Functional Scope Aggr]:[Functional Scope Aggr]])),
_xlpm._platform_keywords, _xlfn.TEXTSPLIT(SUBSTITUTE(SUBSTITUTE(VLOOKUP($D145,_xlpm._platform_range,3,FALSE),"+"&amp;CHAR(34),"+"),CHAR(34),""),", "),
_xlpm._exists, SUMPRODUCT(--ISNUMBER(MATCH(_xlpm._platform_keywords,_xlpm._original_keywords,0)))&gt;0,
_xlfn.IFS(AND(_xlpm._exists,LEFT($E145,1)="+"),"+",_xlpm._exists,"*",NOT(_xlpm._exists),"")
)</f>
        <v/>
      </c>
      <c r="M145" s="33" t="str" cm="1">
        <f t="array" aca="1" ref="M14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($E145=CLASSIFICATION[[Keyword Aggr]:[Keyword Aggr]])*($D145=CLASSIFICATION[[Functional Scope Aggr]:[Functional Scope Aggr]])),
_xlpm._platform_keywords, _xlfn.TEXTSPLIT(SUBSTITUTE(SUBSTITUTE(VLOOKUP($D145,_xlpm._platform_range,3,FALSE),"+"&amp;CHAR(34),"+"),CHAR(34),""),", "),
_xlpm._exists, SUMPRODUCT(--ISNUMBER(MATCH(_xlpm._platform_keywords,_xlpm._original_keywords,0)))&gt;0,
_xlfn.IFS(AND(_xlpm._exists,LEFT($E145,1)="+"),"+",_xlpm._exists,"*",NOT(_xlpm._exists),"")
)</f>
        <v/>
      </c>
      <c r="N145" s="33" t="str" cm="1">
        <f t="array" aca="1" ref="N14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($E145=CLASSIFICATION[[Keyword Aggr]:[Keyword Aggr]])*($D145=CLASSIFICATION[[Functional Scope Aggr]:[Functional Scope Aggr]])),
_xlpm._platform_keywords, _xlfn.TEXTSPLIT(SUBSTITUTE(SUBSTITUTE(VLOOKUP($D145,_xlpm._platform_range,3,FALSE),"+"&amp;CHAR(34),"+"),CHAR(34),""),", "),
_xlpm._exists, SUMPRODUCT(--ISNUMBER(MATCH(_xlpm._platform_keywords,_xlpm._original_keywords,0)))&gt;0,
_xlfn.IFS(AND(_xlpm._exists,LEFT($E145,1)="+"),"+",_xlpm._exists,"*",NOT(_xlpm._exists),"")
)</f>
        <v>*</v>
      </c>
      <c r="O145" s="33" t="str" cm="1">
        <f t="array" aca="1" ref="O14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($E145=CLASSIFICATION[[Keyword Aggr]:[Keyword Aggr]])*($D145=CLASSIFICATION[[Functional Scope Aggr]:[Functional Scope Aggr]])),
_xlpm._platform_keywords, _xlfn.TEXTSPLIT(SUBSTITUTE(SUBSTITUTE(VLOOKUP($D145,_xlpm._platform_range,3,FALSE),"+"&amp;CHAR(34),"+"),CHAR(34),""),", "),
_xlpm._exists, SUMPRODUCT(--ISNUMBER(MATCH(_xlpm._platform_keywords,_xlpm._original_keywords,0)))&gt;0,
_xlfn.IFS(AND(_xlpm._exists,LEFT($E145,1)="+"),"+",_xlpm._exists,"*",NOT(_xlpm._exists),"")
)</f>
        <v>*</v>
      </c>
      <c r="Q145" s="33" t="str" cm="1">
        <f t="array" aca="1" ref="Q14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($E145=CLASSIFICATION[[Keyword Aggr]:[Keyword Aggr]])*($D145=CLASSIFICATION[[Functional Scope Aggr]:[Functional Scope Aggr]])),
_xlpm._platform_keywords, _xlfn.TEXTSPLIT(SUBSTITUTE(SUBSTITUTE(VLOOKUP($D145,_xlpm._platform_range,3,FALSE),"+"&amp;CHAR(34),"+"),CHAR(34),""),", "),
_xlpm._exists, SUMPRODUCT(--ISNUMBER(MATCH(_xlpm._platform_keywords,_xlpm._original_keywords,0)))&gt;0,
_xlfn.IFS(_xlpm._exists,1,NOT(_xlpm._exists),"")
)</f>
        <v/>
      </c>
      <c r="R145" s="33" t="str" cm="1">
        <f t="array" aca="1" ref="R14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($E145=CLASSIFICATION[[Keyword Aggr]:[Keyword Aggr]])*($D145=CLASSIFICATION[[Functional Scope Aggr]:[Functional Scope Aggr]])),
_xlpm._platform_keywords, _xlfn.TEXTSPLIT(SUBSTITUTE(SUBSTITUTE(VLOOKUP($D145,_xlpm._platform_range,3,FALSE),"+"&amp;CHAR(34),"+"),CHAR(34),""),", "),
_xlpm._exists, SUMPRODUCT(--ISNUMBER(MATCH(_xlpm._platform_keywords,_xlpm._original_keywords,0)))&gt;0,
_xlfn.IFS(_xlpm._exists,1,NOT(_xlpm._exists),"")
)</f>
        <v/>
      </c>
      <c r="S145" s="33" t="str" cm="1">
        <f t="array" aca="1" ref="S14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($E145=CLASSIFICATION[[Keyword Aggr]:[Keyword Aggr]])*($D145=CLASSIFICATION[[Functional Scope Aggr]:[Functional Scope Aggr]])),
_xlpm._platform_keywords, _xlfn.TEXTSPLIT(SUBSTITUTE(SUBSTITUTE(VLOOKUP($D145,_xlpm._platform_range,3,FALSE),"+"&amp;CHAR(34),"+"),CHAR(34),""),", "),
_xlpm._exists, SUMPRODUCT(--ISNUMBER(MATCH(_xlpm._platform_keywords,_xlpm._original_keywords,0)))&gt;0,
_xlfn.IFS(_xlpm._exists,1,NOT(_xlpm._exists),"")
)</f>
        <v/>
      </c>
      <c r="T145" s="33" t="str" cm="1">
        <f t="array" aca="1" ref="T14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($E145=CLASSIFICATION[[Keyword Aggr]:[Keyword Aggr]])*($D145=CLASSIFICATION[[Functional Scope Aggr]:[Functional Scope Aggr]])),
_xlpm._platform_keywords, _xlfn.TEXTSPLIT(SUBSTITUTE(SUBSTITUTE(VLOOKUP($D145,_xlpm._platform_range,3,FALSE),"+"&amp;CHAR(34),"+"),CHAR(34),""),", "),
_xlpm._exists, SUMPRODUCT(--ISNUMBER(MATCH(_xlpm._platform_keywords,_xlpm._original_keywords,0)))&gt;0,
_xlfn.IFS(_xlpm._exists,1,NOT(_xlpm._exists),"")
)</f>
        <v/>
      </c>
      <c r="U145" s="33" cm="1">
        <f t="array" aca="1" ref="U14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($E145=CLASSIFICATION[[Keyword Aggr]:[Keyword Aggr]])*($D145=CLASSIFICATION[[Functional Scope Aggr]:[Functional Scope Aggr]])),
_xlpm._platform_keywords, _xlfn.TEXTSPLIT(SUBSTITUTE(SUBSTITUTE(VLOOKUP($D145,_xlpm._platform_range,3,FALSE),"+"&amp;CHAR(34),"+"),CHAR(34),""),", "),
_xlpm._exists, SUMPRODUCT(--ISNUMBER(MATCH(_xlpm._platform_keywords,_xlpm._original_keywords,0)))&gt;0,
_xlfn.IFS(_xlpm._exists,1,NOT(_xlpm._exists),"")
)</f>
        <v>1</v>
      </c>
      <c r="V145" s="33" cm="1">
        <f t="array" aca="1" ref="V14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($E145=CLASSIFICATION[[Keyword Aggr]:[Keyword Aggr]])*($D145=CLASSIFICATION[[Functional Scope Aggr]:[Functional Scope Aggr]])),
_xlpm._platform_keywords, _xlfn.TEXTSPLIT(SUBSTITUTE(SUBSTITUTE(VLOOKUP($D145,_xlpm._platform_range,3,FALSE),"+"&amp;CHAR(34),"+"),CHAR(34),""),", "),
_xlpm._exists, SUMPRODUCT(--ISNUMBER(MATCH(_xlpm._platform_keywords,_xlpm._original_keywords,0)))&gt;0,
_xlfn.IFS(_xlpm._exists,1,NOT(_xlpm._exists),"")
)</f>
        <v>1</v>
      </c>
      <c r="X145" s="33" t="str">
        <f t="shared" si="23"/>
        <v/>
      </c>
      <c r="Y145" s="33" t="str">
        <f t="shared" si="24"/>
        <v/>
      </c>
      <c r="Z145" s="33" t="str">
        <f t="shared" si="25"/>
        <v/>
      </c>
      <c r="AA145" s="33" t="str">
        <f t="shared" si="26"/>
        <v/>
      </c>
      <c r="AB145" s="33" t="str">
        <f t="shared" si="27"/>
        <v/>
      </c>
      <c r="AC145" s="33" t="str">
        <f t="shared" si="28"/>
        <v/>
      </c>
    </row>
    <row r="146" spans="1:29" x14ac:dyDescent="0.25">
      <c r="A146" s="19" t="str">
        <v>Development,Programming,JSON</v>
      </c>
      <c r="B146" t="s">
        <v>377</v>
      </c>
      <c r="C146" s="19" t="str" cm="1">
        <f t="array" ref="C146:E146">_xlfn.TEXTSPLIT(A146,",")</f>
        <v>Development</v>
      </c>
      <c r="D146" s="19" t="str">
        <v>Programming</v>
      </c>
      <c r="E146" s="19" t="str">
        <v>JSON</v>
      </c>
      <c r="F146" s="36" t="str" cm="1">
        <f t="array" ref="F146">_xlfn.TEXTJOIN(",",TRUE,_xlfn._xlws.FILTER(CLASSIFICATION[Keyword], ($E146=CLASSIFICATION[Keyword Aggr])*($D146=CLASSIFICATION[Functional Scope Aggr])))</f>
        <v>JSON</v>
      </c>
      <c r="G146" s="32" t="str">
        <f t="shared" si="20"/>
        <v/>
      </c>
      <c r="H146" s="32" t="str">
        <f t="shared" si="21"/>
        <v/>
      </c>
      <c r="I146" s="32" t="str">
        <f t="shared" si="22"/>
        <v>JSON</v>
      </c>
      <c r="J146" s="33" t="str" cm="1">
        <f t="array" aca="1" ref="J14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($E146=CLASSIFICATION[[Keyword Aggr]:[Keyword Aggr]])*($D146=CLASSIFICATION[[Functional Scope Aggr]:[Functional Scope Aggr]])),
_xlpm._platform_keywords, _xlfn.TEXTSPLIT(SUBSTITUTE(SUBSTITUTE(VLOOKUP($D146,_xlpm._platform_range,3,FALSE),"+"&amp;CHAR(34),"+"),CHAR(34),""),", "),
_xlpm._exists, SUMPRODUCT(--ISNUMBER(MATCH(_xlpm._platform_keywords,_xlpm._original_keywords,0)))&gt;0,
_xlfn.IFS(AND(_xlpm._exists,LEFT($E146,1)="+"),"+",_xlpm._exists,"*",NOT(_xlpm._exists),"")
)</f>
        <v/>
      </c>
      <c r="K146" s="33" t="str" cm="1">
        <f t="array" aca="1" ref="K14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($E146=CLASSIFICATION[[Keyword Aggr]:[Keyword Aggr]])*($D146=CLASSIFICATION[[Functional Scope Aggr]:[Functional Scope Aggr]])),
_xlpm._platform_keywords, _xlfn.TEXTSPLIT(SUBSTITUTE(SUBSTITUTE(VLOOKUP($D146,_xlpm._platform_range,3,FALSE),"+"&amp;CHAR(34),"+"),CHAR(34),""),", "),
_xlpm._exists, SUMPRODUCT(--ISNUMBER(MATCH(_xlpm._platform_keywords,_xlpm._original_keywords,0)))&gt;0,
_xlfn.IFS(AND(_xlpm._exists,LEFT($E146,1)="+"),"+",_xlpm._exists,"*",NOT(_xlpm._exists),"")
)</f>
        <v/>
      </c>
      <c r="L146" s="33" t="str" cm="1">
        <f t="array" aca="1" ref="L14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($E146=CLASSIFICATION[[Keyword Aggr]:[Keyword Aggr]])*($D146=CLASSIFICATION[[Functional Scope Aggr]:[Functional Scope Aggr]])),
_xlpm._platform_keywords, _xlfn.TEXTSPLIT(SUBSTITUTE(SUBSTITUTE(VLOOKUP($D146,_xlpm._platform_range,3,FALSE),"+"&amp;CHAR(34),"+"),CHAR(34),""),", "),
_xlpm._exists, SUMPRODUCT(--ISNUMBER(MATCH(_xlpm._platform_keywords,_xlpm._original_keywords,0)))&gt;0,
_xlfn.IFS(AND(_xlpm._exists,LEFT($E146,1)="+"),"+",_xlpm._exists,"*",NOT(_xlpm._exists),"")
)</f>
        <v/>
      </c>
      <c r="M146" s="33" t="str" cm="1">
        <f t="array" aca="1" ref="M14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($E146=CLASSIFICATION[[Keyword Aggr]:[Keyword Aggr]])*($D146=CLASSIFICATION[[Functional Scope Aggr]:[Functional Scope Aggr]])),
_xlpm._platform_keywords, _xlfn.TEXTSPLIT(SUBSTITUTE(SUBSTITUTE(VLOOKUP($D146,_xlpm._platform_range,3,FALSE),"+"&amp;CHAR(34),"+"),CHAR(34),""),", "),
_xlpm._exists, SUMPRODUCT(--ISNUMBER(MATCH(_xlpm._platform_keywords,_xlpm._original_keywords,0)))&gt;0,
_xlfn.IFS(AND(_xlpm._exists,LEFT($E146,1)="+"),"+",_xlpm._exists,"*",NOT(_xlpm._exists),"")
)</f>
        <v/>
      </c>
      <c r="N146" s="33" t="str" cm="1">
        <f t="array" aca="1" ref="N14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($E146=CLASSIFICATION[[Keyword Aggr]:[Keyword Aggr]])*($D146=CLASSIFICATION[[Functional Scope Aggr]:[Functional Scope Aggr]])),
_xlpm._platform_keywords, _xlfn.TEXTSPLIT(SUBSTITUTE(SUBSTITUTE(VLOOKUP($D146,_xlpm._platform_range,3,FALSE),"+"&amp;CHAR(34),"+"),CHAR(34),""),", "),
_xlpm._exists, SUMPRODUCT(--ISNUMBER(MATCH(_xlpm._platform_keywords,_xlpm._original_keywords,0)))&gt;0,
_xlfn.IFS(AND(_xlpm._exists,LEFT($E146,1)="+"),"+",_xlpm._exists,"*",NOT(_xlpm._exists),"")
)</f>
        <v>*</v>
      </c>
      <c r="O146" s="33" t="str" cm="1">
        <f t="array" aca="1" ref="O14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($E146=CLASSIFICATION[[Keyword Aggr]:[Keyword Aggr]])*($D146=CLASSIFICATION[[Functional Scope Aggr]:[Functional Scope Aggr]])),
_xlpm._platform_keywords, _xlfn.TEXTSPLIT(SUBSTITUTE(SUBSTITUTE(VLOOKUP($D146,_xlpm._platform_range,3,FALSE),"+"&amp;CHAR(34),"+"),CHAR(34),""),", "),
_xlpm._exists, SUMPRODUCT(--ISNUMBER(MATCH(_xlpm._platform_keywords,_xlpm._original_keywords,0)))&gt;0,
_xlfn.IFS(AND(_xlpm._exists,LEFT($E146,1)="+"),"+",_xlpm._exists,"*",NOT(_xlpm._exists),"")
)</f>
        <v/>
      </c>
      <c r="Q146" s="33" t="str" cm="1">
        <f t="array" aca="1" ref="Q14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($E146=CLASSIFICATION[[Keyword Aggr]:[Keyword Aggr]])*($D146=CLASSIFICATION[[Functional Scope Aggr]:[Functional Scope Aggr]])),
_xlpm._platform_keywords, _xlfn.TEXTSPLIT(SUBSTITUTE(SUBSTITUTE(VLOOKUP($D146,_xlpm._platform_range,3,FALSE),"+"&amp;CHAR(34),"+"),CHAR(34),""),", "),
_xlpm._exists, SUMPRODUCT(--ISNUMBER(MATCH(_xlpm._platform_keywords,_xlpm._original_keywords,0)))&gt;0,
_xlfn.IFS(_xlpm._exists,1,NOT(_xlpm._exists),"")
)</f>
        <v/>
      </c>
      <c r="R146" s="33" t="str" cm="1">
        <f t="array" aca="1" ref="R14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($E146=CLASSIFICATION[[Keyword Aggr]:[Keyword Aggr]])*($D146=CLASSIFICATION[[Functional Scope Aggr]:[Functional Scope Aggr]])),
_xlpm._platform_keywords, _xlfn.TEXTSPLIT(SUBSTITUTE(SUBSTITUTE(VLOOKUP($D146,_xlpm._platform_range,3,FALSE),"+"&amp;CHAR(34),"+"),CHAR(34),""),", "),
_xlpm._exists, SUMPRODUCT(--ISNUMBER(MATCH(_xlpm._platform_keywords,_xlpm._original_keywords,0)))&gt;0,
_xlfn.IFS(_xlpm._exists,1,NOT(_xlpm._exists),"")
)</f>
        <v/>
      </c>
      <c r="S146" s="33" t="str" cm="1">
        <f t="array" aca="1" ref="S14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($E146=CLASSIFICATION[[Keyword Aggr]:[Keyword Aggr]])*($D146=CLASSIFICATION[[Functional Scope Aggr]:[Functional Scope Aggr]])),
_xlpm._platform_keywords, _xlfn.TEXTSPLIT(SUBSTITUTE(SUBSTITUTE(VLOOKUP($D146,_xlpm._platform_range,3,FALSE),"+"&amp;CHAR(34),"+"),CHAR(34),""),", "),
_xlpm._exists, SUMPRODUCT(--ISNUMBER(MATCH(_xlpm._platform_keywords,_xlpm._original_keywords,0)))&gt;0,
_xlfn.IFS(_xlpm._exists,1,NOT(_xlpm._exists),"")
)</f>
        <v/>
      </c>
      <c r="T146" s="33" t="str" cm="1">
        <f t="array" aca="1" ref="T14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($E146=CLASSIFICATION[[Keyword Aggr]:[Keyword Aggr]])*($D146=CLASSIFICATION[[Functional Scope Aggr]:[Functional Scope Aggr]])),
_xlpm._platform_keywords, _xlfn.TEXTSPLIT(SUBSTITUTE(SUBSTITUTE(VLOOKUP($D146,_xlpm._platform_range,3,FALSE),"+"&amp;CHAR(34),"+"),CHAR(34),""),", "),
_xlpm._exists, SUMPRODUCT(--ISNUMBER(MATCH(_xlpm._platform_keywords,_xlpm._original_keywords,0)))&gt;0,
_xlfn.IFS(_xlpm._exists,1,NOT(_xlpm._exists),"")
)</f>
        <v/>
      </c>
      <c r="U146" s="33" cm="1">
        <f t="array" aca="1" ref="U14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($E146=CLASSIFICATION[[Keyword Aggr]:[Keyword Aggr]])*($D146=CLASSIFICATION[[Functional Scope Aggr]:[Functional Scope Aggr]])),
_xlpm._platform_keywords, _xlfn.TEXTSPLIT(SUBSTITUTE(SUBSTITUTE(VLOOKUP($D146,_xlpm._platform_range,3,FALSE),"+"&amp;CHAR(34),"+"),CHAR(34),""),", "),
_xlpm._exists, SUMPRODUCT(--ISNUMBER(MATCH(_xlpm._platform_keywords,_xlpm._original_keywords,0)))&gt;0,
_xlfn.IFS(_xlpm._exists,1,NOT(_xlpm._exists),"")
)</f>
        <v>1</v>
      </c>
      <c r="V146" s="33" t="str" cm="1">
        <f t="array" aca="1" ref="V14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($E146=CLASSIFICATION[[Keyword Aggr]:[Keyword Aggr]])*($D146=CLASSIFICATION[[Functional Scope Aggr]:[Functional Scope Aggr]])),
_xlpm._platform_keywords, _xlfn.TEXTSPLIT(SUBSTITUTE(SUBSTITUTE(VLOOKUP($D146,_xlpm._platform_range,3,FALSE),"+"&amp;CHAR(34),"+"),CHAR(34),""),", "),
_xlpm._exists, SUMPRODUCT(--ISNUMBER(MATCH(_xlpm._platform_keywords,_xlpm._original_keywords,0)))&gt;0,
_xlfn.IFS(_xlpm._exists,1,NOT(_xlpm._exists),"")
)</f>
        <v/>
      </c>
      <c r="X146" s="33" t="str">
        <f t="shared" si="23"/>
        <v/>
      </c>
      <c r="Y146" s="33" t="str">
        <f t="shared" si="24"/>
        <v/>
      </c>
      <c r="Z146" s="33" t="str">
        <f t="shared" si="25"/>
        <v/>
      </c>
      <c r="AA146" s="33" t="str">
        <f t="shared" si="26"/>
        <v/>
      </c>
      <c r="AB146" s="33" t="str">
        <f t="shared" si="27"/>
        <v/>
      </c>
      <c r="AC146" s="33" t="str">
        <f t="shared" si="28"/>
        <v/>
      </c>
    </row>
    <row r="147" spans="1:29" x14ac:dyDescent="0.25">
      <c r="A147" s="19" t="str">
        <v>Development,Programming,Markup Language</v>
      </c>
      <c r="B147" t="s">
        <v>377</v>
      </c>
      <c r="C147" s="19" t="str" cm="1">
        <f t="array" ref="C147:E147">_xlfn.TEXTSPLIT(A147,",")</f>
        <v>Development</v>
      </c>
      <c r="D147" s="19" t="str">
        <v>Programming</v>
      </c>
      <c r="E147" s="19" t="str">
        <v>Markup Language</v>
      </c>
      <c r="F147" s="36" t="str" cm="1">
        <f t="array" ref="F147">_xlfn.TEXTJOIN(",",TRUE,_xlfn._xlws.FILTER(CLASSIFICATION[Keyword], ($E147=CLASSIFICATION[Keyword Aggr])*($D147=CLASSIFICATION[Functional Scope Aggr])))</f>
        <v>Markup Language</v>
      </c>
      <c r="G147" s="32" t="str">
        <f t="shared" si="20"/>
        <v/>
      </c>
      <c r="H147" s="32" t="str">
        <f t="shared" si="21"/>
        <v/>
      </c>
      <c r="I147" s="32" t="str">
        <f t="shared" si="22"/>
        <v>Markup Language</v>
      </c>
      <c r="J147" s="33" t="str" cm="1">
        <f t="array" aca="1" ref="J14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($E147=CLASSIFICATION[[Keyword Aggr]:[Keyword Aggr]])*($D147=CLASSIFICATION[[Functional Scope Aggr]:[Functional Scope Aggr]])),
_xlpm._platform_keywords, _xlfn.TEXTSPLIT(SUBSTITUTE(SUBSTITUTE(VLOOKUP($D147,_xlpm._platform_range,3,FALSE),"+"&amp;CHAR(34),"+"),CHAR(34),""),", "),
_xlpm._exists, SUMPRODUCT(--ISNUMBER(MATCH(_xlpm._platform_keywords,_xlpm._original_keywords,0)))&gt;0,
_xlfn.IFS(AND(_xlpm._exists,LEFT($E147,1)="+"),"+",_xlpm._exists,"*",NOT(_xlpm._exists),"")
)</f>
        <v/>
      </c>
      <c r="K147" s="33" t="str" cm="1">
        <f t="array" aca="1" ref="K14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($E147=CLASSIFICATION[[Keyword Aggr]:[Keyword Aggr]])*($D147=CLASSIFICATION[[Functional Scope Aggr]:[Functional Scope Aggr]])),
_xlpm._platform_keywords, _xlfn.TEXTSPLIT(SUBSTITUTE(SUBSTITUTE(VLOOKUP($D147,_xlpm._platform_range,3,FALSE),"+"&amp;CHAR(34),"+"),CHAR(34),""),", "),
_xlpm._exists, SUMPRODUCT(--ISNUMBER(MATCH(_xlpm._platform_keywords,_xlpm._original_keywords,0)))&gt;0,
_xlfn.IFS(AND(_xlpm._exists,LEFT($E147,1)="+"),"+",_xlpm._exists,"*",NOT(_xlpm._exists),"")
)</f>
        <v/>
      </c>
      <c r="L147" s="33" t="str" cm="1">
        <f t="array" aca="1" ref="L14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($E147=CLASSIFICATION[[Keyword Aggr]:[Keyword Aggr]])*($D147=CLASSIFICATION[[Functional Scope Aggr]:[Functional Scope Aggr]])),
_xlpm._platform_keywords, _xlfn.TEXTSPLIT(SUBSTITUTE(SUBSTITUTE(VLOOKUP($D147,_xlpm._platform_range,3,FALSE),"+"&amp;CHAR(34),"+"),CHAR(34),""),", "),
_xlpm._exists, SUMPRODUCT(--ISNUMBER(MATCH(_xlpm._platform_keywords,_xlpm._original_keywords,0)))&gt;0,
_xlfn.IFS(AND(_xlpm._exists,LEFT($E147,1)="+"),"+",_xlpm._exists,"*",NOT(_xlpm._exists),"")
)</f>
        <v>*</v>
      </c>
      <c r="M147" s="33" t="str" cm="1">
        <f t="array" aca="1" ref="M14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($E147=CLASSIFICATION[[Keyword Aggr]:[Keyword Aggr]])*($D147=CLASSIFICATION[[Functional Scope Aggr]:[Functional Scope Aggr]])),
_xlpm._platform_keywords, _xlfn.TEXTSPLIT(SUBSTITUTE(SUBSTITUTE(VLOOKUP($D147,_xlpm._platform_range,3,FALSE),"+"&amp;CHAR(34),"+"),CHAR(34),""),", "),
_xlpm._exists, SUMPRODUCT(--ISNUMBER(MATCH(_xlpm._platform_keywords,_xlpm._original_keywords,0)))&gt;0,
_xlfn.IFS(AND(_xlpm._exists,LEFT($E147,1)="+"),"+",_xlpm._exists,"*",NOT(_xlpm._exists),"")
)</f>
        <v/>
      </c>
      <c r="N147" s="33" t="str" cm="1">
        <f t="array" aca="1" ref="N14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($E147=CLASSIFICATION[[Keyword Aggr]:[Keyword Aggr]])*($D147=CLASSIFICATION[[Functional Scope Aggr]:[Functional Scope Aggr]])),
_xlpm._platform_keywords, _xlfn.TEXTSPLIT(SUBSTITUTE(SUBSTITUTE(VLOOKUP($D147,_xlpm._platform_range,3,FALSE),"+"&amp;CHAR(34),"+"),CHAR(34),""),", "),
_xlpm._exists, SUMPRODUCT(--ISNUMBER(MATCH(_xlpm._platform_keywords,_xlpm._original_keywords,0)))&gt;0,
_xlfn.IFS(AND(_xlpm._exists,LEFT($E147,1)="+"),"+",_xlpm._exists,"*",NOT(_xlpm._exists),"")
)</f>
        <v/>
      </c>
      <c r="O147" s="33" t="str" cm="1">
        <f t="array" aca="1" ref="O14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($E147=CLASSIFICATION[[Keyword Aggr]:[Keyword Aggr]])*($D147=CLASSIFICATION[[Functional Scope Aggr]:[Functional Scope Aggr]])),
_xlpm._platform_keywords, _xlfn.TEXTSPLIT(SUBSTITUTE(SUBSTITUTE(VLOOKUP($D147,_xlpm._platform_range,3,FALSE),"+"&amp;CHAR(34),"+"),CHAR(34),""),", "),
_xlpm._exists, SUMPRODUCT(--ISNUMBER(MATCH(_xlpm._platform_keywords,_xlpm._original_keywords,0)))&gt;0,
_xlfn.IFS(AND(_xlpm._exists,LEFT($E147,1)="+"),"+",_xlpm._exists,"*",NOT(_xlpm._exists),"")
)</f>
        <v/>
      </c>
      <c r="Q147" s="33" t="str" cm="1">
        <f t="array" aca="1" ref="Q14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($E147=CLASSIFICATION[[Keyword Aggr]:[Keyword Aggr]])*($D147=CLASSIFICATION[[Functional Scope Aggr]:[Functional Scope Aggr]])),
_xlpm._platform_keywords, _xlfn.TEXTSPLIT(SUBSTITUTE(SUBSTITUTE(VLOOKUP($D147,_xlpm._platform_range,3,FALSE),"+"&amp;CHAR(34),"+"),CHAR(34),""),", "),
_xlpm._exists, SUMPRODUCT(--ISNUMBER(MATCH(_xlpm._platform_keywords,_xlpm._original_keywords,0)))&gt;0,
_xlfn.IFS(_xlpm._exists,1,NOT(_xlpm._exists),"")
)</f>
        <v/>
      </c>
      <c r="R147" s="33" t="str" cm="1">
        <f t="array" aca="1" ref="R14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($E147=CLASSIFICATION[[Keyword Aggr]:[Keyword Aggr]])*($D147=CLASSIFICATION[[Functional Scope Aggr]:[Functional Scope Aggr]])),
_xlpm._platform_keywords, _xlfn.TEXTSPLIT(SUBSTITUTE(SUBSTITUTE(VLOOKUP($D147,_xlpm._platform_range,3,FALSE),"+"&amp;CHAR(34),"+"),CHAR(34),""),", "),
_xlpm._exists, SUMPRODUCT(--ISNUMBER(MATCH(_xlpm._platform_keywords,_xlpm._original_keywords,0)))&gt;0,
_xlfn.IFS(_xlpm._exists,1,NOT(_xlpm._exists),"")
)</f>
        <v/>
      </c>
      <c r="S147" s="33" cm="1">
        <f t="array" aca="1" ref="S14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($E147=CLASSIFICATION[[Keyword Aggr]:[Keyword Aggr]])*($D147=CLASSIFICATION[[Functional Scope Aggr]:[Functional Scope Aggr]])),
_xlpm._platform_keywords, _xlfn.TEXTSPLIT(SUBSTITUTE(SUBSTITUTE(VLOOKUP($D147,_xlpm._platform_range,3,FALSE),"+"&amp;CHAR(34),"+"),CHAR(34),""),", "),
_xlpm._exists, SUMPRODUCT(--ISNUMBER(MATCH(_xlpm._platform_keywords,_xlpm._original_keywords,0)))&gt;0,
_xlfn.IFS(_xlpm._exists,1,NOT(_xlpm._exists),"")
)</f>
        <v>1</v>
      </c>
      <c r="T147" s="33" t="str" cm="1">
        <f t="array" aca="1" ref="T14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($E147=CLASSIFICATION[[Keyword Aggr]:[Keyword Aggr]])*($D147=CLASSIFICATION[[Functional Scope Aggr]:[Functional Scope Aggr]])),
_xlpm._platform_keywords, _xlfn.TEXTSPLIT(SUBSTITUTE(SUBSTITUTE(VLOOKUP($D147,_xlpm._platform_range,3,FALSE),"+"&amp;CHAR(34),"+"),CHAR(34),""),", "),
_xlpm._exists, SUMPRODUCT(--ISNUMBER(MATCH(_xlpm._platform_keywords,_xlpm._original_keywords,0)))&gt;0,
_xlfn.IFS(_xlpm._exists,1,NOT(_xlpm._exists),"")
)</f>
        <v/>
      </c>
      <c r="U147" s="33" t="str" cm="1">
        <f t="array" aca="1" ref="U14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($E147=CLASSIFICATION[[Keyword Aggr]:[Keyword Aggr]])*($D147=CLASSIFICATION[[Functional Scope Aggr]:[Functional Scope Aggr]])),
_xlpm._platform_keywords, _xlfn.TEXTSPLIT(SUBSTITUTE(SUBSTITUTE(VLOOKUP($D147,_xlpm._platform_range,3,FALSE),"+"&amp;CHAR(34),"+"),CHAR(34),""),", "),
_xlpm._exists, SUMPRODUCT(--ISNUMBER(MATCH(_xlpm._platform_keywords,_xlpm._original_keywords,0)))&gt;0,
_xlfn.IFS(_xlpm._exists,1,NOT(_xlpm._exists),"")
)</f>
        <v/>
      </c>
      <c r="V147" s="33" t="str" cm="1">
        <f t="array" aca="1" ref="V14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($E147=CLASSIFICATION[[Keyword Aggr]:[Keyword Aggr]])*($D147=CLASSIFICATION[[Functional Scope Aggr]:[Functional Scope Aggr]])),
_xlpm._platform_keywords, _xlfn.TEXTSPLIT(SUBSTITUTE(SUBSTITUTE(VLOOKUP($D147,_xlpm._platform_range,3,FALSE),"+"&amp;CHAR(34),"+"),CHAR(34),""),", "),
_xlpm._exists, SUMPRODUCT(--ISNUMBER(MATCH(_xlpm._platform_keywords,_xlpm._original_keywords,0)))&gt;0,
_xlfn.IFS(_xlpm._exists,1,NOT(_xlpm._exists),"")
)</f>
        <v/>
      </c>
      <c r="X147" s="33" t="str">
        <f t="shared" si="23"/>
        <v/>
      </c>
      <c r="Y147" s="33" t="str">
        <f t="shared" si="24"/>
        <v/>
      </c>
      <c r="Z147" s="33" t="str">
        <f t="shared" si="25"/>
        <v/>
      </c>
      <c r="AA147" s="33" t="str">
        <f t="shared" si="26"/>
        <v/>
      </c>
      <c r="AB147" s="33" t="str">
        <f t="shared" si="27"/>
        <v/>
      </c>
      <c r="AC147" s="33" t="str">
        <f t="shared" si="28"/>
        <v/>
      </c>
    </row>
    <row r="148" spans="1:29" x14ac:dyDescent="0.25">
      <c r="A148" s="19" t="str">
        <v>Development,Programming,Metadata</v>
      </c>
      <c r="B148" t="s">
        <v>377</v>
      </c>
      <c r="C148" s="19" t="str" cm="1">
        <f t="array" ref="C148:E148">_xlfn.TEXTSPLIT(A148,",")</f>
        <v>Development</v>
      </c>
      <c r="D148" s="19" t="str">
        <v>Programming</v>
      </c>
      <c r="E148" s="19" t="str">
        <v>Metadata</v>
      </c>
      <c r="F148" s="36" t="str" cm="1">
        <f t="array" ref="F148">_xlfn.TEXTJOIN(",",TRUE,_xlfn._xlws.FILTER(CLASSIFICATION[Keyword], ($E148=CLASSIFICATION[Keyword Aggr])*($D148=CLASSIFICATION[Functional Scope Aggr])))</f>
        <v>Metadata</v>
      </c>
      <c r="G148" s="32" t="str">
        <f t="shared" si="20"/>
        <v/>
      </c>
      <c r="H148" s="32" t="str">
        <f t="shared" si="21"/>
        <v/>
      </c>
      <c r="I148" s="32" t="str">
        <f t="shared" si="22"/>
        <v>Metadata</v>
      </c>
      <c r="J148" s="33" t="str" cm="1">
        <f t="array" aca="1" ref="J14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($E148=CLASSIFICATION[[Keyword Aggr]:[Keyword Aggr]])*($D148=CLASSIFICATION[[Functional Scope Aggr]:[Functional Scope Aggr]])),
_xlpm._platform_keywords, _xlfn.TEXTSPLIT(SUBSTITUTE(SUBSTITUTE(VLOOKUP($D148,_xlpm._platform_range,3,FALSE),"+"&amp;CHAR(34),"+"),CHAR(34),""),", "),
_xlpm._exists, SUMPRODUCT(--ISNUMBER(MATCH(_xlpm._platform_keywords,_xlpm._original_keywords,0)))&gt;0,
_xlfn.IFS(AND(_xlpm._exists,LEFT($E148,1)="+"),"+",_xlpm._exists,"*",NOT(_xlpm._exists),"")
)</f>
        <v/>
      </c>
      <c r="K148" s="33" t="str" cm="1">
        <f t="array" aca="1" ref="K14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($E148=CLASSIFICATION[[Keyword Aggr]:[Keyword Aggr]])*($D148=CLASSIFICATION[[Functional Scope Aggr]:[Functional Scope Aggr]])),
_xlpm._platform_keywords, _xlfn.TEXTSPLIT(SUBSTITUTE(SUBSTITUTE(VLOOKUP($D148,_xlpm._platform_range,3,FALSE),"+"&amp;CHAR(34),"+"),CHAR(34),""),", "),
_xlpm._exists, SUMPRODUCT(--ISNUMBER(MATCH(_xlpm._platform_keywords,_xlpm._original_keywords,0)))&gt;0,
_xlfn.IFS(AND(_xlpm._exists,LEFT($E148,1)="+"),"+",_xlpm._exists,"*",NOT(_xlpm._exists),"")
)</f>
        <v/>
      </c>
      <c r="L148" s="33" t="str" cm="1">
        <f t="array" aca="1" ref="L14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($E148=CLASSIFICATION[[Keyword Aggr]:[Keyword Aggr]])*($D148=CLASSIFICATION[[Functional Scope Aggr]:[Functional Scope Aggr]])),
_xlpm._platform_keywords, _xlfn.TEXTSPLIT(SUBSTITUTE(SUBSTITUTE(VLOOKUP($D148,_xlpm._platform_range,3,FALSE),"+"&amp;CHAR(34),"+"),CHAR(34),""),", "),
_xlpm._exists, SUMPRODUCT(--ISNUMBER(MATCH(_xlpm._platform_keywords,_xlpm._original_keywords,0)))&gt;0,
_xlfn.IFS(AND(_xlpm._exists,LEFT($E148,1)="+"),"+",_xlpm._exists,"*",NOT(_xlpm._exists),"")
)</f>
        <v/>
      </c>
      <c r="M148" s="33" t="str" cm="1">
        <f t="array" aca="1" ref="M14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($E148=CLASSIFICATION[[Keyword Aggr]:[Keyword Aggr]])*($D148=CLASSIFICATION[[Functional Scope Aggr]:[Functional Scope Aggr]])),
_xlpm._platform_keywords, _xlfn.TEXTSPLIT(SUBSTITUTE(SUBSTITUTE(VLOOKUP($D148,_xlpm._platform_range,3,FALSE),"+"&amp;CHAR(34),"+"),CHAR(34),""),", "),
_xlpm._exists, SUMPRODUCT(--ISNUMBER(MATCH(_xlpm._platform_keywords,_xlpm._original_keywords,0)))&gt;0,
_xlfn.IFS(AND(_xlpm._exists,LEFT($E148,1)="+"),"+",_xlpm._exists,"*",NOT(_xlpm._exists),"")
)</f>
        <v>*</v>
      </c>
      <c r="N148" s="33" t="str" cm="1">
        <f t="array" aca="1" ref="N14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($E148=CLASSIFICATION[[Keyword Aggr]:[Keyword Aggr]])*($D148=CLASSIFICATION[[Functional Scope Aggr]:[Functional Scope Aggr]])),
_xlpm._platform_keywords, _xlfn.TEXTSPLIT(SUBSTITUTE(SUBSTITUTE(VLOOKUP($D148,_xlpm._platform_range,3,FALSE),"+"&amp;CHAR(34),"+"),CHAR(34),""),", "),
_xlpm._exists, SUMPRODUCT(--ISNUMBER(MATCH(_xlpm._platform_keywords,_xlpm._original_keywords,0)))&gt;0,
_xlfn.IFS(AND(_xlpm._exists,LEFT($E148,1)="+"),"+",_xlpm._exists,"*",NOT(_xlpm._exists),"")
)</f>
        <v/>
      </c>
      <c r="O148" s="33" t="str" cm="1">
        <f t="array" aca="1" ref="O14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($E148=CLASSIFICATION[[Keyword Aggr]:[Keyword Aggr]])*($D148=CLASSIFICATION[[Functional Scope Aggr]:[Functional Scope Aggr]])),
_xlpm._platform_keywords, _xlfn.TEXTSPLIT(SUBSTITUTE(SUBSTITUTE(VLOOKUP($D148,_xlpm._platform_range,3,FALSE),"+"&amp;CHAR(34),"+"),CHAR(34),""),", "),
_xlpm._exists, SUMPRODUCT(--ISNUMBER(MATCH(_xlpm._platform_keywords,_xlpm._original_keywords,0)))&gt;0,
_xlfn.IFS(AND(_xlpm._exists,LEFT($E148,1)="+"),"+",_xlpm._exists,"*",NOT(_xlpm._exists),"")
)</f>
        <v/>
      </c>
      <c r="Q148" s="33" t="str" cm="1">
        <f t="array" aca="1" ref="Q14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($E148=CLASSIFICATION[[Keyword Aggr]:[Keyword Aggr]])*($D148=CLASSIFICATION[[Functional Scope Aggr]:[Functional Scope Aggr]])),
_xlpm._platform_keywords, _xlfn.TEXTSPLIT(SUBSTITUTE(SUBSTITUTE(VLOOKUP($D148,_xlpm._platform_range,3,FALSE),"+"&amp;CHAR(34),"+"),CHAR(34),""),", "),
_xlpm._exists, SUMPRODUCT(--ISNUMBER(MATCH(_xlpm._platform_keywords,_xlpm._original_keywords,0)))&gt;0,
_xlfn.IFS(_xlpm._exists,1,NOT(_xlpm._exists),"")
)</f>
        <v/>
      </c>
      <c r="R148" s="33" t="str" cm="1">
        <f t="array" aca="1" ref="R14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($E148=CLASSIFICATION[[Keyword Aggr]:[Keyword Aggr]])*($D148=CLASSIFICATION[[Functional Scope Aggr]:[Functional Scope Aggr]])),
_xlpm._platform_keywords, _xlfn.TEXTSPLIT(SUBSTITUTE(SUBSTITUTE(VLOOKUP($D148,_xlpm._platform_range,3,FALSE),"+"&amp;CHAR(34),"+"),CHAR(34),""),", "),
_xlpm._exists, SUMPRODUCT(--ISNUMBER(MATCH(_xlpm._platform_keywords,_xlpm._original_keywords,0)))&gt;0,
_xlfn.IFS(_xlpm._exists,1,NOT(_xlpm._exists),"")
)</f>
        <v/>
      </c>
      <c r="S148" s="33" t="str" cm="1">
        <f t="array" aca="1" ref="S14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($E148=CLASSIFICATION[[Keyword Aggr]:[Keyword Aggr]])*($D148=CLASSIFICATION[[Functional Scope Aggr]:[Functional Scope Aggr]])),
_xlpm._platform_keywords, _xlfn.TEXTSPLIT(SUBSTITUTE(SUBSTITUTE(VLOOKUP($D148,_xlpm._platform_range,3,FALSE),"+"&amp;CHAR(34),"+"),CHAR(34),""),", "),
_xlpm._exists, SUMPRODUCT(--ISNUMBER(MATCH(_xlpm._platform_keywords,_xlpm._original_keywords,0)))&gt;0,
_xlfn.IFS(_xlpm._exists,1,NOT(_xlpm._exists),"")
)</f>
        <v/>
      </c>
      <c r="T148" s="33" cm="1">
        <f t="array" aca="1" ref="T14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($E148=CLASSIFICATION[[Keyword Aggr]:[Keyword Aggr]])*($D148=CLASSIFICATION[[Functional Scope Aggr]:[Functional Scope Aggr]])),
_xlpm._platform_keywords, _xlfn.TEXTSPLIT(SUBSTITUTE(SUBSTITUTE(VLOOKUP($D148,_xlpm._platform_range,3,FALSE),"+"&amp;CHAR(34),"+"),CHAR(34),""),", "),
_xlpm._exists, SUMPRODUCT(--ISNUMBER(MATCH(_xlpm._platform_keywords,_xlpm._original_keywords,0)))&gt;0,
_xlfn.IFS(_xlpm._exists,1,NOT(_xlpm._exists),"")
)</f>
        <v>1</v>
      </c>
      <c r="U148" s="33" t="str" cm="1">
        <f t="array" aca="1" ref="U14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($E148=CLASSIFICATION[[Keyword Aggr]:[Keyword Aggr]])*($D148=CLASSIFICATION[[Functional Scope Aggr]:[Functional Scope Aggr]])),
_xlpm._platform_keywords, _xlfn.TEXTSPLIT(SUBSTITUTE(SUBSTITUTE(VLOOKUP($D148,_xlpm._platform_range,3,FALSE),"+"&amp;CHAR(34),"+"),CHAR(34),""),", "),
_xlpm._exists, SUMPRODUCT(--ISNUMBER(MATCH(_xlpm._platform_keywords,_xlpm._original_keywords,0)))&gt;0,
_xlfn.IFS(_xlpm._exists,1,NOT(_xlpm._exists),"")
)</f>
        <v/>
      </c>
      <c r="V148" s="33" t="str" cm="1">
        <f t="array" aca="1" ref="V14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($E148=CLASSIFICATION[[Keyword Aggr]:[Keyword Aggr]])*($D148=CLASSIFICATION[[Functional Scope Aggr]:[Functional Scope Aggr]])),
_xlpm._platform_keywords, _xlfn.TEXTSPLIT(SUBSTITUTE(SUBSTITUTE(VLOOKUP($D148,_xlpm._platform_range,3,FALSE),"+"&amp;CHAR(34),"+"),CHAR(34),""),", "),
_xlpm._exists, SUMPRODUCT(--ISNUMBER(MATCH(_xlpm._platform_keywords,_xlpm._original_keywords,0)))&gt;0,
_xlfn.IFS(_xlpm._exists,1,NOT(_xlpm._exists),"")
)</f>
        <v/>
      </c>
      <c r="X148" s="33" t="str">
        <f t="shared" si="23"/>
        <v/>
      </c>
      <c r="Y148" s="33" t="str">
        <f t="shared" si="24"/>
        <v/>
      </c>
      <c r="Z148" s="33" t="str">
        <f t="shared" si="25"/>
        <v/>
      </c>
      <c r="AA148" s="33" t="str">
        <f t="shared" si="26"/>
        <v/>
      </c>
      <c r="AB148" s="33" t="str">
        <f t="shared" si="27"/>
        <v/>
      </c>
      <c r="AC148" s="33" t="str">
        <f t="shared" si="28"/>
        <v/>
      </c>
    </row>
    <row r="149" spans="1:29" x14ac:dyDescent="0.25">
      <c r="A149" s="19" t="str">
        <v>Development,Programming,Native Mobile App</v>
      </c>
      <c r="B149" t="s">
        <v>377</v>
      </c>
      <c r="C149" s="19" t="str" cm="1">
        <f t="array" ref="C149:E149">_xlfn.TEXTSPLIT(A149,",")</f>
        <v>Development</v>
      </c>
      <c r="D149" s="19" t="str">
        <v>Programming</v>
      </c>
      <c r="E149" s="19" t="str">
        <v>Native Mobile App</v>
      </c>
      <c r="F149" s="36" t="str" cm="1">
        <f t="array" ref="F149">_xlfn.TEXTJOIN(",",TRUE,_xlfn._xlws.FILTER(CLASSIFICATION[Keyword], ($E149=CLASSIFICATION[Keyword Aggr])*($D149=CLASSIFICATION[Functional Scope Aggr])))</f>
        <v>Native Mobile App</v>
      </c>
      <c r="G149" s="32" t="str">
        <f t="shared" si="20"/>
        <v/>
      </c>
      <c r="H149" s="32" t="str">
        <f t="shared" si="21"/>
        <v/>
      </c>
      <c r="I149" s="32" t="str">
        <f t="shared" si="22"/>
        <v>Native Mobile App</v>
      </c>
      <c r="J149" s="33" t="str" cm="1">
        <f t="array" aca="1" ref="J14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($E149=CLASSIFICATION[[Keyword Aggr]:[Keyword Aggr]])*($D149=CLASSIFICATION[[Functional Scope Aggr]:[Functional Scope Aggr]])),
_xlpm._platform_keywords, _xlfn.TEXTSPLIT(SUBSTITUTE(SUBSTITUTE(VLOOKUP($D149,_xlpm._platform_range,3,FALSE),"+"&amp;CHAR(34),"+"),CHAR(34),""),", "),
_xlpm._exists, SUMPRODUCT(--ISNUMBER(MATCH(_xlpm._platform_keywords,_xlpm._original_keywords,0)))&gt;0,
_xlfn.IFS(AND(_xlpm._exists,LEFT($E149,1)="+"),"+",_xlpm._exists,"*",NOT(_xlpm._exists),"")
)</f>
        <v>*</v>
      </c>
      <c r="K149" s="33" t="str" cm="1">
        <f t="array" aca="1" ref="K14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($E149=CLASSIFICATION[[Keyword Aggr]:[Keyword Aggr]])*($D149=CLASSIFICATION[[Functional Scope Aggr]:[Functional Scope Aggr]])),
_xlpm._platform_keywords, _xlfn.TEXTSPLIT(SUBSTITUTE(SUBSTITUTE(VLOOKUP($D149,_xlpm._platform_range,3,FALSE),"+"&amp;CHAR(34),"+"),CHAR(34),""),", "),
_xlpm._exists, SUMPRODUCT(--ISNUMBER(MATCH(_xlpm._platform_keywords,_xlpm._original_keywords,0)))&gt;0,
_xlfn.IFS(AND(_xlpm._exists,LEFT($E149,1)="+"),"+",_xlpm._exists,"*",NOT(_xlpm._exists),"")
)</f>
        <v/>
      </c>
      <c r="L149" s="33" t="str" cm="1">
        <f t="array" aca="1" ref="L14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($E149=CLASSIFICATION[[Keyword Aggr]:[Keyword Aggr]])*($D149=CLASSIFICATION[[Functional Scope Aggr]:[Functional Scope Aggr]])),
_xlpm._platform_keywords, _xlfn.TEXTSPLIT(SUBSTITUTE(SUBSTITUTE(VLOOKUP($D149,_xlpm._platform_range,3,FALSE),"+"&amp;CHAR(34),"+"),CHAR(34),""),", "),
_xlpm._exists, SUMPRODUCT(--ISNUMBER(MATCH(_xlpm._platform_keywords,_xlpm._original_keywords,0)))&gt;0,
_xlfn.IFS(AND(_xlpm._exists,LEFT($E149,1)="+"),"+",_xlpm._exists,"*",NOT(_xlpm._exists),"")
)</f>
        <v/>
      </c>
      <c r="M149" s="33" t="str" cm="1">
        <f t="array" aca="1" ref="M14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($E149=CLASSIFICATION[[Keyword Aggr]:[Keyword Aggr]])*($D149=CLASSIFICATION[[Functional Scope Aggr]:[Functional Scope Aggr]])),
_xlpm._platform_keywords, _xlfn.TEXTSPLIT(SUBSTITUTE(SUBSTITUTE(VLOOKUP($D149,_xlpm._platform_range,3,FALSE),"+"&amp;CHAR(34),"+"),CHAR(34),""),", "),
_xlpm._exists, SUMPRODUCT(--ISNUMBER(MATCH(_xlpm._platform_keywords,_xlpm._original_keywords,0)))&gt;0,
_xlfn.IFS(AND(_xlpm._exists,LEFT($E149,1)="+"),"+",_xlpm._exists,"*",NOT(_xlpm._exists),"")
)</f>
        <v/>
      </c>
      <c r="N149" s="33" t="str" cm="1">
        <f t="array" aca="1" ref="N14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($E149=CLASSIFICATION[[Keyword Aggr]:[Keyword Aggr]])*($D149=CLASSIFICATION[[Functional Scope Aggr]:[Functional Scope Aggr]])),
_xlpm._platform_keywords, _xlfn.TEXTSPLIT(SUBSTITUTE(SUBSTITUTE(VLOOKUP($D149,_xlpm._platform_range,3,FALSE),"+"&amp;CHAR(34),"+"),CHAR(34),""),", "),
_xlpm._exists, SUMPRODUCT(--ISNUMBER(MATCH(_xlpm._platform_keywords,_xlpm._original_keywords,0)))&gt;0,
_xlfn.IFS(AND(_xlpm._exists,LEFT($E149,1)="+"),"+",_xlpm._exists,"*",NOT(_xlpm._exists),"")
)</f>
        <v/>
      </c>
      <c r="O149" s="33" t="str" cm="1">
        <f t="array" aca="1" ref="O14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($E149=CLASSIFICATION[[Keyword Aggr]:[Keyword Aggr]])*($D149=CLASSIFICATION[[Functional Scope Aggr]:[Functional Scope Aggr]])),
_xlpm._platform_keywords, _xlfn.TEXTSPLIT(SUBSTITUTE(SUBSTITUTE(VLOOKUP($D149,_xlpm._platform_range,3,FALSE),"+"&amp;CHAR(34),"+"),CHAR(34),""),", "),
_xlpm._exists, SUMPRODUCT(--ISNUMBER(MATCH(_xlpm._platform_keywords,_xlpm._original_keywords,0)))&gt;0,
_xlfn.IFS(AND(_xlpm._exists,LEFT($E149,1)="+"),"+",_xlpm._exists,"*",NOT(_xlpm._exists),"")
)</f>
        <v/>
      </c>
      <c r="Q149" s="33" cm="1">
        <f t="array" aca="1" ref="Q14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($E149=CLASSIFICATION[[Keyword Aggr]:[Keyword Aggr]])*($D149=CLASSIFICATION[[Functional Scope Aggr]:[Functional Scope Aggr]])),
_xlpm._platform_keywords, _xlfn.TEXTSPLIT(SUBSTITUTE(SUBSTITUTE(VLOOKUP($D149,_xlpm._platform_range,3,FALSE),"+"&amp;CHAR(34),"+"),CHAR(34),""),", "),
_xlpm._exists, SUMPRODUCT(--ISNUMBER(MATCH(_xlpm._platform_keywords,_xlpm._original_keywords,0)))&gt;0,
_xlfn.IFS(_xlpm._exists,1,NOT(_xlpm._exists),"")
)</f>
        <v>1</v>
      </c>
      <c r="R149" s="33" t="str" cm="1">
        <f t="array" aca="1" ref="R14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($E149=CLASSIFICATION[[Keyword Aggr]:[Keyword Aggr]])*($D149=CLASSIFICATION[[Functional Scope Aggr]:[Functional Scope Aggr]])),
_xlpm._platform_keywords, _xlfn.TEXTSPLIT(SUBSTITUTE(SUBSTITUTE(VLOOKUP($D149,_xlpm._platform_range,3,FALSE),"+"&amp;CHAR(34),"+"),CHAR(34),""),", "),
_xlpm._exists, SUMPRODUCT(--ISNUMBER(MATCH(_xlpm._platform_keywords,_xlpm._original_keywords,0)))&gt;0,
_xlfn.IFS(_xlpm._exists,1,NOT(_xlpm._exists),"")
)</f>
        <v/>
      </c>
      <c r="S149" s="33" t="str" cm="1">
        <f t="array" aca="1" ref="S14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($E149=CLASSIFICATION[[Keyword Aggr]:[Keyword Aggr]])*($D149=CLASSIFICATION[[Functional Scope Aggr]:[Functional Scope Aggr]])),
_xlpm._platform_keywords, _xlfn.TEXTSPLIT(SUBSTITUTE(SUBSTITUTE(VLOOKUP($D149,_xlpm._platform_range,3,FALSE),"+"&amp;CHAR(34),"+"),CHAR(34),""),", "),
_xlpm._exists, SUMPRODUCT(--ISNUMBER(MATCH(_xlpm._platform_keywords,_xlpm._original_keywords,0)))&gt;0,
_xlfn.IFS(_xlpm._exists,1,NOT(_xlpm._exists),"")
)</f>
        <v/>
      </c>
      <c r="T149" s="33" t="str" cm="1">
        <f t="array" aca="1" ref="T14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($E149=CLASSIFICATION[[Keyword Aggr]:[Keyword Aggr]])*($D149=CLASSIFICATION[[Functional Scope Aggr]:[Functional Scope Aggr]])),
_xlpm._platform_keywords, _xlfn.TEXTSPLIT(SUBSTITUTE(SUBSTITUTE(VLOOKUP($D149,_xlpm._platform_range,3,FALSE),"+"&amp;CHAR(34),"+"),CHAR(34),""),", "),
_xlpm._exists, SUMPRODUCT(--ISNUMBER(MATCH(_xlpm._platform_keywords,_xlpm._original_keywords,0)))&gt;0,
_xlfn.IFS(_xlpm._exists,1,NOT(_xlpm._exists),"")
)</f>
        <v/>
      </c>
      <c r="U149" s="33" t="str" cm="1">
        <f t="array" aca="1" ref="U14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($E149=CLASSIFICATION[[Keyword Aggr]:[Keyword Aggr]])*($D149=CLASSIFICATION[[Functional Scope Aggr]:[Functional Scope Aggr]])),
_xlpm._platform_keywords, _xlfn.TEXTSPLIT(SUBSTITUTE(SUBSTITUTE(VLOOKUP($D149,_xlpm._platform_range,3,FALSE),"+"&amp;CHAR(34),"+"),CHAR(34),""),", "),
_xlpm._exists, SUMPRODUCT(--ISNUMBER(MATCH(_xlpm._platform_keywords,_xlpm._original_keywords,0)))&gt;0,
_xlfn.IFS(_xlpm._exists,1,NOT(_xlpm._exists),"")
)</f>
        <v/>
      </c>
      <c r="V149" s="33" t="str" cm="1">
        <f t="array" aca="1" ref="V14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($E149=CLASSIFICATION[[Keyword Aggr]:[Keyword Aggr]])*($D149=CLASSIFICATION[[Functional Scope Aggr]:[Functional Scope Aggr]])),
_xlpm._platform_keywords, _xlfn.TEXTSPLIT(SUBSTITUTE(SUBSTITUTE(VLOOKUP($D149,_xlpm._platform_range,3,FALSE),"+"&amp;CHAR(34),"+"),CHAR(34),""),", "),
_xlpm._exists, SUMPRODUCT(--ISNUMBER(MATCH(_xlpm._platform_keywords,_xlpm._original_keywords,0)))&gt;0,
_xlfn.IFS(_xlpm._exists,1,NOT(_xlpm._exists),"")
)</f>
        <v/>
      </c>
      <c r="X149" s="33" t="str">
        <f t="shared" si="23"/>
        <v/>
      </c>
      <c r="Y149" s="33" t="str">
        <f t="shared" si="24"/>
        <v/>
      </c>
      <c r="Z149" s="33" t="str">
        <f t="shared" si="25"/>
        <v/>
      </c>
      <c r="AA149" s="33" t="str">
        <f t="shared" si="26"/>
        <v/>
      </c>
      <c r="AB149" s="33" t="str">
        <f t="shared" si="27"/>
        <v/>
      </c>
      <c r="AC149" s="33" t="str">
        <f t="shared" si="28"/>
        <v/>
      </c>
    </row>
    <row r="150" spans="1:29" x14ac:dyDescent="0.25">
      <c r="A150" s="19" t="str">
        <v>Development,Programming,node.js</v>
      </c>
      <c r="B150" t="s">
        <v>377</v>
      </c>
      <c r="C150" s="19" t="str" cm="1">
        <f t="array" ref="C150:E150">_xlfn.TEXTSPLIT(A150,",")</f>
        <v>Development</v>
      </c>
      <c r="D150" s="19" t="str">
        <v>Programming</v>
      </c>
      <c r="E150" s="19" t="str">
        <v>node.js</v>
      </c>
      <c r="F150" s="36" t="str" cm="1">
        <f t="array" ref="F150">_xlfn.TEXTJOIN(",",TRUE,_xlfn._xlws.FILTER(CLASSIFICATION[Keyword], ($E150=CLASSIFICATION[Keyword Aggr])*($D150=CLASSIFICATION[Functional Scope Aggr])))</f>
        <v>node.js</v>
      </c>
      <c r="G150" s="32" t="str">
        <f t="shared" si="20"/>
        <v/>
      </c>
      <c r="H150" s="32" t="str">
        <f t="shared" si="21"/>
        <v/>
      </c>
      <c r="I150" s="32" t="str">
        <f t="shared" si="22"/>
        <v>node.js</v>
      </c>
      <c r="J150" s="33" t="str" cm="1">
        <f t="array" aca="1" ref="J15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($E150=CLASSIFICATION[[Keyword Aggr]:[Keyword Aggr]])*($D150=CLASSIFICATION[[Functional Scope Aggr]:[Functional Scope Aggr]])),
_xlpm._platform_keywords, _xlfn.TEXTSPLIT(SUBSTITUTE(SUBSTITUTE(VLOOKUP($D150,_xlpm._platform_range,3,FALSE),"+"&amp;CHAR(34),"+"),CHAR(34),""),", "),
_xlpm._exists, SUMPRODUCT(--ISNUMBER(MATCH(_xlpm._platform_keywords,_xlpm._original_keywords,0)))&gt;0,
_xlfn.IFS(AND(_xlpm._exists,LEFT($E150,1)="+"),"+",_xlpm._exists,"*",NOT(_xlpm._exists),"")
)</f>
        <v/>
      </c>
      <c r="K150" s="33" t="str" cm="1">
        <f t="array" aca="1" ref="K15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($E150=CLASSIFICATION[[Keyword Aggr]:[Keyword Aggr]])*($D150=CLASSIFICATION[[Functional Scope Aggr]:[Functional Scope Aggr]])),
_xlpm._platform_keywords, _xlfn.TEXTSPLIT(SUBSTITUTE(SUBSTITUTE(VLOOKUP($D150,_xlpm._platform_range,3,FALSE),"+"&amp;CHAR(34),"+"),CHAR(34),""),", "),
_xlpm._exists, SUMPRODUCT(--ISNUMBER(MATCH(_xlpm._platform_keywords,_xlpm._original_keywords,0)))&gt;0,
_xlfn.IFS(AND(_xlpm._exists,LEFT($E150,1)="+"),"+",_xlpm._exists,"*",NOT(_xlpm._exists),"")
)</f>
        <v/>
      </c>
      <c r="L150" s="33" t="str" cm="1">
        <f t="array" aca="1" ref="L15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($E150=CLASSIFICATION[[Keyword Aggr]:[Keyword Aggr]])*($D150=CLASSIFICATION[[Functional Scope Aggr]:[Functional Scope Aggr]])),
_xlpm._platform_keywords, _xlfn.TEXTSPLIT(SUBSTITUTE(SUBSTITUTE(VLOOKUP($D150,_xlpm._platform_range,3,FALSE),"+"&amp;CHAR(34),"+"),CHAR(34),""),", "),
_xlpm._exists, SUMPRODUCT(--ISNUMBER(MATCH(_xlpm._platform_keywords,_xlpm._original_keywords,0)))&gt;0,
_xlfn.IFS(AND(_xlpm._exists,LEFT($E150,1)="+"),"+",_xlpm._exists,"*",NOT(_xlpm._exists),"")
)</f>
        <v/>
      </c>
      <c r="M150" s="33" t="str" cm="1">
        <f t="array" aca="1" ref="M15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($E150=CLASSIFICATION[[Keyword Aggr]:[Keyword Aggr]])*($D150=CLASSIFICATION[[Functional Scope Aggr]:[Functional Scope Aggr]])),
_xlpm._platform_keywords, _xlfn.TEXTSPLIT(SUBSTITUTE(SUBSTITUTE(VLOOKUP($D150,_xlpm._platform_range,3,FALSE),"+"&amp;CHAR(34),"+"),CHAR(34),""),", "),
_xlpm._exists, SUMPRODUCT(--ISNUMBER(MATCH(_xlpm._platform_keywords,_xlpm._original_keywords,0)))&gt;0,
_xlfn.IFS(AND(_xlpm._exists,LEFT($E150,1)="+"),"+",_xlpm._exists,"*",NOT(_xlpm._exists),"")
)</f>
        <v>*</v>
      </c>
      <c r="N150" s="33" t="str" cm="1">
        <f t="array" aca="1" ref="N15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($E150=CLASSIFICATION[[Keyword Aggr]:[Keyword Aggr]])*($D150=CLASSIFICATION[[Functional Scope Aggr]:[Functional Scope Aggr]])),
_xlpm._platform_keywords, _xlfn.TEXTSPLIT(SUBSTITUTE(SUBSTITUTE(VLOOKUP($D150,_xlpm._platform_range,3,FALSE),"+"&amp;CHAR(34),"+"),CHAR(34),""),", "),
_xlpm._exists, SUMPRODUCT(--ISNUMBER(MATCH(_xlpm._platform_keywords,_xlpm._original_keywords,0)))&gt;0,
_xlfn.IFS(AND(_xlpm._exists,LEFT($E150,1)="+"),"+",_xlpm._exists,"*",NOT(_xlpm._exists),"")
)</f>
        <v/>
      </c>
      <c r="O150" s="33" t="str" cm="1">
        <f t="array" aca="1" ref="O15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($E150=CLASSIFICATION[[Keyword Aggr]:[Keyword Aggr]])*($D150=CLASSIFICATION[[Functional Scope Aggr]:[Functional Scope Aggr]])),
_xlpm._platform_keywords, _xlfn.TEXTSPLIT(SUBSTITUTE(SUBSTITUTE(VLOOKUP($D150,_xlpm._platform_range,3,FALSE),"+"&amp;CHAR(34),"+"),CHAR(34),""),", "),
_xlpm._exists, SUMPRODUCT(--ISNUMBER(MATCH(_xlpm._platform_keywords,_xlpm._original_keywords,0)))&gt;0,
_xlfn.IFS(AND(_xlpm._exists,LEFT($E150,1)="+"),"+",_xlpm._exists,"*",NOT(_xlpm._exists),"")
)</f>
        <v/>
      </c>
      <c r="Q150" s="33" t="str" cm="1">
        <f t="array" aca="1" ref="Q15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($E150=CLASSIFICATION[[Keyword Aggr]:[Keyword Aggr]])*($D150=CLASSIFICATION[[Functional Scope Aggr]:[Functional Scope Aggr]])),
_xlpm._platform_keywords, _xlfn.TEXTSPLIT(SUBSTITUTE(SUBSTITUTE(VLOOKUP($D150,_xlpm._platform_range,3,FALSE),"+"&amp;CHAR(34),"+"),CHAR(34),""),", "),
_xlpm._exists, SUMPRODUCT(--ISNUMBER(MATCH(_xlpm._platform_keywords,_xlpm._original_keywords,0)))&gt;0,
_xlfn.IFS(_xlpm._exists,1,NOT(_xlpm._exists),"")
)</f>
        <v/>
      </c>
      <c r="R150" s="33" t="str" cm="1">
        <f t="array" aca="1" ref="R15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($E150=CLASSIFICATION[[Keyword Aggr]:[Keyword Aggr]])*($D150=CLASSIFICATION[[Functional Scope Aggr]:[Functional Scope Aggr]])),
_xlpm._platform_keywords, _xlfn.TEXTSPLIT(SUBSTITUTE(SUBSTITUTE(VLOOKUP($D150,_xlpm._platform_range,3,FALSE),"+"&amp;CHAR(34),"+"),CHAR(34),""),", "),
_xlpm._exists, SUMPRODUCT(--ISNUMBER(MATCH(_xlpm._platform_keywords,_xlpm._original_keywords,0)))&gt;0,
_xlfn.IFS(_xlpm._exists,1,NOT(_xlpm._exists),"")
)</f>
        <v/>
      </c>
      <c r="S150" s="33" t="str" cm="1">
        <f t="array" aca="1" ref="S15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($E150=CLASSIFICATION[[Keyword Aggr]:[Keyword Aggr]])*($D150=CLASSIFICATION[[Functional Scope Aggr]:[Functional Scope Aggr]])),
_xlpm._platform_keywords, _xlfn.TEXTSPLIT(SUBSTITUTE(SUBSTITUTE(VLOOKUP($D150,_xlpm._platform_range,3,FALSE),"+"&amp;CHAR(34),"+"),CHAR(34),""),", "),
_xlpm._exists, SUMPRODUCT(--ISNUMBER(MATCH(_xlpm._platform_keywords,_xlpm._original_keywords,0)))&gt;0,
_xlfn.IFS(_xlpm._exists,1,NOT(_xlpm._exists),"")
)</f>
        <v/>
      </c>
      <c r="T150" s="33" cm="1">
        <f t="array" aca="1" ref="T15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($E150=CLASSIFICATION[[Keyword Aggr]:[Keyword Aggr]])*($D150=CLASSIFICATION[[Functional Scope Aggr]:[Functional Scope Aggr]])),
_xlpm._platform_keywords, _xlfn.TEXTSPLIT(SUBSTITUTE(SUBSTITUTE(VLOOKUP($D150,_xlpm._platform_range,3,FALSE),"+"&amp;CHAR(34),"+"),CHAR(34),""),", "),
_xlpm._exists, SUMPRODUCT(--ISNUMBER(MATCH(_xlpm._platform_keywords,_xlpm._original_keywords,0)))&gt;0,
_xlfn.IFS(_xlpm._exists,1,NOT(_xlpm._exists),"")
)</f>
        <v>1</v>
      </c>
      <c r="U150" s="33" t="str" cm="1">
        <f t="array" aca="1" ref="U15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($E150=CLASSIFICATION[[Keyword Aggr]:[Keyword Aggr]])*($D150=CLASSIFICATION[[Functional Scope Aggr]:[Functional Scope Aggr]])),
_xlpm._platform_keywords, _xlfn.TEXTSPLIT(SUBSTITUTE(SUBSTITUTE(VLOOKUP($D150,_xlpm._platform_range,3,FALSE),"+"&amp;CHAR(34),"+"),CHAR(34),""),", "),
_xlpm._exists, SUMPRODUCT(--ISNUMBER(MATCH(_xlpm._platform_keywords,_xlpm._original_keywords,0)))&gt;0,
_xlfn.IFS(_xlpm._exists,1,NOT(_xlpm._exists),"")
)</f>
        <v/>
      </c>
      <c r="V150" s="33" t="str" cm="1">
        <f t="array" aca="1" ref="V15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($E150=CLASSIFICATION[[Keyword Aggr]:[Keyword Aggr]])*($D150=CLASSIFICATION[[Functional Scope Aggr]:[Functional Scope Aggr]])),
_xlpm._platform_keywords, _xlfn.TEXTSPLIT(SUBSTITUTE(SUBSTITUTE(VLOOKUP($D150,_xlpm._platform_range,3,FALSE),"+"&amp;CHAR(34),"+"),CHAR(34),""),", "),
_xlpm._exists, SUMPRODUCT(--ISNUMBER(MATCH(_xlpm._platform_keywords,_xlpm._original_keywords,0)))&gt;0,
_xlfn.IFS(_xlpm._exists,1,NOT(_xlpm._exists),"")
)</f>
        <v/>
      </c>
      <c r="X150" s="33" t="str">
        <f t="shared" si="23"/>
        <v/>
      </c>
      <c r="Y150" s="33" t="str">
        <f t="shared" si="24"/>
        <v/>
      </c>
      <c r="Z150" s="33" t="str">
        <f t="shared" si="25"/>
        <v/>
      </c>
      <c r="AA150" s="33" t="str">
        <f t="shared" si="26"/>
        <v/>
      </c>
      <c r="AB150" s="33" t="str">
        <f t="shared" si="27"/>
        <v/>
      </c>
      <c r="AC150" s="33" t="str">
        <f t="shared" si="28"/>
        <v/>
      </c>
    </row>
    <row r="151" spans="1:29" x14ac:dyDescent="0.25">
      <c r="A151" s="19" t="str">
        <v>Development,Programming,PWA</v>
      </c>
      <c r="B151" t="s">
        <v>377</v>
      </c>
      <c r="C151" s="19" t="str" cm="1">
        <f t="array" ref="C151:E151">_xlfn.TEXTSPLIT(A151,",")</f>
        <v>Development</v>
      </c>
      <c r="D151" s="19" t="str">
        <v>Programming</v>
      </c>
      <c r="E151" s="19" t="str">
        <v>PWA</v>
      </c>
      <c r="F151" s="36" t="str" cm="1">
        <f t="array" ref="F151">_xlfn.TEXTJOIN(",",TRUE,_xlfn._xlws.FILTER(CLASSIFICATION[Keyword], ($E151=CLASSIFICATION[Keyword Aggr])*($D151=CLASSIFICATION[Functional Scope Aggr])))</f>
        <v>PWA</v>
      </c>
      <c r="G151" s="32" t="str">
        <f t="shared" si="20"/>
        <v/>
      </c>
      <c r="H151" s="32" t="str">
        <f t="shared" si="21"/>
        <v/>
      </c>
      <c r="I151" s="32" t="str">
        <f t="shared" si="22"/>
        <v>PWA</v>
      </c>
      <c r="J151" s="33" t="str" cm="1">
        <f t="array" aca="1" ref="J15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($E151=CLASSIFICATION[[Keyword Aggr]:[Keyword Aggr]])*($D151=CLASSIFICATION[[Functional Scope Aggr]:[Functional Scope Aggr]])),
_xlpm._platform_keywords, _xlfn.TEXTSPLIT(SUBSTITUTE(SUBSTITUTE(VLOOKUP($D151,_xlpm._platform_range,3,FALSE),"+"&amp;CHAR(34),"+"),CHAR(34),""),", "),
_xlpm._exists, SUMPRODUCT(--ISNUMBER(MATCH(_xlpm._platform_keywords,_xlpm._original_keywords,0)))&gt;0,
_xlfn.IFS(AND(_xlpm._exists,LEFT($E151,1)="+"),"+",_xlpm._exists,"*",NOT(_xlpm._exists),"")
)</f>
        <v>*</v>
      </c>
      <c r="K151" s="33" t="str" cm="1">
        <f t="array" aca="1" ref="K15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($E151=CLASSIFICATION[[Keyword Aggr]:[Keyword Aggr]])*($D151=CLASSIFICATION[[Functional Scope Aggr]:[Functional Scope Aggr]])),
_xlpm._platform_keywords, _xlfn.TEXTSPLIT(SUBSTITUTE(SUBSTITUTE(VLOOKUP($D151,_xlpm._platform_range,3,FALSE),"+"&amp;CHAR(34),"+"),CHAR(34),""),", "),
_xlpm._exists, SUMPRODUCT(--ISNUMBER(MATCH(_xlpm._platform_keywords,_xlpm._original_keywords,0)))&gt;0,
_xlfn.IFS(AND(_xlpm._exists,LEFT($E151,1)="+"),"+",_xlpm._exists,"*",NOT(_xlpm._exists),"")
)</f>
        <v/>
      </c>
      <c r="L151" s="33" t="str" cm="1">
        <f t="array" aca="1" ref="L15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($E151=CLASSIFICATION[[Keyword Aggr]:[Keyword Aggr]])*($D151=CLASSIFICATION[[Functional Scope Aggr]:[Functional Scope Aggr]])),
_xlpm._platform_keywords, _xlfn.TEXTSPLIT(SUBSTITUTE(SUBSTITUTE(VLOOKUP($D151,_xlpm._platform_range,3,FALSE),"+"&amp;CHAR(34),"+"),CHAR(34),""),", "),
_xlpm._exists, SUMPRODUCT(--ISNUMBER(MATCH(_xlpm._platform_keywords,_xlpm._original_keywords,0)))&gt;0,
_xlfn.IFS(AND(_xlpm._exists,LEFT($E151,1)="+"),"+",_xlpm._exists,"*",NOT(_xlpm._exists),"")
)</f>
        <v/>
      </c>
      <c r="M151" s="33" t="str" cm="1">
        <f t="array" aca="1" ref="M15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($E151=CLASSIFICATION[[Keyword Aggr]:[Keyword Aggr]])*($D151=CLASSIFICATION[[Functional Scope Aggr]:[Functional Scope Aggr]])),
_xlpm._platform_keywords, _xlfn.TEXTSPLIT(SUBSTITUTE(SUBSTITUTE(VLOOKUP($D151,_xlpm._platform_range,3,FALSE),"+"&amp;CHAR(34),"+"),CHAR(34),""),", "),
_xlpm._exists, SUMPRODUCT(--ISNUMBER(MATCH(_xlpm._platform_keywords,_xlpm._original_keywords,0)))&gt;0,
_xlfn.IFS(AND(_xlpm._exists,LEFT($E151,1)="+"),"+",_xlpm._exists,"*",NOT(_xlpm._exists),"")
)</f>
        <v/>
      </c>
      <c r="N151" s="33" t="str" cm="1">
        <f t="array" aca="1" ref="N15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($E151=CLASSIFICATION[[Keyword Aggr]:[Keyword Aggr]])*($D151=CLASSIFICATION[[Functional Scope Aggr]:[Functional Scope Aggr]])),
_xlpm._platform_keywords, _xlfn.TEXTSPLIT(SUBSTITUTE(SUBSTITUTE(VLOOKUP($D151,_xlpm._platform_range,3,FALSE),"+"&amp;CHAR(34),"+"),CHAR(34),""),", "),
_xlpm._exists, SUMPRODUCT(--ISNUMBER(MATCH(_xlpm._platform_keywords,_xlpm._original_keywords,0)))&gt;0,
_xlfn.IFS(AND(_xlpm._exists,LEFT($E151,1)="+"),"+",_xlpm._exists,"*",NOT(_xlpm._exists),"")
)</f>
        <v/>
      </c>
      <c r="O151" s="33" t="str" cm="1">
        <f t="array" aca="1" ref="O15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($E151=CLASSIFICATION[[Keyword Aggr]:[Keyword Aggr]])*($D151=CLASSIFICATION[[Functional Scope Aggr]:[Functional Scope Aggr]])),
_xlpm._platform_keywords, _xlfn.TEXTSPLIT(SUBSTITUTE(SUBSTITUTE(VLOOKUP($D151,_xlpm._platform_range,3,FALSE),"+"&amp;CHAR(34),"+"),CHAR(34),""),", "),
_xlpm._exists, SUMPRODUCT(--ISNUMBER(MATCH(_xlpm._platform_keywords,_xlpm._original_keywords,0)))&gt;0,
_xlfn.IFS(AND(_xlpm._exists,LEFT($E151,1)="+"),"+",_xlpm._exists,"*",NOT(_xlpm._exists),"")
)</f>
        <v/>
      </c>
      <c r="Q151" s="33" cm="1">
        <f t="array" aca="1" ref="Q15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($E151=CLASSIFICATION[[Keyword Aggr]:[Keyword Aggr]])*($D151=CLASSIFICATION[[Functional Scope Aggr]:[Functional Scope Aggr]])),
_xlpm._platform_keywords, _xlfn.TEXTSPLIT(SUBSTITUTE(SUBSTITUTE(VLOOKUP($D151,_xlpm._platform_range,3,FALSE),"+"&amp;CHAR(34),"+"),CHAR(34),""),", "),
_xlpm._exists, SUMPRODUCT(--ISNUMBER(MATCH(_xlpm._platform_keywords,_xlpm._original_keywords,0)))&gt;0,
_xlfn.IFS(_xlpm._exists,1,NOT(_xlpm._exists),"")
)</f>
        <v>1</v>
      </c>
      <c r="R151" s="33" t="str" cm="1">
        <f t="array" aca="1" ref="R15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($E151=CLASSIFICATION[[Keyword Aggr]:[Keyword Aggr]])*($D151=CLASSIFICATION[[Functional Scope Aggr]:[Functional Scope Aggr]])),
_xlpm._platform_keywords, _xlfn.TEXTSPLIT(SUBSTITUTE(SUBSTITUTE(VLOOKUP($D151,_xlpm._platform_range,3,FALSE),"+"&amp;CHAR(34),"+"),CHAR(34),""),", "),
_xlpm._exists, SUMPRODUCT(--ISNUMBER(MATCH(_xlpm._platform_keywords,_xlpm._original_keywords,0)))&gt;0,
_xlfn.IFS(_xlpm._exists,1,NOT(_xlpm._exists),"")
)</f>
        <v/>
      </c>
      <c r="S151" s="33" t="str" cm="1">
        <f t="array" aca="1" ref="S15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($E151=CLASSIFICATION[[Keyword Aggr]:[Keyword Aggr]])*($D151=CLASSIFICATION[[Functional Scope Aggr]:[Functional Scope Aggr]])),
_xlpm._platform_keywords, _xlfn.TEXTSPLIT(SUBSTITUTE(SUBSTITUTE(VLOOKUP($D151,_xlpm._platform_range,3,FALSE),"+"&amp;CHAR(34),"+"),CHAR(34),""),", "),
_xlpm._exists, SUMPRODUCT(--ISNUMBER(MATCH(_xlpm._platform_keywords,_xlpm._original_keywords,0)))&gt;0,
_xlfn.IFS(_xlpm._exists,1,NOT(_xlpm._exists),"")
)</f>
        <v/>
      </c>
      <c r="T151" s="33" t="str" cm="1">
        <f t="array" aca="1" ref="T15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($E151=CLASSIFICATION[[Keyword Aggr]:[Keyword Aggr]])*($D151=CLASSIFICATION[[Functional Scope Aggr]:[Functional Scope Aggr]])),
_xlpm._platform_keywords, _xlfn.TEXTSPLIT(SUBSTITUTE(SUBSTITUTE(VLOOKUP($D151,_xlpm._platform_range,3,FALSE),"+"&amp;CHAR(34),"+"),CHAR(34),""),", "),
_xlpm._exists, SUMPRODUCT(--ISNUMBER(MATCH(_xlpm._platform_keywords,_xlpm._original_keywords,0)))&gt;0,
_xlfn.IFS(_xlpm._exists,1,NOT(_xlpm._exists),"")
)</f>
        <v/>
      </c>
      <c r="U151" s="33" t="str" cm="1">
        <f t="array" aca="1" ref="U15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($E151=CLASSIFICATION[[Keyword Aggr]:[Keyword Aggr]])*($D151=CLASSIFICATION[[Functional Scope Aggr]:[Functional Scope Aggr]])),
_xlpm._platform_keywords, _xlfn.TEXTSPLIT(SUBSTITUTE(SUBSTITUTE(VLOOKUP($D151,_xlpm._platform_range,3,FALSE),"+"&amp;CHAR(34),"+"),CHAR(34),""),", "),
_xlpm._exists, SUMPRODUCT(--ISNUMBER(MATCH(_xlpm._platform_keywords,_xlpm._original_keywords,0)))&gt;0,
_xlfn.IFS(_xlpm._exists,1,NOT(_xlpm._exists),"")
)</f>
        <v/>
      </c>
      <c r="V151" s="33" t="str" cm="1">
        <f t="array" aca="1" ref="V15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($E151=CLASSIFICATION[[Keyword Aggr]:[Keyword Aggr]])*($D151=CLASSIFICATION[[Functional Scope Aggr]:[Functional Scope Aggr]])),
_xlpm._platform_keywords, _xlfn.TEXTSPLIT(SUBSTITUTE(SUBSTITUTE(VLOOKUP($D151,_xlpm._platform_range,3,FALSE),"+"&amp;CHAR(34),"+"),CHAR(34),""),", "),
_xlpm._exists, SUMPRODUCT(--ISNUMBER(MATCH(_xlpm._platform_keywords,_xlpm._original_keywords,0)))&gt;0,
_xlfn.IFS(_xlpm._exists,1,NOT(_xlpm._exists),"")
)</f>
        <v/>
      </c>
      <c r="X151" s="33" t="str">
        <f t="shared" si="23"/>
        <v/>
      </c>
      <c r="Y151" s="33" t="str">
        <f t="shared" si="24"/>
        <v/>
      </c>
      <c r="Z151" s="33" t="str">
        <f t="shared" si="25"/>
        <v/>
      </c>
      <c r="AA151" s="33" t="str">
        <f t="shared" si="26"/>
        <v/>
      </c>
      <c r="AB151" s="33" t="str">
        <f t="shared" si="27"/>
        <v/>
      </c>
      <c r="AC151" s="33" t="str">
        <f t="shared" si="28"/>
        <v/>
      </c>
    </row>
    <row r="152" spans="1:29" x14ac:dyDescent="0.25">
      <c r="A152" s="19" t="str">
        <v>Development,Programming,Query Functions</v>
      </c>
      <c r="B152" t="s">
        <v>377</v>
      </c>
      <c r="C152" s="19" t="str" cm="1">
        <f t="array" ref="C152:E152">_xlfn.TEXTSPLIT(A152,",")</f>
        <v>Development</v>
      </c>
      <c r="D152" s="19" t="str">
        <v>Programming</v>
      </c>
      <c r="E152" s="19" t="str">
        <v>Query Functions</v>
      </c>
      <c r="F152" s="36" t="str" cm="1">
        <f t="array" ref="F152">_xlfn.TEXTJOIN(",",TRUE,_xlfn._xlws.FILTER(CLASSIFICATION[Keyword], ($E152=CLASSIFICATION[Keyword Aggr])*($D152=CLASSIFICATION[Functional Scope Aggr])))</f>
        <v>Query Functions</v>
      </c>
      <c r="G152" s="32" t="str">
        <f t="shared" si="20"/>
        <v/>
      </c>
      <c r="H152" s="32" t="str">
        <f t="shared" si="21"/>
        <v/>
      </c>
      <c r="I152" s="32" t="str">
        <f t="shared" si="22"/>
        <v>Query Functions</v>
      </c>
      <c r="J152" s="33" t="str" cm="1">
        <f t="array" aca="1" ref="J15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($E152=CLASSIFICATION[[Keyword Aggr]:[Keyword Aggr]])*($D152=CLASSIFICATION[[Functional Scope Aggr]:[Functional Scope Aggr]])),
_xlpm._platform_keywords, _xlfn.TEXTSPLIT(SUBSTITUTE(SUBSTITUTE(VLOOKUP($D152,_xlpm._platform_range,3,FALSE),"+"&amp;CHAR(34),"+"),CHAR(34),""),", "),
_xlpm._exists, SUMPRODUCT(--ISNUMBER(MATCH(_xlpm._platform_keywords,_xlpm._original_keywords,0)))&gt;0,
_xlfn.IFS(AND(_xlpm._exists,LEFT($E152,1)="+"),"+",_xlpm._exists,"*",NOT(_xlpm._exists),"")
)</f>
        <v/>
      </c>
      <c r="K152" s="33" t="str" cm="1">
        <f t="array" aca="1" ref="K15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($E152=CLASSIFICATION[[Keyword Aggr]:[Keyword Aggr]])*($D152=CLASSIFICATION[[Functional Scope Aggr]:[Functional Scope Aggr]])),
_xlpm._platform_keywords, _xlfn.TEXTSPLIT(SUBSTITUTE(SUBSTITUTE(VLOOKUP($D152,_xlpm._platform_range,3,FALSE),"+"&amp;CHAR(34),"+"),CHAR(34),""),", "),
_xlpm._exists, SUMPRODUCT(--ISNUMBER(MATCH(_xlpm._platform_keywords,_xlpm._original_keywords,0)))&gt;0,
_xlfn.IFS(AND(_xlpm._exists,LEFT($E152,1)="+"),"+",_xlpm._exists,"*",NOT(_xlpm._exists),"")
)</f>
        <v/>
      </c>
      <c r="L152" s="33" t="str" cm="1">
        <f t="array" aca="1" ref="L15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($E152=CLASSIFICATION[[Keyword Aggr]:[Keyword Aggr]])*($D152=CLASSIFICATION[[Functional Scope Aggr]:[Functional Scope Aggr]])),
_xlpm._platform_keywords, _xlfn.TEXTSPLIT(SUBSTITUTE(SUBSTITUTE(VLOOKUP($D152,_xlpm._platform_range,3,FALSE),"+"&amp;CHAR(34),"+"),CHAR(34),""),", "),
_xlpm._exists, SUMPRODUCT(--ISNUMBER(MATCH(_xlpm._platform_keywords,_xlpm._original_keywords,0)))&gt;0,
_xlfn.IFS(AND(_xlpm._exists,LEFT($E152,1)="+"),"+",_xlpm._exists,"*",NOT(_xlpm._exists),"")
)</f>
        <v/>
      </c>
      <c r="M152" s="33" t="str" cm="1">
        <f t="array" aca="1" ref="M15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($E152=CLASSIFICATION[[Keyword Aggr]:[Keyword Aggr]])*($D152=CLASSIFICATION[[Functional Scope Aggr]:[Functional Scope Aggr]])),
_xlpm._platform_keywords, _xlfn.TEXTSPLIT(SUBSTITUTE(SUBSTITUTE(VLOOKUP($D152,_xlpm._platform_range,3,FALSE),"+"&amp;CHAR(34),"+"),CHAR(34),""),", "),
_xlpm._exists, SUMPRODUCT(--ISNUMBER(MATCH(_xlpm._platform_keywords,_xlpm._original_keywords,0)))&gt;0,
_xlfn.IFS(AND(_xlpm._exists,LEFT($E152,1)="+"),"+",_xlpm._exists,"*",NOT(_xlpm._exists),"")
)</f>
        <v>*</v>
      </c>
      <c r="N152" s="33" t="str" cm="1">
        <f t="array" aca="1" ref="N15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($E152=CLASSIFICATION[[Keyword Aggr]:[Keyword Aggr]])*($D152=CLASSIFICATION[[Functional Scope Aggr]:[Functional Scope Aggr]])),
_xlpm._platform_keywords, _xlfn.TEXTSPLIT(SUBSTITUTE(SUBSTITUTE(VLOOKUP($D152,_xlpm._platform_range,3,FALSE),"+"&amp;CHAR(34),"+"),CHAR(34),""),", "),
_xlpm._exists, SUMPRODUCT(--ISNUMBER(MATCH(_xlpm._platform_keywords,_xlpm._original_keywords,0)))&gt;0,
_xlfn.IFS(AND(_xlpm._exists,LEFT($E152,1)="+"),"+",_xlpm._exists,"*",NOT(_xlpm._exists),"")
)</f>
        <v/>
      </c>
      <c r="O152" s="33" t="str" cm="1">
        <f t="array" aca="1" ref="O15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($E152=CLASSIFICATION[[Keyword Aggr]:[Keyword Aggr]])*($D152=CLASSIFICATION[[Functional Scope Aggr]:[Functional Scope Aggr]])),
_xlpm._platform_keywords, _xlfn.TEXTSPLIT(SUBSTITUTE(SUBSTITUTE(VLOOKUP($D152,_xlpm._platform_range,3,FALSE),"+"&amp;CHAR(34),"+"),CHAR(34),""),", "),
_xlpm._exists, SUMPRODUCT(--ISNUMBER(MATCH(_xlpm._platform_keywords,_xlpm._original_keywords,0)))&gt;0,
_xlfn.IFS(AND(_xlpm._exists,LEFT($E152,1)="+"),"+",_xlpm._exists,"*",NOT(_xlpm._exists),"")
)</f>
        <v/>
      </c>
      <c r="Q152" s="33" t="str" cm="1">
        <f t="array" aca="1" ref="Q15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($E152=CLASSIFICATION[[Keyword Aggr]:[Keyword Aggr]])*($D152=CLASSIFICATION[[Functional Scope Aggr]:[Functional Scope Aggr]])),
_xlpm._platform_keywords, _xlfn.TEXTSPLIT(SUBSTITUTE(SUBSTITUTE(VLOOKUP($D152,_xlpm._platform_range,3,FALSE),"+"&amp;CHAR(34),"+"),CHAR(34),""),", "),
_xlpm._exists, SUMPRODUCT(--ISNUMBER(MATCH(_xlpm._platform_keywords,_xlpm._original_keywords,0)))&gt;0,
_xlfn.IFS(_xlpm._exists,1,NOT(_xlpm._exists),"")
)</f>
        <v/>
      </c>
      <c r="R152" s="33" t="str" cm="1">
        <f t="array" aca="1" ref="R15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($E152=CLASSIFICATION[[Keyword Aggr]:[Keyword Aggr]])*($D152=CLASSIFICATION[[Functional Scope Aggr]:[Functional Scope Aggr]])),
_xlpm._platform_keywords, _xlfn.TEXTSPLIT(SUBSTITUTE(SUBSTITUTE(VLOOKUP($D152,_xlpm._platform_range,3,FALSE),"+"&amp;CHAR(34),"+"),CHAR(34),""),", "),
_xlpm._exists, SUMPRODUCT(--ISNUMBER(MATCH(_xlpm._platform_keywords,_xlpm._original_keywords,0)))&gt;0,
_xlfn.IFS(_xlpm._exists,1,NOT(_xlpm._exists),"")
)</f>
        <v/>
      </c>
      <c r="S152" s="33" t="str" cm="1">
        <f t="array" aca="1" ref="S15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($E152=CLASSIFICATION[[Keyword Aggr]:[Keyword Aggr]])*($D152=CLASSIFICATION[[Functional Scope Aggr]:[Functional Scope Aggr]])),
_xlpm._platform_keywords, _xlfn.TEXTSPLIT(SUBSTITUTE(SUBSTITUTE(VLOOKUP($D152,_xlpm._platform_range,3,FALSE),"+"&amp;CHAR(34),"+"),CHAR(34),""),", "),
_xlpm._exists, SUMPRODUCT(--ISNUMBER(MATCH(_xlpm._platform_keywords,_xlpm._original_keywords,0)))&gt;0,
_xlfn.IFS(_xlpm._exists,1,NOT(_xlpm._exists),"")
)</f>
        <v/>
      </c>
      <c r="T152" s="33" cm="1">
        <f t="array" aca="1" ref="T15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($E152=CLASSIFICATION[[Keyword Aggr]:[Keyword Aggr]])*($D152=CLASSIFICATION[[Functional Scope Aggr]:[Functional Scope Aggr]])),
_xlpm._platform_keywords, _xlfn.TEXTSPLIT(SUBSTITUTE(SUBSTITUTE(VLOOKUP($D152,_xlpm._platform_range,3,FALSE),"+"&amp;CHAR(34),"+"),CHAR(34),""),", "),
_xlpm._exists, SUMPRODUCT(--ISNUMBER(MATCH(_xlpm._platform_keywords,_xlpm._original_keywords,0)))&gt;0,
_xlfn.IFS(_xlpm._exists,1,NOT(_xlpm._exists),"")
)</f>
        <v>1</v>
      </c>
      <c r="U152" s="33" t="str" cm="1">
        <f t="array" aca="1" ref="U15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($E152=CLASSIFICATION[[Keyword Aggr]:[Keyword Aggr]])*($D152=CLASSIFICATION[[Functional Scope Aggr]:[Functional Scope Aggr]])),
_xlpm._platform_keywords, _xlfn.TEXTSPLIT(SUBSTITUTE(SUBSTITUTE(VLOOKUP($D152,_xlpm._platform_range,3,FALSE),"+"&amp;CHAR(34),"+"),CHAR(34),""),", "),
_xlpm._exists, SUMPRODUCT(--ISNUMBER(MATCH(_xlpm._platform_keywords,_xlpm._original_keywords,0)))&gt;0,
_xlfn.IFS(_xlpm._exists,1,NOT(_xlpm._exists),"")
)</f>
        <v/>
      </c>
      <c r="V152" s="33" t="str" cm="1">
        <f t="array" aca="1" ref="V15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($E152=CLASSIFICATION[[Keyword Aggr]:[Keyword Aggr]])*($D152=CLASSIFICATION[[Functional Scope Aggr]:[Functional Scope Aggr]])),
_xlpm._platform_keywords, _xlfn.TEXTSPLIT(SUBSTITUTE(SUBSTITUTE(VLOOKUP($D152,_xlpm._platform_range,3,FALSE),"+"&amp;CHAR(34),"+"),CHAR(34),""),", "),
_xlpm._exists, SUMPRODUCT(--ISNUMBER(MATCH(_xlpm._platform_keywords,_xlpm._original_keywords,0)))&gt;0,
_xlfn.IFS(_xlpm._exists,1,NOT(_xlpm._exists),"")
)</f>
        <v/>
      </c>
      <c r="X152" s="33" t="str">
        <f t="shared" si="23"/>
        <v/>
      </c>
      <c r="Y152" s="33" t="str">
        <f t="shared" si="24"/>
        <v/>
      </c>
      <c r="Z152" s="33" t="str">
        <f t="shared" si="25"/>
        <v/>
      </c>
      <c r="AA152" s="33" t="str">
        <f t="shared" si="26"/>
        <v/>
      </c>
      <c r="AB152" s="33" t="str">
        <f t="shared" si="27"/>
        <v/>
      </c>
      <c r="AC152" s="33" t="str">
        <f t="shared" si="28"/>
        <v/>
      </c>
    </row>
    <row r="153" spans="1:29" x14ac:dyDescent="0.25">
      <c r="A153" s="19" t="str">
        <v>Development,Programming,Scripts</v>
      </c>
      <c r="B153" t="s">
        <v>377</v>
      </c>
      <c r="C153" s="19" t="str" cm="1">
        <f t="array" ref="C153:E153">_xlfn.TEXTSPLIT(A153,",")</f>
        <v>Development</v>
      </c>
      <c r="D153" s="19" t="str">
        <v>Programming</v>
      </c>
      <c r="E153" s="19" t="str">
        <v>Scripts</v>
      </c>
      <c r="F153" s="36" t="str" cm="1">
        <f t="array" ref="F153">_xlfn.TEXTJOIN(",",TRUE,_xlfn._xlws.FILTER(CLASSIFICATION[Keyword], ($E153=CLASSIFICATION[Keyword Aggr])*($D153=CLASSIFICATION[Functional Scope Aggr])))</f>
        <v>Scripts (Deluge)</v>
      </c>
      <c r="G153" s="32" t="str">
        <f t="shared" si="20"/>
        <v/>
      </c>
      <c r="H153" s="32" t="str">
        <f t="shared" si="21"/>
        <v/>
      </c>
      <c r="I153" s="32" t="str">
        <f t="shared" si="22"/>
        <v>Scripts</v>
      </c>
      <c r="J153" s="33" t="str" cm="1">
        <f t="array" aca="1" ref="J15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($E153=CLASSIFICATION[[Keyword Aggr]:[Keyword Aggr]])*($D153=CLASSIFICATION[[Functional Scope Aggr]:[Functional Scope Aggr]])),
_xlpm._platform_keywords, _xlfn.TEXTSPLIT(SUBSTITUTE(SUBSTITUTE(VLOOKUP($D153,_xlpm._platform_range,3,FALSE),"+"&amp;CHAR(34),"+"),CHAR(34),""),", "),
_xlpm._exists, SUMPRODUCT(--ISNUMBER(MATCH(_xlpm._platform_keywords,_xlpm._original_keywords,0)))&gt;0,
_xlfn.IFS(AND(_xlpm._exists,LEFT($E153,1)="+"),"+",_xlpm._exists,"*",NOT(_xlpm._exists),"")
)</f>
        <v/>
      </c>
      <c r="K153" s="33" t="str" cm="1">
        <f t="array" aca="1" ref="K15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($E153=CLASSIFICATION[[Keyword Aggr]:[Keyword Aggr]])*($D153=CLASSIFICATION[[Functional Scope Aggr]:[Functional Scope Aggr]])),
_xlpm._platform_keywords, _xlfn.TEXTSPLIT(SUBSTITUTE(SUBSTITUTE(VLOOKUP($D153,_xlpm._platform_range,3,FALSE),"+"&amp;CHAR(34),"+"),CHAR(34),""),", "),
_xlpm._exists, SUMPRODUCT(--ISNUMBER(MATCH(_xlpm._platform_keywords,_xlpm._original_keywords,0)))&gt;0,
_xlfn.IFS(AND(_xlpm._exists,LEFT($E153,1)="+"),"+",_xlpm._exists,"*",NOT(_xlpm._exists),"")
)</f>
        <v/>
      </c>
      <c r="L153" s="33" t="str" cm="1">
        <f t="array" aca="1" ref="L15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($E153=CLASSIFICATION[[Keyword Aggr]:[Keyword Aggr]])*($D153=CLASSIFICATION[[Functional Scope Aggr]:[Functional Scope Aggr]])),
_xlpm._platform_keywords, _xlfn.TEXTSPLIT(SUBSTITUTE(SUBSTITUTE(VLOOKUP($D153,_xlpm._platform_range,3,FALSE),"+"&amp;CHAR(34),"+"),CHAR(34),""),", "),
_xlpm._exists, SUMPRODUCT(--ISNUMBER(MATCH(_xlpm._platform_keywords,_xlpm._original_keywords,0)))&gt;0,
_xlfn.IFS(AND(_xlpm._exists,LEFT($E153,1)="+"),"+",_xlpm._exists,"*",NOT(_xlpm._exists),"")
)</f>
        <v>*</v>
      </c>
      <c r="M153" s="33" t="str" cm="1">
        <f t="array" aca="1" ref="M15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($E153=CLASSIFICATION[[Keyword Aggr]:[Keyword Aggr]])*($D153=CLASSIFICATION[[Functional Scope Aggr]:[Functional Scope Aggr]])),
_xlpm._platform_keywords, _xlfn.TEXTSPLIT(SUBSTITUTE(SUBSTITUTE(VLOOKUP($D153,_xlpm._platform_range,3,FALSE),"+"&amp;CHAR(34),"+"),CHAR(34),""),", "),
_xlpm._exists, SUMPRODUCT(--ISNUMBER(MATCH(_xlpm._platform_keywords,_xlpm._original_keywords,0)))&gt;0,
_xlfn.IFS(AND(_xlpm._exists,LEFT($E153,1)="+"),"+",_xlpm._exists,"*",NOT(_xlpm._exists),"")
)</f>
        <v/>
      </c>
      <c r="N153" s="33" t="str" cm="1">
        <f t="array" aca="1" ref="N15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($E153=CLASSIFICATION[[Keyword Aggr]:[Keyword Aggr]])*($D153=CLASSIFICATION[[Functional Scope Aggr]:[Functional Scope Aggr]])),
_xlpm._platform_keywords, _xlfn.TEXTSPLIT(SUBSTITUTE(SUBSTITUTE(VLOOKUP($D153,_xlpm._platform_range,3,FALSE),"+"&amp;CHAR(34),"+"),CHAR(34),""),", "),
_xlpm._exists, SUMPRODUCT(--ISNUMBER(MATCH(_xlpm._platform_keywords,_xlpm._original_keywords,0)))&gt;0,
_xlfn.IFS(AND(_xlpm._exists,LEFT($E153,1)="+"),"+",_xlpm._exists,"*",NOT(_xlpm._exists),"")
)</f>
        <v/>
      </c>
      <c r="O153" s="33" t="str" cm="1">
        <f t="array" aca="1" ref="O15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($E153=CLASSIFICATION[[Keyword Aggr]:[Keyword Aggr]])*($D153=CLASSIFICATION[[Functional Scope Aggr]:[Functional Scope Aggr]])),
_xlpm._platform_keywords, _xlfn.TEXTSPLIT(SUBSTITUTE(SUBSTITUTE(VLOOKUP($D153,_xlpm._platform_range,3,FALSE),"+"&amp;CHAR(34),"+"),CHAR(34),""),", "),
_xlpm._exists, SUMPRODUCT(--ISNUMBER(MATCH(_xlpm._platform_keywords,_xlpm._original_keywords,0)))&gt;0,
_xlfn.IFS(AND(_xlpm._exists,LEFT($E153,1)="+"),"+",_xlpm._exists,"*",NOT(_xlpm._exists),"")
)</f>
        <v/>
      </c>
      <c r="Q153" s="33" t="str" cm="1">
        <f t="array" aca="1" ref="Q15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($E153=CLASSIFICATION[[Keyword Aggr]:[Keyword Aggr]])*($D153=CLASSIFICATION[[Functional Scope Aggr]:[Functional Scope Aggr]])),
_xlpm._platform_keywords, _xlfn.TEXTSPLIT(SUBSTITUTE(SUBSTITUTE(VLOOKUP($D153,_xlpm._platform_range,3,FALSE),"+"&amp;CHAR(34),"+"),CHAR(34),""),", "),
_xlpm._exists, SUMPRODUCT(--ISNUMBER(MATCH(_xlpm._platform_keywords,_xlpm._original_keywords,0)))&gt;0,
_xlfn.IFS(_xlpm._exists,1,NOT(_xlpm._exists),"")
)</f>
        <v/>
      </c>
      <c r="R153" s="33" t="str" cm="1">
        <f t="array" aca="1" ref="R15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($E153=CLASSIFICATION[[Keyword Aggr]:[Keyword Aggr]])*($D153=CLASSIFICATION[[Functional Scope Aggr]:[Functional Scope Aggr]])),
_xlpm._platform_keywords, _xlfn.TEXTSPLIT(SUBSTITUTE(SUBSTITUTE(VLOOKUP($D153,_xlpm._platform_range,3,FALSE),"+"&amp;CHAR(34),"+"),CHAR(34),""),", "),
_xlpm._exists, SUMPRODUCT(--ISNUMBER(MATCH(_xlpm._platform_keywords,_xlpm._original_keywords,0)))&gt;0,
_xlfn.IFS(_xlpm._exists,1,NOT(_xlpm._exists),"")
)</f>
        <v/>
      </c>
      <c r="S153" s="33" cm="1">
        <f t="array" aca="1" ref="S15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($E153=CLASSIFICATION[[Keyword Aggr]:[Keyword Aggr]])*($D153=CLASSIFICATION[[Functional Scope Aggr]:[Functional Scope Aggr]])),
_xlpm._platform_keywords, _xlfn.TEXTSPLIT(SUBSTITUTE(SUBSTITUTE(VLOOKUP($D153,_xlpm._platform_range,3,FALSE),"+"&amp;CHAR(34),"+"),CHAR(34),""),", "),
_xlpm._exists, SUMPRODUCT(--ISNUMBER(MATCH(_xlpm._platform_keywords,_xlpm._original_keywords,0)))&gt;0,
_xlfn.IFS(_xlpm._exists,1,NOT(_xlpm._exists),"")
)</f>
        <v>1</v>
      </c>
      <c r="T153" s="33" t="str" cm="1">
        <f t="array" aca="1" ref="T15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($E153=CLASSIFICATION[[Keyword Aggr]:[Keyword Aggr]])*($D153=CLASSIFICATION[[Functional Scope Aggr]:[Functional Scope Aggr]])),
_xlpm._platform_keywords, _xlfn.TEXTSPLIT(SUBSTITUTE(SUBSTITUTE(VLOOKUP($D153,_xlpm._platform_range,3,FALSE),"+"&amp;CHAR(34),"+"),CHAR(34),""),", "),
_xlpm._exists, SUMPRODUCT(--ISNUMBER(MATCH(_xlpm._platform_keywords,_xlpm._original_keywords,0)))&gt;0,
_xlfn.IFS(_xlpm._exists,1,NOT(_xlpm._exists),"")
)</f>
        <v/>
      </c>
      <c r="U153" s="33" t="str" cm="1">
        <f t="array" aca="1" ref="U15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($E153=CLASSIFICATION[[Keyword Aggr]:[Keyword Aggr]])*($D153=CLASSIFICATION[[Functional Scope Aggr]:[Functional Scope Aggr]])),
_xlpm._platform_keywords, _xlfn.TEXTSPLIT(SUBSTITUTE(SUBSTITUTE(VLOOKUP($D153,_xlpm._platform_range,3,FALSE),"+"&amp;CHAR(34),"+"),CHAR(34),""),", "),
_xlpm._exists, SUMPRODUCT(--ISNUMBER(MATCH(_xlpm._platform_keywords,_xlpm._original_keywords,0)))&gt;0,
_xlfn.IFS(_xlpm._exists,1,NOT(_xlpm._exists),"")
)</f>
        <v/>
      </c>
      <c r="V153" s="33" t="str" cm="1">
        <f t="array" aca="1" ref="V15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($E153=CLASSIFICATION[[Keyword Aggr]:[Keyword Aggr]])*($D153=CLASSIFICATION[[Functional Scope Aggr]:[Functional Scope Aggr]])),
_xlpm._platform_keywords, _xlfn.TEXTSPLIT(SUBSTITUTE(SUBSTITUTE(VLOOKUP($D153,_xlpm._platform_range,3,FALSE),"+"&amp;CHAR(34),"+"),CHAR(34),""),", "),
_xlpm._exists, SUMPRODUCT(--ISNUMBER(MATCH(_xlpm._platform_keywords,_xlpm._original_keywords,0)))&gt;0,
_xlfn.IFS(_xlpm._exists,1,NOT(_xlpm._exists),"")
)</f>
        <v/>
      </c>
      <c r="X153" s="33" t="str">
        <f t="shared" si="23"/>
        <v/>
      </c>
      <c r="Y153" s="33" t="str">
        <f t="shared" si="24"/>
        <v/>
      </c>
      <c r="Z153" s="33" t="str">
        <f t="shared" si="25"/>
        <v/>
      </c>
      <c r="AA153" s="33" t="str">
        <f t="shared" si="26"/>
        <v/>
      </c>
      <c r="AB153" s="33" t="str">
        <f t="shared" si="27"/>
        <v/>
      </c>
      <c r="AC153" s="33" t="str">
        <f t="shared" si="28"/>
        <v/>
      </c>
    </row>
    <row r="154" spans="1:29" x14ac:dyDescent="0.25">
      <c r="A154" s="19" t="str">
        <v>Development,Programming,Snippets</v>
      </c>
      <c r="B154" t="s">
        <v>377</v>
      </c>
      <c r="C154" s="19" t="str" cm="1">
        <f t="array" ref="C154:E154">_xlfn.TEXTSPLIT(A154,",")</f>
        <v>Development</v>
      </c>
      <c r="D154" s="19" t="str">
        <v>Programming</v>
      </c>
      <c r="E154" s="19" t="str">
        <v>Snippets</v>
      </c>
      <c r="F154" s="36" t="str" cm="1">
        <f t="array" ref="F154">_xlfn.TEXTJOIN(",",TRUE,_xlfn._xlws.FILTER(CLASSIFICATION[Keyword], ($E154=CLASSIFICATION[Keyword Aggr])*($D154=CLASSIFICATION[Functional Scope Aggr])))</f>
        <v>Snippets (ZML)</v>
      </c>
      <c r="G154" s="32" t="str">
        <f t="shared" si="20"/>
        <v/>
      </c>
      <c r="H154" s="32" t="str">
        <f t="shared" si="21"/>
        <v/>
      </c>
      <c r="I154" s="32" t="str">
        <f t="shared" si="22"/>
        <v>Snippets</v>
      </c>
      <c r="J154" s="33" t="str" cm="1">
        <f t="array" aca="1" ref="J15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($E154=CLASSIFICATION[[Keyword Aggr]:[Keyword Aggr]])*($D154=CLASSIFICATION[[Functional Scope Aggr]:[Functional Scope Aggr]])),
_xlpm._platform_keywords, _xlfn.TEXTSPLIT(SUBSTITUTE(SUBSTITUTE(VLOOKUP($D154,_xlpm._platform_range,3,FALSE),"+"&amp;CHAR(34),"+"),CHAR(34),""),", "),
_xlpm._exists, SUMPRODUCT(--ISNUMBER(MATCH(_xlpm._platform_keywords,_xlpm._original_keywords,0)))&gt;0,
_xlfn.IFS(AND(_xlpm._exists,LEFT($E154,1)="+"),"+",_xlpm._exists,"*",NOT(_xlpm._exists),"")
)</f>
        <v/>
      </c>
      <c r="K154" s="33" t="str" cm="1">
        <f t="array" aca="1" ref="K15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($E154=CLASSIFICATION[[Keyword Aggr]:[Keyword Aggr]])*($D154=CLASSIFICATION[[Functional Scope Aggr]:[Functional Scope Aggr]])),
_xlpm._platform_keywords, _xlfn.TEXTSPLIT(SUBSTITUTE(SUBSTITUTE(VLOOKUP($D154,_xlpm._platform_range,3,FALSE),"+"&amp;CHAR(34),"+"),CHAR(34),""),", "),
_xlpm._exists, SUMPRODUCT(--ISNUMBER(MATCH(_xlpm._platform_keywords,_xlpm._original_keywords,0)))&gt;0,
_xlfn.IFS(AND(_xlpm._exists,LEFT($E154,1)="+"),"+",_xlpm._exists,"*",NOT(_xlpm._exists),"")
)</f>
        <v/>
      </c>
      <c r="L154" s="33" t="str" cm="1">
        <f t="array" aca="1" ref="L15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($E154=CLASSIFICATION[[Keyword Aggr]:[Keyword Aggr]])*($D154=CLASSIFICATION[[Functional Scope Aggr]:[Functional Scope Aggr]])),
_xlpm._platform_keywords, _xlfn.TEXTSPLIT(SUBSTITUTE(SUBSTITUTE(VLOOKUP($D154,_xlpm._platform_range,3,FALSE),"+"&amp;CHAR(34),"+"),CHAR(34),""),", "),
_xlpm._exists, SUMPRODUCT(--ISNUMBER(MATCH(_xlpm._platform_keywords,_xlpm._original_keywords,0)))&gt;0,
_xlfn.IFS(AND(_xlpm._exists,LEFT($E154,1)="+"),"+",_xlpm._exists,"*",NOT(_xlpm._exists),"")
)</f>
        <v>*</v>
      </c>
      <c r="M154" s="33" t="str" cm="1">
        <f t="array" aca="1" ref="M15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($E154=CLASSIFICATION[[Keyword Aggr]:[Keyword Aggr]])*($D154=CLASSIFICATION[[Functional Scope Aggr]:[Functional Scope Aggr]])),
_xlpm._platform_keywords, _xlfn.TEXTSPLIT(SUBSTITUTE(SUBSTITUTE(VLOOKUP($D154,_xlpm._platform_range,3,FALSE),"+"&amp;CHAR(34),"+"),CHAR(34),""),", "),
_xlpm._exists, SUMPRODUCT(--ISNUMBER(MATCH(_xlpm._platform_keywords,_xlpm._original_keywords,0)))&gt;0,
_xlfn.IFS(AND(_xlpm._exists,LEFT($E154,1)="+"),"+",_xlpm._exists,"*",NOT(_xlpm._exists),"")
)</f>
        <v/>
      </c>
      <c r="N154" s="33" t="str" cm="1">
        <f t="array" aca="1" ref="N15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($E154=CLASSIFICATION[[Keyword Aggr]:[Keyword Aggr]])*($D154=CLASSIFICATION[[Functional Scope Aggr]:[Functional Scope Aggr]])),
_xlpm._platform_keywords, _xlfn.TEXTSPLIT(SUBSTITUTE(SUBSTITUTE(VLOOKUP($D154,_xlpm._platform_range,3,FALSE),"+"&amp;CHAR(34),"+"),CHAR(34),""),", "),
_xlpm._exists, SUMPRODUCT(--ISNUMBER(MATCH(_xlpm._platform_keywords,_xlpm._original_keywords,0)))&gt;0,
_xlfn.IFS(AND(_xlpm._exists,LEFT($E154,1)="+"),"+",_xlpm._exists,"*",NOT(_xlpm._exists),"")
)</f>
        <v/>
      </c>
      <c r="O154" s="33" t="str" cm="1">
        <f t="array" aca="1" ref="O15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($E154=CLASSIFICATION[[Keyword Aggr]:[Keyword Aggr]])*($D154=CLASSIFICATION[[Functional Scope Aggr]:[Functional Scope Aggr]])),
_xlpm._platform_keywords, _xlfn.TEXTSPLIT(SUBSTITUTE(SUBSTITUTE(VLOOKUP($D154,_xlpm._platform_range,3,FALSE),"+"&amp;CHAR(34),"+"),CHAR(34),""),", "),
_xlpm._exists, SUMPRODUCT(--ISNUMBER(MATCH(_xlpm._platform_keywords,_xlpm._original_keywords,0)))&gt;0,
_xlfn.IFS(AND(_xlpm._exists,LEFT($E154,1)="+"),"+",_xlpm._exists,"*",NOT(_xlpm._exists),"")
)</f>
        <v/>
      </c>
      <c r="Q154" s="33" t="str" cm="1">
        <f t="array" aca="1" ref="Q15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($E154=CLASSIFICATION[[Keyword Aggr]:[Keyword Aggr]])*($D154=CLASSIFICATION[[Functional Scope Aggr]:[Functional Scope Aggr]])),
_xlpm._platform_keywords, _xlfn.TEXTSPLIT(SUBSTITUTE(SUBSTITUTE(VLOOKUP($D154,_xlpm._platform_range,3,FALSE),"+"&amp;CHAR(34),"+"),CHAR(34),""),", "),
_xlpm._exists, SUMPRODUCT(--ISNUMBER(MATCH(_xlpm._platform_keywords,_xlpm._original_keywords,0)))&gt;0,
_xlfn.IFS(_xlpm._exists,1,NOT(_xlpm._exists),"")
)</f>
        <v/>
      </c>
      <c r="R154" s="33" t="str" cm="1">
        <f t="array" aca="1" ref="R15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($E154=CLASSIFICATION[[Keyword Aggr]:[Keyword Aggr]])*($D154=CLASSIFICATION[[Functional Scope Aggr]:[Functional Scope Aggr]])),
_xlpm._platform_keywords, _xlfn.TEXTSPLIT(SUBSTITUTE(SUBSTITUTE(VLOOKUP($D154,_xlpm._platform_range,3,FALSE),"+"&amp;CHAR(34),"+"),CHAR(34),""),", "),
_xlpm._exists, SUMPRODUCT(--ISNUMBER(MATCH(_xlpm._platform_keywords,_xlpm._original_keywords,0)))&gt;0,
_xlfn.IFS(_xlpm._exists,1,NOT(_xlpm._exists),"")
)</f>
        <v/>
      </c>
      <c r="S154" s="33" cm="1">
        <f t="array" aca="1" ref="S15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($E154=CLASSIFICATION[[Keyword Aggr]:[Keyword Aggr]])*($D154=CLASSIFICATION[[Functional Scope Aggr]:[Functional Scope Aggr]])),
_xlpm._platform_keywords, _xlfn.TEXTSPLIT(SUBSTITUTE(SUBSTITUTE(VLOOKUP($D154,_xlpm._platform_range,3,FALSE),"+"&amp;CHAR(34),"+"),CHAR(34),""),", "),
_xlpm._exists, SUMPRODUCT(--ISNUMBER(MATCH(_xlpm._platform_keywords,_xlpm._original_keywords,0)))&gt;0,
_xlfn.IFS(_xlpm._exists,1,NOT(_xlpm._exists),"")
)</f>
        <v>1</v>
      </c>
      <c r="T154" s="33" t="str" cm="1">
        <f t="array" aca="1" ref="T15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($E154=CLASSIFICATION[[Keyword Aggr]:[Keyword Aggr]])*($D154=CLASSIFICATION[[Functional Scope Aggr]:[Functional Scope Aggr]])),
_xlpm._platform_keywords, _xlfn.TEXTSPLIT(SUBSTITUTE(SUBSTITUTE(VLOOKUP($D154,_xlpm._platform_range,3,FALSE),"+"&amp;CHAR(34),"+"),CHAR(34),""),", "),
_xlpm._exists, SUMPRODUCT(--ISNUMBER(MATCH(_xlpm._platform_keywords,_xlpm._original_keywords,0)))&gt;0,
_xlfn.IFS(_xlpm._exists,1,NOT(_xlpm._exists),"")
)</f>
        <v/>
      </c>
      <c r="U154" s="33" t="str" cm="1">
        <f t="array" aca="1" ref="U15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($E154=CLASSIFICATION[[Keyword Aggr]:[Keyword Aggr]])*($D154=CLASSIFICATION[[Functional Scope Aggr]:[Functional Scope Aggr]])),
_xlpm._platform_keywords, _xlfn.TEXTSPLIT(SUBSTITUTE(SUBSTITUTE(VLOOKUP($D154,_xlpm._platform_range,3,FALSE),"+"&amp;CHAR(34),"+"),CHAR(34),""),", "),
_xlpm._exists, SUMPRODUCT(--ISNUMBER(MATCH(_xlpm._platform_keywords,_xlpm._original_keywords,0)))&gt;0,
_xlfn.IFS(_xlpm._exists,1,NOT(_xlpm._exists),"")
)</f>
        <v/>
      </c>
      <c r="V154" s="33" t="str" cm="1">
        <f t="array" aca="1" ref="V15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($E154=CLASSIFICATION[[Keyword Aggr]:[Keyword Aggr]])*($D154=CLASSIFICATION[[Functional Scope Aggr]:[Functional Scope Aggr]])),
_xlpm._platform_keywords, _xlfn.TEXTSPLIT(SUBSTITUTE(SUBSTITUTE(VLOOKUP($D154,_xlpm._platform_range,3,FALSE),"+"&amp;CHAR(34),"+"),CHAR(34),""),", "),
_xlpm._exists, SUMPRODUCT(--ISNUMBER(MATCH(_xlpm._platform_keywords,_xlpm._original_keywords,0)))&gt;0,
_xlfn.IFS(_xlpm._exists,1,NOT(_xlpm._exists),"")
)</f>
        <v/>
      </c>
      <c r="X154" s="33" t="str">
        <f t="shared" si="23"/>
        <v/>
      </c>
      <c r="Y154" s="33" t="str">
        <f t="shared" si="24"/>
        <v/>
      </c>
      <c r="Z154" s="33" t="str">
        <f t="shared" si="25"/>
        <v/>
      </c>
      <c r="AA154" s="33" t="str">
        <f t="shared" si="26"/>
        <v/>
      </c>
      <c r="AB154" s="33" t="str">
        <f t="shared" si="27"/>
        <v/>
      </c>
      <c r="AC154" s="33" t="str">
        <f t="shared" si="28"/>
        <v/>
      </c>
    </row>
    <row r="155" spans="1:29" x14ac:dyDescent="0.25">
      <c r="A155" s="19" t="str">
        <v>Development,Programming,TypeScript</v>
      </c>
      <c r="B155" t="s">
        <v>377</v>
      </c>
      <c r="C155" s="19" t="str" cm="1">
        <f t="array" ref="C155:E155">_xlfn.TEXTSPLIT(A155,",")</f>
        <v>Development</v>
      </c>
      <c r="D155" s="19" t="str">
        <v>Programming</v>
      </c>
      <c r="E155" s="19" t="str">
        <v>TypeScript</v>
      </c>
      <c r="F155" s="36" t="str" cm="1">
        <f t="array" ref="F155">_xlfn.TEXTJOIN(",",TRUE,_xlfn._xlws.FILTER(CLASSIFICATION[Keyword], ($E155=CLASSIFICATION[Keyword Aggr])*($D155=CLASSIFICATION[Functional Scope Aggr])))</f>
        <v>TypeScript</v>
      </c>
      <c r="G155" s="32" t="str">
        <f t="shared" si="20"/>
        <v/>
      </c>
      <c r="H155" s="32" t="str">
        <f t="shared" si="21"/>
        <v/>
      </c>
      <c r="I155" s="32" t="str">
        <f t="shared" si="22"/>
        <v>TypeScript</v>
      </c>
      <c r="J155" s="33" t="str" cm="1">
        <f t="array" aca="1" ref="J15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($E155=CLASSIFICATION[[Keyword Aggr]:[Keyword Aggr]])*($D155=CLASSIFICATION[[Functional Scope Aggr]:[Functional Scope Aggr]])),
_xlpm._platform_keywords, _xlfn.TEXTSPLIT(SUBSTITUTE(SUBSTITUTE(VLOOKUP($D155,_xlpm._platform_range,3,FALSE),"+"&amp;CHAR(34),"+"),CHAR(34),""),", "),
_xlpm._exists, SUMPRODUCT(--ISNUMBER(MATCH(_xlpm._platform_keywords,_xlpm._original_keywords,0)))&gt;0,
_xlfn.IFS(AND(_xlpm._exists,LEFT($E155,1)="+"),"+",_xlpm._exists,"*",NOT(_xlpm._exists),"")
)</f>
        <v/>
      </c>
      <c r="K155" s="33" t="str" cm="1">
        <f t="array" aca="1" ref="K15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($E155=CLASSIFICATION[[Keyword Aggr]:[Keyword Aggr]])*($D155=CLASSIFICATION[[Functional Scope Aggr]:[Functional Scope Aggr]])),
_xlpm._platform_keywords, _xlfn.TEXTSPLIT(SUBSTITUTE(SUBSTITUTE(VLOOKUP($D155,_xlpm._platform_range,3,FALSE),"+"&amp;CHAR(34),"+"),CHAR(34),""),", "),
_xlpm._exists, SUMPRODUCT(--ISNUMBER(MATCH(_xlpm._platform_keywords,_xlpm._original_keywords,0)))&gt;0,
_xlfn.IFS(AND(_xlpm._exists,LEFT($E155,1)="+"),"+",_xlpm._exists,"*",NOT(_xlpm._exists),"")
)</f>
        <v/>
      </c>
      <c r="L155" s="33" t="str" cm="1">
        <f t="array" aca="1" ref="L15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($E155=CLASSIFICATION[[Keyword Aggr]:[Keyword Aggr]])*($D155=CLASSIFICATION[[Functional Scope Aggr]:[Functional Scope Aggr]])),
_xlpm._platform_keywords, _xlfn.TEXTSPLIT(SUBSTITUTE(SUBSTITUTE(VLOOKUP($D155,_xlpm._platform_range,3,FALSE),"+"&amp;CHAR(34),"+"),CHAR(34),""),", "),
_xlpm._exists, SUMPRODUCT(--ISNUMBER(MATCH(_xlpm._platform_keywords,_xlpm._original_keywords,0)))&gt;0,
_xlfn.IFS(AND(_xlpm._exists,LEFT($E155,1)="+"),"+",_xlpm._exists,"*",NOT(_xlpm._exists),"")
)</f>
        <v/>
      </c>
      <c r="M155" s="33" t="str" cm="1">
        <f t="array" aca="1" ref="M15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($E155=CLASSIFICATION[[Keyword Aggr]:[Keyword Aggr]])*($D155=CLASSIFICATION[[Functional Scope Aggr]:[Functional Scope Aggr]])),
_xlpm._platform_keywords, _xlfn.TEXTSPLIT(SUBSTITUTE(SUBSTITUTE(VLOOKUP($D155,_xlpm._platform_range,3,FALSE),"+"&amp;CHAR(34),"+"),CHAR(34),""),", "),
_xlpm._exists, SUMPRODUCT(--ISNUMBER(MATCH(_xlpm._platform_keywords,_xlpm._original_keywords,0)))&gt;0,
_xlfn.IFS(AND(_xlpm._exists,LEFT($E155,1)="+"),"+",_xlpm._exists,"*",NOT(_xlpm._exists),"")
)</f>
        <v>*</v>
      </c>
      <c r="N155" s="33" t="str" cm="1">
        <f t="array" aca="1" ref="N15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($E155=CLASSIFICATION[[Keyword Aggr]:[Keyword Aggr]])*($D155=CLASSIFICATION[[Functional Scope Aggr]:[Functional Scope Aggr]])),
_xlpm._platform_keywords, _xlfn.TEXTSPLIT(SUBSTITUTE(SUBSTITUTE(VLOOKUP($D155,_xlpm._platform_range,3,FALSE),"+"&amp;CHAR(34),"+"),CHAR(34),""),", "),
_xlpm._exists, SUMPRODUCT(--ISNUMBER(MATCH(_xlpm._platform_keywords,_xlpm._original_keywords,0)))&gt;0,
_xlfn.IFS(AND(_xlpm._exists,LEFT($E155,1)="+"),"+",_xlpm._exists,"*",NOT(_xlpm._exists),"")
)</f>
        <v/>
      </c>
      <c r="O155" s="33" t="str" cm="1">
        <f t="array" aca="1" ref="O15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($E155=CLASSIFICATION[[Keyword Aggr]:[Keyword Aggr]])*($D155=CLASSIFICATION[[Functional Scope Aggr]:[Functional Scope Aggr]])),
_xlpm._platform_keywords, _xlfn.TEXTSPLIT(SUBSTITUTE(SUBSTITUTE(VLOOKUP($D155,_xlpm._platform_range,3,FALSE),"+"&amp;CHAR(34),"+"),CHAR(34),""),", "),
_xlpm._exists, SUMPRODUCT(--ISNUMBER(MATCH(_xlpm._platform_keywords,_xlpm._original_keywords,0)))&gt;0,
_xlfn.IFS(AND(_xlpm._exists,LEFT($E155,1)="+"),"+",_xlpm._exists,"*",NOT(_xlpm._exists),"")
)</f>
        <v/>
      </c>
      <c r="Q155" s="33" t="str" cm="1">
        <f t="array" aca="1" ref="Q15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($E155=CLASSIFICATION[[Keyword Aggr]:[Keyword Aggr]])*($D155=CLASSIFICATION[[Functional Scope Aggr]:[Functional Scope Aggr]])),
_xlpm._platform_keywords, _xlfn.TEXTSPLIT(SUBSTITUTE(SUBSTITUTE(VLOOKUP($D155,_xlpm._platform_range,3,FALSE),"+"&amp;CHAR(34),"+"),CHAR(34),""),", "),
_xlpm._exists, SUMPRODUCT(--ISNUMBER(MATCH(_xlpm._platform_keywords,_xlpm._original_keywords,0)))&gt;0,
_xlfn.IFS(_xlpm._exists,1,NOT(_xlpm._exists),"")
)</f>
        <v/>
      </c>
      <c r="R155" s="33" t="str" cm="1">
        <f t="array" aca="1" ref="R15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($E155=CLASSIFICATION[[Keyword Aggr]:[Keyword Aggr]])*($D155=CLASSIFICATION[[Functional Scope Aggr]:[Functional Scope Aggr]])),
_xlpm._platform_keywords, _xlfn.TEXTSPLIT(SUBSTITUTE(SUBSTITUTE(VLOOKUP($D155,_xlpm._platform_range,3,FALSE),"+"&amp;CHAR(34),"+"),CHAR(34),""),", "),
_xlpm._exists, SUMPRODUCT(--ISNUMBER(MATCH(_xlpm._platform_keywords,_xlpm._original_keywords,0)))&gt;0,
_xlfn.IFS(_xlpm._exists,1,NOT(_xlpm._exists),"")
)</f>
        <v/>
      </c>
      <c r="S155" s="33" t="str" cm="1">
        <f t="array" aca="1" ref="S15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($E155=CLASSIFICATION[[Keyword Aggr]:[Keyword Aggr]])*($D155=CLASSIFICATION[[Functional Scope Aggr]:[Functional Scope Aggr]])),
_xlpm._platform_keywords, _xlfn.TEXTSPLIT(SUBSTITUTE(SUBSTITUTE(VLOOKUP($D155,_xlpm._platform_range,3,FALSE),"+"&amp;CHAR(34),"+"),CHAR(34),""),", "),
_xlpm._exists, SUMPRODUCT(--ISNUMBER(MATCH(_xlpm._platform_keywords,_xlpm._original_keywords,0)))&gt;0,
_xlfn.IFS(_xlpm._exists,1,NOT(_xlpm._exists),"")
)</f>
        <v/>
      </c>
      <c r="T155" s="33" cm="1">
        <f t="array" aca="1" ref="T15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($E155=CLASSIFICATION[[Keyword Aggr]:[Keyword Aggr]])*($D155=CLASSIFICATION[[Functional Scope Aggr]:[Functional Scope Aggr]])),
_xlpm._platform_keywords, _xlfn.TEXTSPLIT(SUBSTITUTE(SUBSTITUTE(VLOOKUP($D155,_xlpm._platform_range,3,FALSE),"+"&amp;CHAR(34),"+"),CHAR(34),""),", "),
_xlpm._exists, SUMPRODUCT(--ISNUMBER(MATCH(_xlpm._platform_keywords,_xlpm._original_keywords,0)))&gt;0,
_xlfn.IFS(_xlpm._exists,1,NOT(_xlpm._exists),"")
)</f>
        <v>1</v>
      </c>
      <c r="U155" s="33" t="str" cm="1">
        <f t="array" aca="1" ref="U15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($E155=CLASSIFICATION[[Keyword Aggr]:[Keyword Aggr]])*($D155=CLASSIFICATION[[Functional Scope Aggr]:[Functional Scope Aggr]])),
_xlpm._platform_keywords, _xlfn.TEXTSPLIT(SUBSTITUTE(SUBSTITUTE(VLOOKUP($D155,_xlpm._platform_range,3,FALSE),"+"&amp;CHAR(34),"+"),CHAR(34),""),", "),
_xlpm._exists, SUMPRODUCT(--ISNUMBER(MATCH(_xlpm._platform_keywords,_xlpm._original_keywords,0)))&gt;0,
_xlfn.IFS(_xlpm._exists,1,NOT(_xlpm._exists),"")
)</f>
        <v/>
      </c>
      <c r="V155" s="33" t="str" cm="1">
        <f t="array" aca="1" ref="V15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($E155=CLASSIFICATION[[Keyword Aggr]:[Keyword Aggr]])*($D155=CLASSIFICATION[[Functional Scope Aggr]:[Functional Scope Aggr]])),
_xlpm._platform_keywords, _xlfn.TEXTSPLIT(SUBSTITUTE(SUBSTITUTE(VLOOKUP($D155,_xlpm._platform_range,3,FALSE),"+"&amp;CHAR(34),"+"),CHAR(34),""),", "),
_xlpm._exists, SUMPRODUCT(--ISNUMBER(MATCH(_xlpm._platform_keywords,_xlpm._original_keywords,0)))&gt;0,
_xlfn.IFS(_xlpm._exists,1,NOT(_xlpm._exists),"")
)</f>
        <v/>
      </c>
      <c r="X155" s="33" t="str">
        <f t="shared" si="23"/>
        <v/>
      </c>
      <c r="Y155" s="33" t="str">
        <f t="shared" si="24"/>
        <v/>
      </c>
      <c r="Z155" s="33" t="str">
        <f t="shared" si="25"/>
        <v/>
      </c>
      <c r="AA155" s="33" t="str">
        <f t="shared" si="26"/>
        <v/>
      </c>
      <c r="AB155" s="33" t="str">
        <f t="shared" si="27"/>
        <v/>
      </c>
      <c r="AC155" s="33" t="str">
        <f t="shared" si="28"/>
        <v/>
      </c>
    </row>
    <row r="156" spans="1:29" x14ac:dyDescent="0.25">
      <c r="A156" s="19" t="str">
        <v>Development,Programming,Web API</v>
      </c>
      <c r="B156" t="s">
        <v>377</v>
      </c>
      <c r="C156" s="19" t="str" cm="1">
        <f t="array" ref="C156:E156">_xlfn.TEXTSPLIT(A156,",")</f>
        <v>Development</v>
      </c>
      <c r="D156" s="19" t="str">
        <v>Programming</v>
      </c>
      <c r="E156" s="19" t="str">
        <v>Web API</v>
      </c>
      <c r="F156" s="36" t="str" cm="1">
        <f t="array" ref="F156">_xlfn.TEXTJOIN(",",TRUE,_xlfn._xlws.FILTER(CLASSIFICATION[Keyword], ($E156=CLASSIFICATION[Keyword Aggr])*($D156=CLASSIFICATION[Functional Scope Aggr])))</f>
        <v>Web API,Web API (AppSheet API)</v>
      </c>
      <c r="G156" s="32" t="str">
        <f t="shared" si="20"/>
        <v/>
      </c>
      <c r="H156" s="32" t="str">
        <f t="shared" si="21"/>
        <v/>
      </c>
      <c r="I156" s="32" t="str">
        <f t="shared" si="22"/>
        <v>Web API</v>
      </c>
      <c r="J156" s="33" t="str" cm="1">
        <f t="array" aca="1" ref="J15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($E156=CLASSIFICATION[[Keyword Aggr]:[Keyword Aggr]])*($D156=CLASSIFICATION[[Functional Scope Aggr]:[Functional Scope Aggr]])),
_xlpm._platform_keywords, _xlfn.TEXTSPLIT(SUBSTITUTE(SUBSTITUTE(VLOOKUP($D156,_xlpm._platform_range,3,FALSE),"+"&amp;CHAR(34),"+"),CHAR(34),""),", "),
_xlpm._exists, SUMPRODUCT(--ISNUMBER(MATCH(_xlpm._platform_keywords,_xlpm._original_keywords,0)))&gt;0,
_xlfn.IFS(AND(_xlpm._exists,LEFT($E156,1)="+"),"+",_xlpm._exists,"*",NOT(_xlpm._exists),"")
)</f>
        <v/>
      </c>
      <c r="K156" s="33" t="str" cm="1">
        <f t="array" aca="1" ref="K15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($E156=CLASSIFICATION[[Keyword Aggr]:[Keyword Aggr]])*($D156=CLASSIFICATION[[Functional Scope Aggr]:[Functional Scope Aggr]])),
_xlpm._platform_keywords, _xlfn.TEXTSPLIT(SUBSTITUTE(SUBSTITUTE(VLOOKUP($D156,_xlpm._platform_range,3,FALSE),"+"&amp;CHAR(34),"+"),CHAR(34),""),", "),
_xlpm._exists, SUMPRODUCT(--ISNUMBER(MATCH(_xlpm._platform_keywords,_xlpm._original_keywords,0)))&gt;0,
_xlfn.IFS(AND(_xlpm._exists,LEFT($E156,1)="+"),"+",_xlpm._exists,"*",NOT(_xlpm._exists),"")
)</f>
        <v/>
      </c>
      <c r="L156" s="33" t="str" cm="1">
        <f t="array" aca="1" ref="L15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($E156=CLASSIFICATION[[Keyword Aggr]:[Keyword Aggr]])*($D156=CLASSIFICATION[[Functional Scope Aggr]:[Functional Scope Aggr]])),
_xlpm._platform_keywords, _xlfn.TEXTSPLIT(SUBSTITUTE(SUBSTITUTE(VLOOKUP($D156,_xlpm._platform_range,3,FALSE),"+"&amp;CHAR(34),"+"),CHAR(34),""),", "),
_xlpm._exists, SUMPRODUCT(--ISNUMBER(MATCH(_xlpm._platform_keywords,_xlpm._original_keywords,0)))&gt;0,
_xlfn.IFS(AND(_xlpm._exists,LEFT($E156,1)="+"),"+",_xlpm._exists,"*",NOT(_xlpm._exists),"")
)</f>
        <v/>
      </c>
      <c r="M156" s="33" t="str" cm="1">
        <f t="array" aca="1" ref="M15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($E156=CLASSIFICATION[[Keyword Aggr]:[Keyword Aggr]])*($D156=CLASSIFICATION[[Functional Scope Aggr]:[Functional Scope Aggr]])),
_xlpm._platform_keywords, _xlfn.TEXTSPLIT(SUBSTITUTE(SUBSTITUTE(VLOOKUP($D156,_xlpm._platform_range,3,FALSE),"+"&amp;CHAR(34),"+"),CHAR(34),""),", "),
_xlpm._exists, SUMPRODUCT(--ISNUMBER(MATCH(_xlpm._platform_keywords,_xlpm._original_keywords,0)))&gt;0,
_xlfn.IFS(AND(_xlpm._exists,LEFT($E156,1)="+"),"+",_xlpm._exists,"*",NOT(_xlpm._exists),"")
)</f>
        <v>*</v>
      </c>
      <c r="N156" s="33" t="str" cm="1">
        <f t="array" aca="1" ref="N15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($E156=CLASSIFICATION[[Keyword Aggr]:[Keyword Aggr]])*($D156=CLASSIFICATION[[Functional Scope Aggr]:[Functional Scope Aggr]])),
_xlpm._platform_keywords, _xlfn.TEXTSPLIT(SUBSTITUTE(SUBSTITUTE(VLOOKUP($D156,_xlpm._platform_range,3,FALSE),"+"&amp;CHAR(34),"+"),CHAR(34),""),", "),
_xlpm._exists, SUMPRODUCT(--ISNUMBER(MATCH(_xlpm._platform_keywords,_xlpm._original_keywords,0)))&gt;0,
_xlfn.IFS(AND(_xlpm._exists,LEFT($E156,1)="+"),"+",_xlpm._exists,"*",NOT(_xlpm._exists),"")
)</f>
        <v>*</v>
      </c>
      <c r="O156" s="33" t="str" cm="1">
        <f t="array" aca="1" ref="O15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($E156=CLASSIFICATION[[Keyword Aggr]:[Keyword Aggr]])*($D156=CLASSIFICATION[[Functional Scope Aggr]:[Functional Scope Aggr]])),
_xlpm._platform_keywords, _xlfn.TEXTSPLIT(SUBSTITUTE(SUBSTITUTE(VLOOKUP($D156,_xlpm._platform_range,3,FALSE),"+"&amp;CHAR(34),"+"),CHAR(34),""),", "),
_xlpm._exists, SUMPRODUCT(--ISNUMBER(MATCH(_xlpm._platform_keywords,_xlpm._original_keywords,0)))&gt;0,
_xlfn.IFS(AND(_xlpm._exists,LEFT($E156,1)="+"),"+",_xlpm._exists,"*",NOT(_xlpm._exists),"")
)</f>
        <v/>
      </c>
      <c r="Q156" s="33" t="str" cm="1">
        <f t="array" aca="1" ref="Q15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($E156=CLASSIFICATION[[Keyword Aggr]:[Keyword Aggr]])*($D156=CLASSIFICATION[[Functional Scope Aggr]:[Functional Scope Aggr]])),
_xlpm._platform_keywords, _xlfn.TEXTSPLIT(SUBSTITUTE(SUBSTITUTE(VLOOKUP($D156,_xlpm._platform_range,3,FALSE),"+"&amp;CHAR(34),"+"),CHAR(34),""),", "),
_xlpm._exists, SUMPRODUCT(--ISNUMBER(MATCH(_xlpm._platform_keywords,_xlpm._original_keywords,0)))&gt;0,
_xlfn.IFS(_xlpm._exists,1,NOT(_xlpm._exists),"")
)</f>
        <v/>
      </c>
      <c r="R156" s="33" t="str" cm="1">
        <f t="array" aca="1" ref="R15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($E156=CLASSIFICATION[[Keyword Aggr]:[Keyword Aggr]])*($D156=CLASSIFICATION[[Functional Scope Aggr]:[Functional Scope Aggr]])),
_xlpm._platform_keywords, _xlfn.TEXTSPLIT(SUBSTITUTE(SUBSTITUTE(VLOOKUP($D156,_xlpm._platform_range,3,FALSE),"+"&amp;CHAR(34),"+"),CHAR(34),""),", "),
_xlpm._exists, SUMPRODUCT(--ISNUMBER(MATCH(_xlpm._platform_keywords,_xlpm._original_keywords,0)))&gt;0,
_xlfn.IFS(_xlpm._exists,1,NOT(_xlpm._exists),"")
)</f>
        <v/>
      </c>
      <c r="S156" s="33" t="str" cm="1">
        <f t="array" aca="1" ref="S15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($E156=CLASSIFICATION[[Keyword Aggr]:[Keyword Aggr]])*($D156=CLASSIFICATION[[Functional Scope Aggr]:[Functional Scope Aggr]])),
_xlpm._platform_keywords, _xlfn.TEXTSPLIT(SUBSTITUTE(SUBSTITUTE(VLOOKUP($D156,_xlpm._platform_range,3,FALSE),"+"&amp;CHAR(34),"+"),CHAR(34),""),", "),
_xlpm._exists, SUMPRODUCT(--ISNUMBER(MATCH(_xlpm._platform_keywords,_xlpm._original_keywords,0)))&gt;0,
_xlfn.IFS(_xlpm._exists,1,NOT(_xlpm._exists),"")
)</f>
        <v/>
      </c>
      <c r="T156" s="33" cm="1">
        <f t="array" aca="1" ref="T15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($E156=CLASSIFICATION[[Keyword Aggr]:[Keyword Aggr]])*($D156=CLASSIFICATION[[Functional Scope Aggr]:[Functional Scope Aggr]])),
_xlpm._platform_keywords, _xlfn.TEXTSPLIT(SUBSTITUTE(SUBSTITUTE(VLOOKUP($D156,_xlpm._platform_range,3,FALSE),"+"&amp;CHAR(34),"+"),CHAR(34),""),", "),
_xlpm._exists, SUMPRODUCT(--ISNUMBER(MATCH(_xlpm._platform_keywords,_xlpm._original_keywords,0)))&gt;0,
_xlfn.IFS(_xlpm._exists,1,NOT(_xlpm._exists),"")
)</f>
        <v>1</v>
      </c>
      <c r="U156" s="33" cm="1">
        <f t="array" aca="1" ref="U15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($E156=CLASSIFICATION[[Keyword Aggr]:[Keyword Aggr]])*($D156=CLASSIFICATION[[Functional Scope Aggr]:[Functional Scope Aggr]])),
_xlpm._platform_keywords, _xlfn.TEXTSPLIT(SUBSTITUTE(SUBSTITUTE(VLOOKUP($D156,_xlpm._platform_range,3,FALSE),"+"&amp;CHAR(34),"+"),CHAR(34),""),", "),
_xlpm._exists, SUMPRODUCT(--ISNUMBER(MATCH(_xlpm._platform_keywords,_xlpm._original_keywords,0)))&gt;0,
_xlfn.IFS(_xlpm._exists,1,NOT(_xlpm._exists),"")
)</f>
        <v>1</v>
      </c>
      <c r="V156" s="33" t="str" cm="1">
        <f t="array" aca="1" ref="V15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($E156=CLASSIFICATION[[Keyword Aggr]:[Keyword Aggr]])*($D156=CLASSIFICATION[[Functional Scope Aggr]:[Functional Scope Aggr]])),
_xlpm._platform_keywords, _xlfn.TEXTSPLIT(SUBSTITUTE(SUBSTITUTE(VLOOKUP($D156,_xlpm._platform_range,3,FALSE),"+"&amp;CHAR(34),"+"),CHAR(34),""),", "),
_xlpm._exists, SUMPRODUCT(--ISNUMBER(MATCH(_xlpm._platform_keywords,_xlpm._original_keywords,0)))&gt;0,
_xlfn.IFS(_xlpm._exists,1,NOT(_xlpm._exists),"")
)</f>
        <v/>
      </c>
      <c r="X156" s="33" t="str">
        <f t="shared" si="23"/>
        <v/>
      </c>
      <c r="Y156" s="33" t="str">
        <f t="shared" si="24"/>
        <v/>
      </c>
      <c r="Z156" s="33" t="str">
        <f t="shared" si="25"/>
        <v/>
      </c>
      <c r="AA156" s="33" t="str">
        <f t="shared" si="26"/>
        <v/>
      </c>
      <c r="AB156" s="33" t="str">
        <f t="shared" si="27"/>
        <v/>
      </c>
      <c r="AC156" s="33" t="str">
        <f t="shared" si="28"/>
        <v/>
      </c>
    </row>
    <row r="157" spans="1:29" x14ac:dyDescent="0.25">
      <c r="A157" s="19" t="str">
        <v>Development,Programming,XML</v>
      </c>
      <c r="B157" t="s">
        <v>377</v>
      </c>
      <c r="C157" s="19" t="str" cm="1">
        <f t="array" ref="C157:E157">_xlfn.TEXTSPLIT(A157,",")</f>
        <v>Development</v>
      </c>
      <c r="D157" s="19" t="str">
        <v>Programming</v>
      </c>
      <c r="E157" s="19" t="str">
        <v>XML</v>
      </c>
      <c r="F157" s="36" t="str" cm="1">
        <f t="array" ref="F157">_xlfn.TEXTJOIN(",",TRUE,_xlfn._xlws.FILTER(CLASSIFICATION[Keyword], ($E157=CLASSIFICATION[Keyword Aggr])*($D157=CLASSIFICATION[Functional Scope Aggr])))</f>
        <v>XML</v>
      </c>
      <c r="G157" s="32" t="str">
        <f t="shared" si="20"/>
        <v/>
      </c>
      <c r="H157" s="32" t="str">
        <f t="shared" si="21"/>
        <v/>
      </c>
      <c r="I157" s="32" t="str">
        <f t="shared" si="22"/>
        <v>XML</v>
      </c>
      <c r="J157" s="33" t="str" cm="1">
        <f t="array" aca="1" ref="J15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($E157=CLASSIFICATION[[Keyword Aggr]:[Keyword Aggr]])*($D157=CLASSIFICATION[[Functional Scope Aggr]:[Functional Scope Aggr]])),
_xlpm._platform_keywords, _xlfn.TEXTSPLIT(SUBSTITUTE(SUBSTITUTE(VLOOKUP($D157,_xlpm._platform_range,3,FALSE),"+"&amp;CHAR(34),"+"),CHAR(34),""),", "),
_xlpm._exists, SUMPRODUCT(--ISNUMBER(MATCH(_xlpm._platform_keywords,_xlpm._original_keywords,0)))&gt;0,
_xlfn.IFS(AND(_xlpm._exists,LEFT($E157,1)="+"),"+",_xlpm._exists,"*",NOT(_xlpm._exists),"")
)</f>
        <v/>
      </c>
      <c r="K157" s="33" t="str" cm="1">
        <f t="array" aca="1" ref="K15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($E157=CLASSIFICATION[[Keyword Aggr]:[Keyword Aggr]])*($D157=CLASSIFICATION[[Functional Scope Aggr]:[Functional Scope Aggr]])),
_xlpm._platform_keywords, _xlfn.TEXTSPLIT(SUBSTITUTE(SUBSTITUTE(VLOOKUP($D157,_xlpm._platform_range,3,FALSE),"+"&amp;CHAR(34),"+"),CHAR(34),""),", "),
_xlpm._exists, SUMPRODUCT(--ISNUMBER(MATCH(_xlpm._platform_keywords,_xlpm._original_keywords,0)))&gt;0,
_xlfn.IFS(AND(_xlpm._exists,LEFT($E157,1)="+"),"+",_xlpm._exists,"*",NOT(_xlpm._exists),"")
)</f>
        <v/>
      </c>
      <c r="L157" s="33" t="str" cm="1">
        <f t="array" aca="1" ref="L15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($E157=CLASSIFICATION[[Keyword Aggr]:[Keyword Aggr]])*($D157=CLASSIFICATION[[Functional Scope Aggr]:[Functional Scope Aggr]])),
_xlpm._platform_keywords, _xlfn.TEXTSPLIT(SUBSTITUTE(SUBSTITUTE(VLOOKUP($D157,_xlpm._platform_range,3,FALSE),"+"&amp;CHAR(34),"+"),CHAR(34),""),", "),
_xlpm._exists, SUMPRODUCT(--ISNUMBER(MATCH(_xlpm._platform_keywords,_xlpm._original_keywords,0)))&gt;0,
_xlfn.IFS(AND(_xlpm._exists,LEFT($E157,1)="+"),"+",_xlpm._exists,"*",NOT(_xlpm._exists),"")
)</f>
        <v/>
      </c>
      <c r="M157" s="33" t="str" cm="1">
        <f t="array" aca="1" ref="M15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($E157=CLASSIFICATION[[Keyword Aggr]:[Keyword Aggr]])*($D157=CLASSIFICATION[[Functional Scope Aggr]:[Functional Scope Aggr]])),
_xlpm._platform_keywords, _xlfn.TEXTSPLIT(SUBSTITUTE(SUBSTITUTE(VLOOKUP($D157,_xlpm._platform_range,3,FALSE),"+"&amp;CHAR(34),"+"),CHAR(34),""),", "),
_xlpm._exists, SUMPRODUCT(--ISNUMBER(MATCH(_xlpm._platform_keywords,_xlpm._original_keywords,0)))&gt;0,
_xlfn.IFS(AND(_xlpm._exists,LEFT($E157,1)="+"),"+",_xlpm._exists,"*",NOT(_xlpm._exists),"")
)</f>
        <v/>
      </c>
      <c r="N157" s="33" t="str" cm="1">
        <f t="array" aca="1" ref="N15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($E157=CLASSIFICATION[[Keyword Aggr]:[Keyword Aggr]])*($D157=CLASSIFICATION[[Functional Scope Aggr]:[Functional Scope Aggr]])),
_xlpm._platform_keywords, _xlfn.TEXTSPLIT(SUBSTITUTE(SUBSTITUTE(VLOOKUP($D157,_xlpm._platform_range,3,FALSE),"+"&amp;CHAR(34),"+"),CHAR(34),""),", "),
_xlpm._exists, SUMPRODUCT(--ISNUMBER(MATCH(_xlpm._platform_keywords,_xlpm._original_keywords,0)))&gt;0,
_xlfn.IFS(AND(_xlpm._exists,LEFT($E157,1)="+"),"+",_xlpm._exists,"*",NOT(_xlpm._exists),"")
)</f>
        <v>*</v>
      </c>
      <c r="O157" s="33" t="str" cm="1">
        <f t="array" aca="1" ref="O15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($E157=CLASSIFICATION[[Keyword Aggr]:[Keyword Aggr]])*($D157=CLASSIFICATION[[Functional Scope Aggr]:[Functional Scope Aggr]])),
_xlpm._platform_keywords, _xlfn.TEXTSPLIT(SUBSTITUTE(SUBSTITUTE(VLOOKUP($D157,_xlpm._platform_range,3,FALSE),"+"&amp;CHAR(34),"+"),CHAR(34),""),", "),
_xlpm._exists, SUMPRODUCT(--ISNUMBER(MATCH(_xlpm._platform_keywords,_xlpm._original_keywords,0)))&gt;0,
_xlfn.IFS(AND(_xlpm._exists,LEFT($E157,1)="+"),"+",_xlpm._exists,"*",NOT(_xlpm._exists),"")
)</f>
        <v>*</v>
      </c>
      <c r="Q157" s="33" t="str" cm="1">
        <f t="array" aca="1" ref="Q15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($E157=CLASSIFICATION[[Keyword Aggr]:[Keyword Aggr]])*($D157=CLASSIFICATION[[Functional Scope Aggr]:[Functional Scope Aggr]])),
_xlpm._platform_keywords, _xlfn.TEXTSPLIT(SUBSTITUTE(SUBSTITUTE(VLOOKUP($D157,_xlpm._platform_range,3,FALSE),"+"&amp;CHAR(34),"+"),CHAR(34),""),", "),
_xlpm._exists, SUMPRODUCT(--ISNUMBER(MATCH(_xlpm._platform_keywords,_xlpm._original_keywords,0)))&gt;0,
_xlfn.IFS(_xlpm._exists,1,NOT(_xlpm._exists),"")
)</f>
        <v/>
      </c>
      <c r="R157" s="33" t="str" cm="1">
        <f t="array" aca="1" ref="R15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($E157=CLASSIFICATION[[Keyword Aggr]:[Keyword Aggr]])*($D157=CLASSIFICATION[[Functional Scope Aggr]:[Functional Scope Aggr]])),
_xlpm._platform_keywords, _xlfn.TEXTSPLIT(SUBSTITUTE(SUBSTITUTE(VLOOKUP($D157,_xlpm._platform_range,3,FALSE),"+"&amp;CHAR(34),"+"),CHAR(34),""),", "),
_xlpm._exists, SUMPRODUCT(--ISNUMBER(MATCH(_xlpm._platform_keywords,_xlpm._original_keywords,0)))&gt;0,
_xlfn.IFS(_xlpm._exists,1,NOT(_xlpm._exists),"")
)</f>
        <v/>
      </c>
      <c r="S157" s="33" t="str" cm="1">
        <f t="array" aca="1" ref="S15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($E157=CLASSIFICATION[[Keyword Aggr]:[Keyword Aggr]])*($D157=CLASSIFICATION[[Functional Scope Aggr]:[Functional Scope Aggr]])),
_xlpm._platform_keywords, _xlfn.TEXTSPLIT(SUBSTITUTE(SUBSTITUTE(VLOOKUP($D157,_xlpm._platform_range,3,FALSE),"+"&amp;CHAR(34),"+"),CHAR(34),""),", "),
_xlpm._exists, SUMPRODUCT(--ISNUMBER(MATCH(_xlpm._platform_keywords,_xlpm._original_keywords,0)))&gt;0,
_xlfn.IFS(_xlpm._exists,1,NOT(_xlpm._exists),"")
)</f>
        <v/>
      </c>
      <c r="T157" s="33" t="str" cm="1">
        <f t="array" aca="1" ref="T15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($E157=CLASSIFICATION[[Keyword Aggr]:[Keyword Aggr]])*($D157=CLASSIFICATION[[Functional Scope Aggr]:[Functional Scope Aggr]])),
_xlpm._platform_keywords, _xlfn.TEXTSPLIT(SUBSTITUTE(SUBSTITUTE(VLOOKUP($D157,_xlpm._platform_range,3,FALSE),"+"&amp;CHAR(34),"+"),CHAR(34),""),", "),
_xlpm._exists, SUMPRODUCT(--ISNUMBER(MATCH(_xlpm._platform_keywords,_xlpm._original_keywords,0)))&gt;0,
_xlfn.IFS(_xlpm._exists,1,NOT(_xlpm._exists),"")
)</f>
        <v/>
      </c>
      <c r="U157" s="33" cm="1">
        <f t="array" aca="1" ref="U15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($E157=CLASSIFICATION[[Keyword Aggr]:[Keyword Aggr]])*($D157=CLASSIFICATION[[Functional Scope Aggr]:[Functional Scope Aggr]])),
_xlpm._platform_keywords, _xlfn.TEXTSPLIT(SUBSTITUTE(SUBSTITUTE(VLOOKUP($D157,_xlpm._platform_range,3,FALSE),"+"&amp;CHAR(34),"+"),CHAR(34),""),", "),
_xlpm._exists, SUMPRODUCT(--ISNUMBER(MATCH(_xlpm._platform_keywords,_xlpm._original_keywords,0)))&gt;0,
_xlfn.IFS(_xlpm._exists,1,NOT(_xlpm._exists),"")
)</f>
        <v>1</v>
      </c>
      <c r="V157" s="33" cm="1">
        <f t="array" aca="1" ref="V15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($E157=CLASSIFICATION[[Keyword Aggr]:[Keyword Aggr]])*($D157=CLASSIFICATION[[Functional Scope Aggr]:[Functional Scope Aggr]])),
_xlpm._platform_keywords, _xlfn.TEXTSPLIT(SUBSTITUTE(SUBSTITUTE(VLOOKUP($D157,_xlpm._platform_range,3,FALSE),"+"&amp;CHAR(34),"+"),CHAR(34),""),", "),
_xlpm._exists, SUMPRODUCT(--ISNUMBER(MATCH(_xlpm._platform_keywords,_xlpm._original_keywords,0)))&gt;0,
_xlfn.IFS(_xlpm._exists,1,NOT(_xlpm._exists),"")
)</f>
        <v>1</v>
      </c>
      <c r="X157" s="33" t="str">
        <f t="shared" si="23"/>
        <v/>
      </c>
      <c r="Y157" s="33" t="str">
        <f t="shared" si="24"/>
        <v/>
      </c>
      <c r="Z157" s="33" t="str">
        <f t="shared" si="25"/>
        <v/>
      </c>
      <c r="AA157" s="33" t="str">
        <f t="shared" si="26"/>
        <v/>
      </c>
      <c r="AB157" s="33" t="str">
        <f t="shared" si="27"/>
        <v/>
      </c>
      <c r="AC157" s="33" t="str">
        <f t="shared" si="28"/>
        <v/>
      </c>
    </row>
    <row r="158" spans="1:29" x14ac:dyDescent="0.25">
      <c r="A158" s="19" t="str">
        <v>Implementation,Runtime server installation,+Cloud Based Environment</v>
      </c>
      <c r="B158" t="s">
        <v>377</v>
      </c>
      <c r="C158" s="19" t="str" cm="1">
        <f t="array" ref="C158:E158">_xlfn.TEXTSPLIT(A158,",")</f>
        <v>Implementation</v>
      </c>
      <c r="D158" s="19" t="str">
        <v>Runtime server installation</v>
      </c>
      <c r="E158" s="19" t="str">
        <v>+Cloud Based Environment</v>
      </c>
      <c r="F158" s="36" t="str" cm="1">
        <f t="array" ref="F158">_xlfn.TEXTJOIN(",",TRUE,_xlfn._xlws.FILTER(CLASSIFICATION[Keyword], ($E158=CLASSIFICATION[Keyword Aggr])*($D158=CLASSIFICATION[Functional Scope Aggr])))</f>
        <v>+Cloud Based Environment</v>
      </c>
      <c r="G158" s="32" t="str">
        <f t="shared" si="20"/>
        <v>Implementation</v>
      </c>
      <c r="H158" s="32" t="str">
        <f t="shared" si="21"/>
        <v>Runtime server installation</v>
      </c>
      <c r="I158" s="32" t="str">
        <f t="shared" si="22"/>
        <v>+Cloud Based Environment</v>
      </c>
      <c r="J158" s="33" t="str" cm="1">
        <f t="array" aca="1" ref="J15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($E158=CLASSIFICATION[[Keyword Aggr]:[Keyword Aggr]])*($D158=CLASSIFICATION[[Functional Scope Aggr]:[Functional Scope Aggr]])),
_xlpm._platform_keywords, _xlfn.TEXTSPLIT(SUBSTITUTE(SUBSTITUTE(VLOOKUP($D158,_xlpm._platform_range,3,FALSE),"+"&amp;CHAR(34),"+"),CHAR(34),""),", "),
_xlpm._exists, SUMPRODUCT(--ISNUMBER(MATCH(_xlpm._platform_keywords,_xlpm._original_keywords,0)))&gt;0,
_xlfn.IFS(AND(_xlpm._exists,LEFT($E158,1)="+"),"+",_xlpm._exists,"*",NOT(_xlpm._exists),"")
)</f>
        <v/>
      </c>
      <c r="K158" s="33" t="str" cm="1">
        <f t="array" aca="1" ref="K15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($E158=CLASSIFICATION[[Keyword Aggr]:[Keyword Aggr]])*($D158=CLASSIFICATION[[Functional Scope Aggr]:[Functional Scope Aggr]])),
_xlpm._platform_keywords, _xlfn.TEXTSPLIT(SUBSTITUTE(SUBSTITUTE(VLOOKUP($D158,_xlpm._platform_range,3,FALSE),"+"&amp;CHAR(34),"+"),CHAR(34),""),", "),
_xlpm._exists, SUMPRODUCT(--ISNUMBER(MATCH(_xlpm._platform_keywords,_xlpm._original_keywords,0)))&gt;0,
_xlfn.IFS(AND(_xlpm._exists,LEFT($E158,1)="+"),"+",_xlpm._exists,"*",NOT(_xlpm._exists),"")
)</f>
        <v/>
      </c>
      <c r="L158" s="33" t="str" cm="1">
        <f t="array" aca="1" ref="L15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($E158=CLASSIFICATION[[Keyword Aggr]:[Keyword Aggr]])*($D158=CLASSIFICATION[[Functional Scope Aggr]:[Functional Scope Aggr]])),
_xlpm._platform_keywords, _xlfn.TEXTSPLIT(SUBSTITUTE(SUBSTITUTE(VLOOKUP($D158,_xlpm._platform_range,3,FALSE),"+"&amp;CHAR(34),"+"),CHAR(34),""),", "),
_xlpm._exists, SUMPRODUCT(--ISNUMBER(MATCH(_xlpm._platform_keywords,_xlpm._original_keywords,0)))&gt;0,
_xlfn.IFS(AND(_xlpm._exists,LEFT($E158,1)="+"),"+",_xlpm._exists,"*",NOT(_xlpm._exists),"")
)</f>
        <v/>
      </c>
      <c r="M158" s="33" t="str" cm="1">
        <f t="array" aca="1" ref="M15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($E158=CLASSIFICATION[[Keyword Aggr]:[Keyword Aggr]])*($D158=CLASSIFICATION[[Functional Scope Aggr]:[Functional Scope Aggr]])),
_xlpm._platform_keywords, _xlfn.TEXTSPLIT(SUBSTITUTE(SUBSTITUTE(VLOOKUP($D158,_xlpm._platform_range,3,FALSE),"+"&amp;CHAR(34),"+"),CHAR(34),""),", "),
_xlpm._exists, SUMPRODUCT(--ISNUMBER(MATCH(_xlpm._platform_keywords,_xlpm._original_keywords,0)))&gt;0,
_xlfn.IFS(AND(_xlpm._exists,LEFT($E158,1)="+"),"+",_xlpm._exists,"*",NOT(_xlpm._exists),"")
)</f>
        <v>+</v>
      </c>
      <c r="N158" s="33" t="str" cm="1">
        <f t="array" aca="1" ref="N15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($E158=CLASSIFICATION[[Keyword Aggr]:[Keyword Aggr]])*($D158=CLASSIFICATION[[Functional Scope Aggr]:[Functional Scope Aggr]])),
_xlpm._platform_keywords, _xlfn.TEXTSPLIT(SUBSTITUTE(SUBSTITUTE(VLOOKUP($D158,_xlpm._platform_range,3,FALSE),"+"&amp;CHAR(34),"+"),CHAR(34),""),", "),
_xlpm._exists, SUMPRODUCT(--ISNUMBER(MATCH(_xlpm._platform_keywords,_xlpm._original_keywords,0)))&gt;0,
_xlfn.IFS(AND(_xlpm._exists,LEFT($E158,1)="+"),"+",_xlpm._exists,"*",NOT(_xlpm._exists),"")
)</f>
        <v>+</v>
      </c>
      <c r="O158" s="33" t="str" cm="1">
        <f t="array" aca="1" ref="O15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($E158=CLASSIFICATION[[Keyword Aggr]:[Keyword Aggr]])*($D158=CLASSIFICATION[[Functional Scope Aggr]:[Functional Scope Aggr]])),
_xlpm._platform_keywords, _xlfn.TEXTSPLIT(SUBSTITUTE(SUBSTITUTE(VLOOKUP($D158,_xlpm._platform_range,3,FALSE),"+"&amp;CHAR(34),"+"),CHAR(34),""),", "),
_xlpm._exists, SUMPRODUCT(--ISNUMBER(MATCH(_xlpm._platform_keywords,_xlpm._original_keywords,0)))&gt;0,
_xlfn.IFS(AND(_xlpm._exists,LEFT($E158,1)="+"),"+",_xlpm._exists,"*",NOT(_xlpm._exists),"")
)</f>
        <v>+</v>
      </c>
      <c r="Q158" s="33" t="str" cm="1">
        <f t="array" aca="1" ref="Q15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($E158=CLASSIFICATION[[Keyword Aggr]:[Keyword Aggr]])*($D158=CLASSIFICATION[[Functional Scope Aggr]:[Functional Scope Aggr]])),
_xlpm._platform_keywords, _xlfn.TEXTSPLIT(SUBSTITUTE(SUBSTITUTE(VLOOKUP($D158,_xlpm._platform_range,3,FALSE),"+"&amp;CHAR(34),"+"),CHAR(34),""),", "),
_xlpm._exists, SUMPRODUCT(--ISNUMBER(MATCH(_xlpm._platform_keywords,_xlpm._original_keywords,0)))&gt;0,
_xlfn.IFS(_xlpm._exists,1,NOT(_xlpm._exists),"")
)</f>
        <v/>
      </c>
      <c r="R158" s="33" t="str" cm="1">
        <f t="array" aca="1" ref="R15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($E158=CLASSIFICATION[[Keyword Aggr]:[Keyword Aggr]])*($D158=CLASSIFICATION[[Functional Scope Aggr]:[Functional Scope Aggr]])),
_xlpm._platform_keywords, _xlfn.TEXTSPLIT(SUBSTITUTE(SUBSTITUTE(VLOOKUP($D158,_xlpm._platform_range,3,FALSE),"+"&amp;CHAR(34),"+"),CHAR(34),""),", "),
_xlpm._exists, SUMPRODUCT(--ISNUMBER(MATCH(_xlpm._platform_keywords,_xlpm._original_keywords,0)))&gt;0,
_xlfn.IFS(_xlpm._exists,1,NOT(_xlpm._exists),"")
)</f>
        <v/>
      </c>
      <c r="S158" s="33" t="str" cm="1">
        <f t="array" aca="1" ref="S15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($E158=CLASSIFICATION[[Keyword Aggr]:[Keyword Aggr]])*($D158=CLASSIFICATION[[Functional Scope Aggr]:[Functional Scope Aggr]])),
_xlpm._platform_keywords, _xlfn.TEXTSPLIT(SUBSTITUTE(SUBSTITUTE(VLOOKUP($D158,_xlpm._platform_range,3,FALSE),"+"&amp;CHAR(34),"+"),CHAR(34),""),", "),
_xlpm._exists, SUMPRODUCT(--ISNUMBER(MATCH(_xlpm._platform_keywords,_xlpm._original_keywords,0)))&gt;0,
_xlfn.IFS(_xlpm._exists,1,NOT(_xlpm._exists),"")
)</f>
        <v/>
      </c>
      <c r="T158" s="33" cm="1">
        <f t="array" aca="1" ref="T15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($E158=CLASSIFICATION[[Keyword Aggr]:[Keyword Aggr]])*($D158=CLASSIFICATION[[Functional Scope Aggr]:[Functional Scope Aggr]])),
_xlpm._platform_keywords, _xlfn.TEXTSPLIT(SUBSTITUTE(SUBSTITUTE(VLOOKUP($D158,_xlpm._platform_range,3,FALSE),"+"&amp;CHAR(34),"+"),CHAR(34),""),", "),
_xlpm._exists, SUMPRODUCT(--ISNUMBER(MATCH(_xlpm._platform_keywords,_xlpm._original_keywords,0)))&gt;0,
_xlfn.IFS(_xlpm._exists,1,NOT(_xlpm._exists),"")
)</f>
        <v>1</v>
      </c>
      <c r="U158" s="33" cm="1">
        <f t="array" aca="1" ref="U15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($E158=CLASSIFICATION[[Keyword Aggr]:[Keyword Aggr]])*($D158=CLASSIFICATION[[Functional Scope Aggr]:[Functional Scope Aggr]])),
_xlpm._platform_keywords, _xlfn.TEXTSPLIT(SUBSTITUTE(SUBSTITUTE(VLOOKUP($D158,_xlpm._platform_range,3,FALSE),"+"&amp;CHAR(34),"+"),CHAR(34),""),", "),
_xlpm._exists, SUMPRODUCT(--ISNUMBER(MATCH(_xlpm._platform_keywords,_xlpm._original_keywords,0)))&gt;0,
_xlfn.IFS(_xlpm._exists,1,NOT(_xlpm._exists),"")
)</f>
        <v>1</v>
      </c>
      <c r="V158" s="33" cm="1">
        <f t="array" aca="1" ref="V15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($E158=CLASSIFICATION[[Keyword Aggr]:[Keyword Aggr]])*($D158=CLASSIFICATION[[Functional Scope Aggr]:[Functional Scope Aggr]])),
_xlpm._platform_keywords, _xlfn.TEXTSPLIT(SUBSTITUTE(SUBSTITUTE(VLOOKUP($D158,_xlpm._platform_range,3,FALSE),"+"&amp;CHAR(34),"+"),CHAR(34),""),", "),
_xlpm._exists, SUMPRODUCT(--ISNUMBER(MATCH(_xlpm._platform_keywords,_xlpm._original_keywords,0)))&gt;0,
_xlfn.IFS(_xlpm._exists,1,NOT(_xlpm._exists),"")
)</f>
        <v>1</v>
      </c>
      <c r="X158" s="33">
        <f t="shared" ca="1" si="23"/>
        <v>12</v>
      </c>
      <c r="Y158" s="33">
        <f t="shared" ca="1" si="24"/>
        <v>7</v>
      </c>
      <c r="Z158" s="33">
        <f t="shared" ca="1" si="25"/>
        <v>4</v>
      </c>
      <c r="AA158" s="33">
        <f t="shared" ca="1" si="26"/>
        <v>0</v>
      </c>
      <c r="AB158" s="33">
        <f t="shared" ca="1" si="27"/>
        <v>1</v>
      </c>
      <c r="AC158" s="33">
        <f t="shared" ca="1" si="28"/>
        <v>1</v>
      </c>
    </row>
    <row r="159" spans="1:29" x14ac:dyDescent="0.25">
      <c r="A159" s="19" t="str">
        <v>Implementation,Runtime server installation,API</v>
      </c>
      <c r="B159" t="s">
        <v>377</v>
      </c>
      <c r="C159" s="19" t="str" cm="1">
        <f t="array" ref="C159:E159">_xlfn.TEXTSPLIT(A159,",")</f>
        <v>Implementation</v>
      </c>
      <c r="D159" s="19" t="str">
        <v>Runtime server installation</v>
      </c>
      <c r="E159" s="19" t="str">
        <v>API</v>
      </c>
      <c r="F159" s="36" t="str" cm="1">
        <f t="array" ref="F159">_xlfn.TEXTJOIN(",",TRUE,_xlfn._xlws.FILTER(CLASSIFICATION[Keyword], ($E159=CLASSIFICATION[Keyword Aggr])*($D159=CLASSIFICATION[Functional Scope Aggr])))</f>
        <v>API</v>
      </c>
      <c r="G159" s="32" t="str">
        <f t="shared" si="20"/>
        <v/>
      </c>
      <c r="H159" s="32" t="str">
        <f t="shared" si="21"/>
        <v/>
      </c>
      <c r="I159" s="32" t="str">
        <f t="shared" si="22"/>
        <v>API</v>
      </c>
      <c r="J159" s="33" t="str" cm="1">
        <f t="array" aca="1" ref="J15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($E159=CLASSIFICATION[[Keyword Aggr]:[Keyword Aggr]])*($D159=CLASSIFICATION[[Functional Scope Aggr]:[Functional Scope Aggr]])),
_xlpm._platform_keywords, _xlfn.TEXTSPLIT(SUBSTITUTE(SUBSTITUTE(VLOOKUP($D159,_xlpm._platform_range,3,FALSE),"+"&amp;CHAR(34),"+"),CHAR(34),""),", "),
_xlpm._exists, SUMPRODUCT(--ISNUMBER(MATCH(_xlpm._platform_keywords,_xlpm._original_keywords,0)))&gt;0,
_xlfn.IFS(AND(_xlpm._exists,LEFT($E159,1)="+"),"+",_xlpm._exists,"*",NOT(_xlpm._exists),"")
)</f>
        <v>*</v>
      </c>
      <c r="K159" s="33" t="str" cm="1">
        <f t="array" aca="1" ref="K15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($E159=CLASSIFICATION[[Keyword Aggr]:[Keyword Aggr]])*($D159=CLASSIFICATION[[Functional Scope Aggr]:[Functional Scope Aggr]])),
_xlpm._platform_keywords, _xlfn.TEXTSPLIT(SUBSTITUTE(SUBSTITUTE(VLOOKUP($D159,_xlpm._platform_range,3,FALSE),"+"&amp;CHAR(34),"+"),CHAR(34),""),", "),
_xlpm._exists, SUMPRODUCT(--ISNUMBER(MATCH(_xlpm._platform_keywords,_xlpm._original_keywords,0)))&gt;0,
_xlfn.IFS(AND(_xlpm._exists,LEFT($E159,1)="+"),"+",_xlpm._exists,"*",NOT(_xlpm._exists),"")
)</f>
        <v/>
      </c>
      <c r="L159" s="33" t="str" cm="1">
        <f t="array" aca="1" ref="L15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($E159=CLASSIFICATION[[Keyword Aggr]:[Keyword Aggr]])*($D159=CLASSIFICATION[[Functional Scope Aggr]:[Functional Scope Aggr]])),
_xlpm._platform_keywords, _xlfn.TEXTSPLIT(SUBSTITUTE(SUBSTITUTE(VLOOKUP($D159,_xlpm._platform_range,3,FALSE),"+"&amp;CHAR(34),"+"),CHAR(34),""),", "),
_xlpm._exists, SUMPRODUCT(--ISNUMBER(MATCH(_xlpm._platform_keywords,_xlpm._original_keywords,0)))&gt;0,
_xlfn.IFS(AND(_xlpm._exists,LEFT($E159,1)="+"),"+",_xlpm._exists,"*",NOT(_xlpm._exists),"")
)</f>
        <v/>
      </c>
      <c r="M159" s="33" t="str" cm="1">
        <f t="array" aca="1" ref="M15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($E159=CLASSIFICATION[[Keyword Aggr]:[Keyword Aggr]])*($D159=CLASSIFICATION[[Functional Scope Aggr]:[Functional Scope Aggr]])),
_xlpm._platform_keywords, _xlfn.TEXTSPLIT(SUBSTITUTE(SUBSTITUTE(VLOOKUP($D159,_xlpm._platform_range,3,FALSE),"+"&amp;CHAR(34),"+"),CHAR(34),""),", "),
_xlpm._exists, SUMPRODUCT(--ISNUMBER(MATCH(_xlpm._platform_keywords,_xlpm._original_keywords,0)))&gt;0,
_xlfn.IFS(AND(_xlpm._exists,LEFT($E159,1)="+"),"+",_xlpm._exists,"*",NOT(_xlpm._exists),"")
)</f>
        <v/>
      </c>
      <c r="N159" s="33" t="str" cm="1">
        <f t="array" aca="1" ref="N15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($E159=CLASSIFICATION[[Keyword Aggr]:[Keyword Aggr]])*($D159=CLASSIFICATION[[Functional Scope Aggr]:[Functional Scope Aggr]])),
_xlpm._platform_keywords, _xlfn.TEXTSPLIT(SUBSTITUTE(SUBSTITUTE(VLOOKUP($D159,_xlpm._platform_range,3,FALSE),"+"&amp;CHAR(34),"+"),CHAR(34),""),", "),
_xlpm._exists, SUMPRODUCT(--ISNUMBER(MATCH(_xlpm._platform_keywords,_xlpm._original_keywords,0)))&gt;0,
_xlfn.IFS(AND(_xlpm._exists,LEFT($E159,1)="+"),"+",_xlpm._exists,"*",NOT(_xlpm._exists),"")
)</f>
        <v/>
      </c>
      <c r="O159" s="33" t="str" cm="1">
        <f t="array" aca="1" ref="O15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($E159=CLASSIFICATION[[Keyword Aggr]:[Keyword Aggr]])*($D159=CLASSIFICATION[[Functional Scope Aggr]:[Functional Scope Aggr]])),
_xlpm._platform_keywords, _xlfn.TEXTSPLIT(SUBSTITUTE(SUBSTITUTE(VLOOKUP($D159,_xlpm._platform_range,3,FALSE),"+"&amp;CHAR(34),"+"),CHAR(34),""),", "),
_xlpm._exists, SUMPRODUCT(--ISNUMBER(MATCH(_xlpm._platform_keywords,_xlpm._original_keywords,0)))&gt;0,
_xlfn.IFS(AND(_xlpm._exists,LEFT($E159,1)="+"),"+",_xlpm._exists,"*",NOT(_xlpm._exists),"")
)</f>
        <v/>
      </c>
      <c r="Q159" s="33" cm="1">
        <f t="array" aca="1" ref="Q15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($E159=CLASSIFICATION[[Keyword Aggr]:[Keyword Aggr]])*($D159=CLASSIFICATION[[Functional Scope Aggr]:[Functional Scope Aggr]])),
_xlpm._platform_keywords, _xlfn.TEXTSPLIT(SUBSTITUTE(SUBSTITUTE(VLOOKUP($D159,_xlpm._platform_range,3,FALSE),"+"&amp;CHAR(34),"+"),CHAR(34),""),", "),
_xlpm._exists, SUMPRODUCT(--ISNUMBER(MATCH(_xlpm._platform_keywords,_xlpm._original_keywords,0)))&gt;0,
_xlfn.IFS(_xlpm._exists,1,NOT(_xlpm._exists),"")
)</f>
        <v>1</v>
      </c>
      <c r="R159" s="33" t="str" cm="1">
        <f t="array" aca="1" ref="R15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($E159=CLASSIFICATION[[Keyword Aggr]:[Keyword Aggr]])*($D159=CLASSIFICATION[[Functional Scope Aggr]:[Functional Scope Aggr]])),
_xlpm._platform_keywords, _xlfn.TEXTSPLIT(SUBSTITUTE(SUBSTITUTE(VLOOKUP($D159,_xlpm._platform_range,3,FALSE),"+"&amp;CHAR(34),"+"),CHAR(34),""),", "),
_xlpm._exists, SUMPRODUCT(--ISNUMBER(MATCH(_xlpm._platform_keywords,_xlpm._original_keywords,0)))&gt;0,
_xlfn.IFS(_xlpm._exists,1,NOT(_xlpm._exists),"")
)</f>
        <v/>
      </c>
      <c r="S159" s="33" t="str" cm="1">
        <f t="array" aca="1" ref="S15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($E159=CLASSIFICATION[[Keyword Aggr]:[Keyword Aggr]])*($D159=CLASSIFICATION[[Functional Scope Aggr]:[Functional Scope Aggr]])),
_xlpm._platform_keywords, _xlfn.TEXTSPLIT(SUBSTITUTE(SUBSTITUTE(VLOOKUP($D159,_xlpm._platform_range,3,FALSE),"+"&amp;CHAR(34),"+"),CHAR(34),""),", "),
_xlpm._exists, SUMPRODUCT(--ISNUMBER(MATCH(_xlpm._platform_keywords,_xlpm._original_keywords,0)))&gt;0,
_xlfn.IFS(_xlpm._exists,1,NOT(_xlpm._exists),"")
)</f>
        <v/>
      </c>
      <c r="T159" s="33" t="str" cm="1">
        <f t="array" aca="1" ref="T15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($E159=CLASSIFICATION[[Keyword Aggr]:[Keyword Aggr]])*($D159=CLASSIFICATION[[Functional Scope Aggr]:[Functional Scope Aggr]])),
_xlpm._platform_keywords, _xlfn.TEXTSPLIT(SUBSTITUTE(SUBSTITUTE(VLOOKUP($D159,_xlpm._platform_range,3,FALSE),"+"&amp;CHAR(34),"+"),CHAR(34),""),", "),
_xlpm._exists, SUMPRODUCT(--ISNUMBER(MATCH(_xlpm._platform_keywords,_xlpm._original_keywords,0)))&gt;0,
_xlfn.IFS(_xlpm._exists,1,NOT(_xlpm._exists),"")
)</f>
        <v/>
      </c>
      <c r="U159" s="33" t="str" cm="1">
        <f t="array" aca="1" ref="U15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($E159=CLASSIFICATION[[Keyword Aggr]:[Keyword Aggr]])*($D159=CLASSIFICATION[[Functional Scope Aggr]:[Functional Scope Aggr]])),
_xlpm._platform_keywords, _xlfn.TEXTSPLIT(SUBSTITUTE(SUBSTITUTE(VLOOKUP($D159,_xlpm._platform_range,3,FALSE),"+"&amp;CHAR(34),"+"),CHAR(34),""),", "),
_xlpm._exists, SUMPRODUCT(--ISNUMBER(MATCH(_xlpm._platform_keywords,_xlpm._original_keywords,0)))&gt;0,
_xlfn.IFS(_xlpm._exists,1,NOT(_xlpm._exists),"")
)</f>
        <v/>
      </c>
      <c r="V159" s="33" t="str" cm="1">
        <f t="array" aca="1" ref="V15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($E159=CLASSIFICATION[[Keyword Aggr]:[Keyword Aggr]])*($D159=CLASSIFICATION[[Functional Scope Aggr]:[Functional Scope Aggr]])),
_xlpm._platform_keywords, _xlfn.TEXTSPLIT(SUBSTITUTE(SUBSTITUTE(VLOOKUP($D159,_xlpm._platform_range,3,FALSE),"+"&amp;CHAR(34),"+"),CHAR(34),""),", "),
_xlpm._exists, SUMPRODUCT(--ISNUMBER(MATCH(_xlpm._platform_keywords,_xlpm._original_keywords,0)))&gt;0,
_xlfn.IFS(_xlpm._exists,1,NOT(_xlpm._exists),"")
)</f>
        <v/>
      </c>
      <c r="X159" s="33" t="str">
        <f t="shared" si="23"/>
        <v/>
      </c>
      <c r="Y159" s="33" t="str">
        <f t="shared" si="24"/>
        <v/>
      </c>
      <c r="Z159" s="33" t="str">
        <f t="shared" si="25"/>
        <v/>
      </c>
      <c r="AA159" s="33" t="str">
        <f t="shared" si="26"/>
        <v/>
      </c>
      <c r="AB159" s="33" t="str">
        <f t="shared" si="27"/>
        <v/>
      </c>
      <c r="AC159" s="33" t="str">
        <f t="shared" si="28"/>
        <v/>
      </c>
    </row>
    <row r="160" spans="1:29" x14ac:dyDescent="0.25">
      <c r="A160" s="19" t="str">
        <v>Implementation,Runtime server installation,Compiler Service</v>
      </c>
      <c r="B160" t="s">
        <v>377</v>
      </c>
      <c r="C160" s="19" t="str" cm="1">
        <f t="array" ref="C160:E160">_xlfn.TEXTSPLIT(A160,",")</f>
        <v>Implementation</v>
      </c>
      <c r="D160" s="19" t="str">
        <v>Runtime server installation</v>
      </c>
      <c r="E160" s="19" t="str">
        <v>Compiler Service</v>
      </c>
      <c r="F160" s="36" t="str" cm="1">
        <f t="array" ref="F160">_xlfn.TEXTJOIN(",",TRUE,_xlfn._xlws.FILTER(CLASSIFICATION[Keyword], ($E160=CLASSIFICATION[Keyword Aggr])*($D160=CLASSIFICATION[Functional Scope Aggr])))</f>
        <v>Compiler Service</v>
      </c>
      <c r="G160" s="32" t="str">
        <f t="shared" si="20"/>
        <v/>
      </c>
      <c r="H160" s="32" t="str">
        <f t="shared" si="21"/>
        <v/>
      </c>
      <c r="I160" s="32" t="str">
        <f t="shared" si="22"/>
        <v>Compiler Service</v>
      </c>
      <c r="J160" s="33" t="str" cm="1">
        <f t="array" aca="1" ref="J16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($E160=CLASSIFICATION[[Keyword Aggr]:[Keyword Aggr]])*($D160=CLASSIFICATION[[Functional Scope Aggr]:[Functional Scope Aggr]])),
_xlpm._platform_keywords, _xlfn.TEXTSPLIT(SUBSTITUTE(SUBSTITUTE(VLOOKUP($D160,_xlpm._platform_range,3,FALSE),"+"&amp;CHAR(34),"+"),CHAR(34),""),", "),
_xlpm._exists, SUMPRODUCT(--ISNUMBER(MATCH(_xlpm._platform_keywords,_xlpm._original_keywords,0)))&gt;0,
_xlfn.IFS(AND(_xlpm._exists,LEFT($E160,1)="+"),"+",_xlpm._exists,"*",NOT(_xlpm._exists),"")
)</f>
        <v/>
      </c>
      <c r="K160" s="33" t="str" cm="1">
        <f t="array" aca="1" ref="K16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($E160=CLASSIFICATION[[Keyword Aggr]:[Keyword Aggr]])*($D160=CLASSIFICATION[[Functional Scope Aggr]:[Functional Scope Aggr]])),
_xlpm._platform_keywords, _xlfn.TEXTSPLIT(SUBSTITUTE(SUBSTITUTE(VLOOKUP($D160,_xlpm._platform_range,3,FALSE),"+"&amp;CHAR(34),"+"),CHAR(34),""),", "),
_xlpm._exists, SUMPRODUCT(--ISNUMBER(MATCH(_xlpm._platform_keywords,_xlpm._original_keywords,0)))&gt;0,
_xlfn.IFS(AND(_xlpm._exists,LEFT($E160,1)="+"),"+",_xlpm._exists,"*",NOT(_xlpm._exists),"")
)</f>
        <v>*</v>
      </c>
      <c r="L160" s="33" t="str" cm="1">
        <f t="array" aca="1" ref="L16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($E160=CLASSIFICATION[[Keyword Aggr]:[Keyword Aggr]])*($D160=CLASSIFICATION[[Functional Scope Aggr]:[Functional Scope Aggr]])),
_xlpm._platform_keywords, _xlfn.TEXTSPLIT(SUBSTITUTE(SUBSTITUTE(VLOOKUP($D160,_xlpm._platform_range,3,FALSE),"+"&amp;CHAR(34),"+"),CHAR(34),""),", "),
_xlpm._exists, SUMPRODUCT(--ISNUMBER(MATCH(_xlpm._platform_keywords,_xlpm._original_keywords,0)))&gt;0,
_xlfn.IFS(AND(_xlpm._exists,LEFT($E160,1)="+"),"+",_xlpm._exists,"*",NOT(_xlpm._exists),"")
)</f>
        <v/>
      </c>
      <c r="M160" s="33" t="str" cm="1">
        <f t="array" aca="1" ref="M16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($E160=CLASSIFICATION[[Keyword Aggr]:[Keyword Aggr]])*($D160=CLASSIFICATION[[Functional Scope Aggr]:[Functional Scope Aggr]])),
_xlpm._platform_keywords, _xlfn.TEXTSPLIT(SUBSTITUTE(SUBSTITUTE(VLOOKUP($D160,_xlpm._platform_range,3,FALSE),"+"&amp;CHAR(34),"+"),CHAR(34),""),", "),
_xlpm._exists, SUMPRODUCT(--ISNUMBER(MATCH(_xlpm._platform_keywords,_xlpm._original_keywords,0)))&gt;0,
_xlfn.IFS(AND(_xlpm._exists,LEFT($E160,1)="+"),"+",_xlpm._exists,"*",NOT(_xlpm._exists),"")
)</f>
        <v/>
      </c>
      <c r="N160" s="33" t="str" cm="1">
        <f t="array" aca="1" ref="N16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($E160=CLASSIFICATION[[Keyword Aggr]:[Keyword Aggr]])*($D160=CLASSIFICATION[[Functional Scope Aggr]:[Functional Scope Aggr]])),
_xlpm._platform_keywords, _xlfn.TEXTSPLIT(SUBSTITUTE(SUBSTITUTE(VLOOKUP($D160,_xlpm._platform_range,3,FALSE),"+"&amp;CHAR(34),"+"),CHAR(34),""),", "),
_xlpm._exists, SUMPRODUCT(--ISNUMBER(MATCH(_xlpm._platform_keywords,_xlpm._original_keywords,0)))&gt;0,
_xlfn.IFS(AND(_xlpm._exists,LEFT($E160,1)="+"),"+",_xlpm._exists,"*",NOT(_xlpm._exists),"")
)</f>
        <v/>
      </c>
      <c r="O160" s="33" t="str" cm="1">
        <f t="array" aca="1" ref="O16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($E160=CLASSIFICATION[[Keyword Aggr]:[Keyword Aggr]])*($D160=CLASSIFICATION[[Functional Scope Aggr]:[Functional Scope Aggr]])),
_xlpm._platform_keywords, _xlfn.TEXTSPLIT(SUBSTITUTE(SUBSTITUTE(VLOOKUP($D160,_xlpm._platform_range,3,FALSE),"+"&amp;CHAR(34),"+"),CHAR(34),""),", "),
_xlpm._exists, SUMPRODUCT(--ISNUMBER(MATCH(_xlpm._platform_keywords,_xlpm._original_keywords,0)))&gt;0,
_xlfn.IFS(AND(_xlpm._exists,LEFT($E160,1)="+"),"+",_xlpm._exists,"*",NOT(_xlpm._exists),"")
)</f>
        <v/>
      </c>
      <c r="Q160" s="33" t="str" cm="1">
        <f t="array" aca="1" ref="Q16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($E160=CLASSIFICATION[[Keyword Aggr]:[Keyword Aggr]])*($D160=CLASSIFICATION[[Functional Scope Aggr]:[Functional Scope Aggr]])),
_xlpm._platform_keywords, _xlfn.TEXTSPLIT(SUBSTITUTE(SUBSTITUTE(VLOOKUP($D160,_xlpm._platform_range,3,FALSE),"+"&amp;CHAR(34),"+"),CHAR(34),""),", "),
_xlpm._exists, SUMPRODUCT(--ISNUMBER(MATCH(_xlpm._platform_keywords,_xlpm._original_keywords,0)))&gt;0,
_xlfn.IFS(_xlpm._exists,1,NOT(_xlpm._exists),"")
)</f>
        <v/>
      </c>
      <c r="R160" s="33" cm="1">
        <f t="array" aca="1" ref="R16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($E160=CLASSIFICATION[[Keyword Aggr]:[Keyword Aggr]])*($D160=CLASSIFICATION[[Functional Scope Aggr]:[Functional Scope Aggr]])),
_xlpm._platform_keywords, _xlfn.TEXTSPLIT(SUBSTITUTE(SUBSTITUTE(VLOOKUP($D160,_xlpm._platform_range,3,FALSE),"+"&amp;CHAR(34),"+"),CHAR(34),""),", "),
_xlpm._exists, SUMPRODUCT(--ISNUMBER(MATCH(_xlpm._platform_keywords,_xlpm._original_keywords,0)))&gt;0,
_xlfn.IFS(_xlpm._exists,1,NOT(_xlpm._exists),"")
)</f>
        <v>1</v>
      </c>
      <c r="S160" s="33" t="str" cm="1">
        <f t="array" aca="1" ref="S16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($E160=CLASSIFICATION[[Keyword Aggr]:[Keyword Aggr]])*($D160=CLASSIFICATION[[Functional Scope Aggr]:[Functional Scope Aggr]])),
_xlpm._platform_keywords, _xlfn.TEXTSPLIT(SUBSTITUTE(SUBSTITUTE(VLOOKUP($D160,_xlpm._platform_range,3,FALSE),"+"&amp;CHAR(34),"+"),CHAR(34),""),", "),
_xlpm._exists, SUMPRODUCT(--ISNUMBER(MATCH(_xlpm._platform_keywords,_xlpm._original_keywords,0)))&gt;0,
_xlfn.IFS(_xlpm._exists,1,NOT(_xlpm._exists),"")
)</f>
        <v/>
      </c>
      <c r="T160" s="33" t="str" cm="1">
        <f t="array" aca="1" ref="T16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($E160=CLASSIFICATION[[Keyword Aggr]:[Keyword Aggr]])*($D160=CLASSIFICATION[[Functional Scope Aggr]:[Functional Scope Aggr]])),
_xlpm._platform_keywords, _xlfn.TEXTSPLIT(SUBSTITUTE(SUBSTITUTE(VLOOKUP($D160,_xlpm._platform_range,3,FALSE),"+"&amp;CHAR(34),"+"),CHAR(34),""),", "),
_xlpm._exists, SUMPRODUCT(--ISNUMBER(MATCH(_xlpm._platform_keywords,_xlpm._original_keywords,0)))&gt;0,
_xlfn.IFS(_xlpm._exists,1,NOT(_xlpm._exists),"")
)</f>
        <v/>
      </c>
      <c r="U160" s="33" t="str" cm="1">
        <f t="array" aca="1" ref="U16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($E160=CLASSIFICATION[[Keyword Aggr]:[Keyword Aggr]])*($D160=CLASSIFICATION[[Functional Scope Aggr]:[Functional Scope Aggr]])),
_xlpm._platform_keywords, _xlfn.TEXTSPLIT(SUBSTITUTE(SUBSTITUTE(VLOOKUP($D160,_xlpm._platform_range,3,FALSE),"+"&amp;CHAR(34),"+"),CHAR(34),""),", "),
_xlpm._exists, SUMPRODUCT(--ISNUMBER(MATCH(_xlpm._platform_keywords,_xlpm._original_keywords,0)))&gt;0,
_xlfn.IFS(_xlpm._exists,1,NOT(_xlpm._exists),"")
)</f>
        <v/>
      </c>
      <c r="V160" s="33" t="str" cm="1">
        <f t="array" aca="1" ref="V16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($E160=CLASSIFICATION[[Keyword Aggr]:[Keyword Aggr]])*($D160=CLASSIFICATION[[Functional Scope Aggr]:[Functional Scope Aggr]])),
_xlpm._platform_keywords, _xlfn.TEXTSPLIT(SUBSTITUTE(SUBSTITUTE(VLOOKUP($D160,_xlpm._platform_range,3,FALSE),"+"&amp;CHAR(34),"+"),CHAR(34),""),", "),
_xlpm._exists, SUMPRODUCT(--ISNUMBER(MATCH(_xlpm._platform_keywords,_xlpm._original_keywords,0)))&gt;0,
_xlfn.IFS(_xlpm._exists,1,NOT(_xlpm._exists),"")
)</f>
        <v/>
      </c>
      <c r="X160" s="33" t="str">
        <f t="shared" si="23"/>
        <v/>
      </c>
      <c r="Y160" s="33" t="str">
        <f t="shared" si="24"/>
        <v/>
      </c>
      <c r="Z160" s="33" t="str">
        <f t="shared" si="25"/>
        <v/>
      </c>
      <c r="AA160" s="33" t="str">
        <f t="shared" si="26"/>
        <v/>
      </c>
      <c r="AB160" s="33" t="str">
        <f t="shared" si="27"/>
        <v/>
      </c>
      <c r="AC160" s="33" t="str">
        <f t="shared" si="28"/>
        <v/>
      </c>
    </row>
    <row r="161" spans="1:29" x14ac:dyDescent="0.25">
      <c r="A161" s="19" t="str">
        <v>Implementation,Runtime server installation,Database Synchronization</v>
      </c>
      <c r="B161" t="s">
        <v>377</v>
      </c>
      <c r="C161" s="19" t="str" cm="1">
        <f t="array" ref="C161:E161">_xlfn.TEXTSPLIT(A161,",")</f>
        <v>Implementation</v>
      </c>
      <c r="D161" s="19" t="str">
        <v>Runtime server installation</v>
      </c>
      <c r="E161" s="19" t="str">
        <v>Database Synchronization</v>
      </c>
      <c r="F161" s="36" t="str" cm="1">
        <f t="array" ref="F161">_xlfn.TEXTJOIN(",",TRUE,_xlfn._xlws.FILTER(CLASSIFICATION[Keyword], ($E161=CLASSIFICATION[Keyword Aggr])*($D161=CLASSIFICATION[Functional Scope Aggr])))</f>
        <v>Database Synchronization</v>
      </c>
      <c r="G161" s="32" t="str">
        <f t="shared" si="20"/>
        <v/>
      </c>
      <c r="H161" s="32" t="str">
        <f t="shared" si="21"/>
        <v/>
      </c>
      <c r="I161" s="32" t="str">
        <f t="shared" si="22"/>
        <v>Database Synchronization</v>
      </c>
      <c r="J161" s="33" t="str" cm="1">
        <f t="array" aca="1" ref="J16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($E161=CLASSIFICATION[[Keyword Aggr]:[Keyword Aggr]])*($D161=CLASSIFICATION[[Functional Scope Aggr]:[Functional Scope Aggr]])),
_xlpm._platform_keywords, _xlfn.TEXTSPLIT(SUBSTITUTE(SUBSTITUTE(VLOOKUP($D161,_xlpm._platform_range,3,FALSE),"+"&amp;CHAR(34),"+"),CHAR(34),""),", "),
_xlpm._exists, SUMPRODUCT(--ISNUMBER(MATCH(_xlpm._platform_keywords,_xlpm._original_keywords,0)))&gt;0,
_xlfn.IFS(AND(_xlpm._exists,LEFT($E161,1)="+"),"+",_xlpm._exists,"*",NOT(_xlpm._exists),"")
)</f>
        <v>*</v>
      </c>
      <c r="K161" s="33" t="str" cm="1">
        <f t="array" aca="1" ref="K16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($E161=CLASSIFICATION[[Keyword Aggr]:[Keyword Aggr]])*($D161=CLASSIFICATION[[Functional Scope Aggr]:[Functional Scope Aggr]])),
_xlpm._platform_keywords, _xlfn.TEXTSPLIT(SUBSTITUTE(SUBSTITUTE(VLOOKUP($D161,_xlpm._platform_range,3,FALSE),"+"&amp;CHAR(34),"+"),CHAR(34),""),", "),
_xlpm._exists, SUMPRODUCT(--ISNUMBER(MATCH(_xlpm._platform_keywords,_xlpm._original_keywords,0)))&gt;0,
_xlfn.IFS(AND(_xlpm._exists,LEFT($E161,1)="+"),"+",_xlpm._exists,"*",NOT(_xlpm._exists),"")
)</f>
        <v/>
      </c>
      <c r="L161" s="33" t="str" cm="1">
        <f t="array" aca="1" ref="L16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($E161=CLASSIFICATION[[Keyword Aggr]:[Keyword Aggr]])*($D161=CLASSIFICATION[[Functional Scope Aggr]:[Functional Scope Aggr]])),
_xlpm._platform_keywords, _xlfn.TEXTSPLIT(SUBSTITUTE(SUBSTITUTE(VLOOKUP($D161,_xlpm._platform_range,3,FALSE),"+"&amp;CHAR(34),"+"),CHAR(34),""),", "),
_xlpm._exists, SUMPRODUCT(--ISNUMBER(MATCH(_xlpm._platform_keywords,_xlpm._original_keywords,0)))&gt;0,
_xlfn.IFS(AND(_xlpm._exists,LEFT($E161,1)="+"),"+",_xlpm._exists,"*",NOT(_xlpm._exists),"")
)</f>
        <v/>
      </c>
      <c r="M161" s="33" t="str" cm="1">
        <f t="array" aca="1" ref="M16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($E161=CLASSIFICATION[[Keyword Aggr]:[Keyword Aggr]])*($D161=CLASSIFICATION[[Functional Scope Aggr]:[Functional Scope Aggr]])),
_xlpm._platform_keywords, _xlfn.TEXTSPLIT(SUBSTITUTE(SUBSTITUTE(VLOOKUP($D161,_xlpm._platform_range,3,FALSE),"+"&amp;CHAR(34),"+"),CHAR(34),""),", "),
_xlpm._exists, SUMPRODUCT(--ISNUMBER(MATCH(_xlpm._platform_keywords,_xlpm._original_keywords,0)))&gt;0,
_xlfn.IFS(AND(_xlpm._exists,LEFT($E161,1)="+"),"+",_xlpm._exists,"*",NOT(_xlpm._exists),"")
)</f>
        <v/>
      </c>
      <c r="N161" s="33" t="str" cm="1">
        <f t="array" aca="1" ref="N16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($E161=CLASSIFICATION[[Keyword Aggr]:[Keyword Aggr]])*($D161=CLASSIFICATION[[Functional Scope Aggr]:[Functional Scope Aggr]])),
_xlpm._platform_keywords, _xlfn.TEXTSPLIT(SUBSTITUTE(SUBSTITUTE(VLOOKUP($D161,_xlpm._platform_range,3,FALSE),"+"&amp;CHAR(34),"+"),CHAR(34),""),", "),
_xlpm._exists, SUMPRODUCT(--ISNUMBER(MATCH(_xlpm._platform_keywords,_xlpm._original_keywords,0)))&gt;0,
_xlfn.IFS(AND(_xlpm._exists,LEFT($E161,1)="+"),"+",_xlpm._exists,"*",NOT(_xlpm._exists),"")
)</f>
        <v/>
      </c>
      <c r="O161" s="33" t="str" cm="1">
        <f t="array" aca="1" ref="O16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($E161=CLASSIFICATION[[Keyword Aggr]:[Keyword Aggr]])*($D161=CLASSIFICATION[[Functional Scope Aggr]:[Functional Scope Aggr]])),
_xlpm._platform_keywords, _xlfn.TEXTSPLIT(SUBSTITUTE(SUBSTITUTE(VLOOKUP($D161,_xlpm._platform_range,3,FALSE),"+"&amp;CHAR(34),"+"),CHAR(34),""),", "),
_xlpm._exists, SUMPRODUCT(--ISNUMBER(MATCH(_xlpm._platform_keywords,_xlpm._original_keywords,0)))&gt;0,
_xlfn.IFS(AND(_xlpm._exists,LEFT($E161,1)="+"),"+",_xlpm._exists,"*",NOT(_xlpm._exists),"")
)</f>
        <v/>
      </c>
      <c r="Q161" s="33" cm="1">
        <f t="array" aca="1" ref="Q16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($E161=CLASSIFICATION[[Keyword Aggr]:[Keyword Aggr]])*($D161=CLASSIFICATION[[Functional Scope Aggr]:[Functional Scope Aggr]])),
_xlpm._platform_keywords, _xlfn.TEXTSPLIT(SUBSTITUTE(SUBSTITUTE(VLOOKUP($D161,_xlpm._platform_range,3,FALSE),"+"&amp;CHAR(34),"+"),CHAR(34),""),", "),
_xlpm._exists, SUMPRODUCT(--ISNUMBER(MATCH(_xlpm._platform_keywords,_xlpm._original_keywords,0)))&gt;0,
_xlfn.IFS(_xlpm._exists,1,NOT(_xlpm._exists),"")
)</f>
        <v>1</v>
      </c>
      <c r="R161" s="33" t="str" cm="1">
        <f t="array" aca="1" ref="R16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($E161=CLASSIFICATION[[Keyword Aggr]:[Keyword Aggr]])*($D161=CLASSIFICATION[[Functional Scope Aggr]:[Functional Scope Aggr]])),
_xlpm._platform_keywords, _xlfn.TEXTSPLIT(SUBSTITUTE(SUBSTITUTE(VLOOKUP($D161,_xlpm._platform_range,3,FALSE),"+"&amp;CHAR(34),"+"),CHAR(34),""),", "),
_xlpm._exists, SUMPRODUCT(--ISNUMBER(MATCH(_xlpm._platform_keywords,_xlpm._original_keywords,0)))&gt;0,
_xlfn.IFS(_xlpm._exists,1,NOT(_xlpm._exists),"")
)</f>
        <v/>
      </c>
      <c r="S161" s="33" t="str" cm="1">
        <f t="array" aca="1" ref="S16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($E161=CLASSIFICATION[[Keyword Aggr]:[Keyword Aggr]])*($D161=CLASSIFICATION[[Functional Scope Aggr]:[Functional Scope Aggr]])),
_xlpm._platform_keywords, _xlfn.TEXTSPLIT(SUBSTITUTE(SUBSTITUTE(VLOOKUP($D161,_xlpm._platform_range,3,FALSE),"+"&amp;CHAR(34),"+"),CHAR(34),""),", "),
_xlpm._exists, SUMPRODUCT(--ISNUMBER(MATCH(_xlpm._platform_keywords,_xlpm._original_keywords,0)))&gt;0,
_xlfn.IFS(_xlpm._exists,1,NOT(_xlpm._exists),"")
)</f>
        <v/>
      </c>
      <c r="T161" s="33" t="str" cm="1">
        <f t="array" aca="1" ref="T16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($E161=CLASSIFICATION[[Keyword Aggr]:[Keyword Aggr]])*($D161=CLASSIFICATION[[Functional Scope Aggr]:[Functional Scope Aggr]])),
_xlpm._platform_keywords, _xlfn.TEXTSPLIT(SUBSTITUTE(SUBSTITUTE(VLOOKUP($D161,_xlpm._platform_range,3,FALSE),"+"&amp;CHAR(34),"+"),CHAR(34),""),", "),
_xlpm._exists, SUMPRODUCT(--ISNUMBER(MATCH(_xlpm._platform_keywords,_xlpm._original_keywords,0)))&gt;0,
_xlfn.IFS(_xlpm._exists,1,NOT(_xlpm._exists),"")
)</f>
        <v/>
      </c>
      <c r="U161" s="33" t="str" cm="1">
        <f t="array" aca="1" ref="U16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($E161=CLASSIFICATION[[Keyword Aggr]:[Keyword Aggr]])*($D161=CLASSIFICATION[[Functional Scope Aggr]:[Functional Scope Aggr]])),
_xlpm._platform_keywords, _xlfn.TEXTSPLIT(SUBSTITUTE(SUBSTITUTE(VLOOKUP($D161,_xlpm._platform_range,3,FALSE),"+"&amp;CHAR(34),"+"),CHAR(34),""),", "),
_xlpm._exists, SUMPRODUCT(--ISNUMBER(MATCH(_xlpm._platform_keywords,_xlpm._original_keywords,0)))&gt;0,
_xlfn.IFS(_xlpm._exists,1,NOT(_xlpm._exists),"")
)</f>
        <v/>
      </c>
      <c r="V161" s="33" t="str" cm="1">
        <f t="array" aca="1" ref="V16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($E161=CLASSIFICATION[[Keyword Aggr]:[Keyword Aggr]])*($D161=CLASSIFICATION[[Functional Scope Aggr]:[Functional Scope Aggr]])),
_xlpm._platform_keywords, _xlfn.TEXTSPLIT(SUBSTITUTE(SUBSTITUTE(VLOOKUP($D161,_xlpm._platform_range,3,FALSE),"+"&amp;CHAR(34),"+"),CHAR(34),""),", "),
_xlpm._exists, SUMPRODUCT(--ISNUMBER(MATCH(_xlpm._platform_keywords,_xlpm._original_keywords,0)))&gt;0,
_xlfn.IFS(_xlpm._exists,1,NOT(_xlpm._exists),"")
)</f>
        <v/>
      </c>
      <c r="X161" s="33" t="str">
        <f t="shared" si="23"/>
        <v/>
      </c>
      <c r="Y161" s="33" t="str">
        <f t="shared" si="24"/>
        <v/>
      </c>
      <c r="Z161" s="33" t="str">
        <f t="shared" si="25"/>
        <v/>
      </c>
      <c r="AA161" s="33" t="str">
        <f t="shared" si="26"/>
        <v/>
      </c>
      <c r="AB161" s="33" t="str">
        <f t="shared" si="27"/>
        <v/>
      </c>
      <c r="AC161" s="33" t="str">
        <f t="shared" si="28"/>
        <v/>
      </c>
    </row>
    <row r="162" spans="1:29" x14ac:dyDescent="0.25">
      <c r="A162" s="19" t="str">
        <v>Implementation,Runtime server installation,Deployment Controller Service</v>
      </c>
      <c r="B162" t="s">
        <v>377</v>
      </c>
      <c r="C162" s="19" t="str" cm="1">
        <f t="array" ref="C162:E162">_xlfn.TEXTSPLIT(A162,",")</f>
        <v>Implementation</v>
      </c>
      <c r="D162" s="19" t="str">
        <v>Runtime server installation</v>
      </c>
      <c r="E162" s="19" t="str">
        <v>Deployment Controller Service</v>
      </c>
      <c r="F162" s="36" t="str" cm="1">
        <f t="array" ref="F162">_xlfn.TEXTJOIN(",",TRUE,_xlfn._xlws.FILTER(CLASSIFICATION[Keyword], ($E162=CLASSIFICATION[Keyword Aggr])*($D162=CLASSIFICATION[Functional Scope Aggr])))</f>
        <v>Deployment Controller Service</v>
      </c>
      <c r="G162" s="32" t="str">
        <f t="shared" si="20"/>
        <v/>
      </c>
      <c r="H162" s="32" t="str">
        <f t="shared" si="21"/>
        <v/>
      </c>
      <c r="I162" s="32" t="str">
        <f t="shared" si="22"/>
        <v>Deployment Controller Service</v>
      </c>
      <c r="J162" s="33" t="str" cm="1">
        <f t="array" aca="1" ref="J16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($E162=CLASSIFICATION[[Keyword Aggr]:[Keyword Aggr]])*($D162=CLASSIFICATION[[Functional Scope Aggr]:[Functional Scope Aggr]])),
_xlpm._platform_keywords, _xlfn.TEXTSPLIT(SUBSTITUTE(SUBSTITUTE(VLOOKUP($D162,_xlpm._platform_range,3,FALSE),"+"&amp;CHAR(34),"+"),CHAR(34),""),", "),
_xlpm._exists, SUMPRODUCT(--ISNUMBER(MATCH(_xlpm._platform_keywords,_xlpm._original_keywords,0)))&gt;0,
_xlfn.IFS(AND(_xlpm._exists,LEFT($E162,1)="+"),"+",_xlpm._exists,"*",NOT(_xlpm._exists),"")
)</f>
        <v/>
      </c>
      <c r="K162" s="33" t="str" cm="1">
        <f t="array" aca="1" ref="K16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($E162=CLASSIFICATION[[Keyword Aggr]:[Keyword Aggr]])*($D162=CLASSIFICATION[[Functional Scope Aggr]:[Functional Scope Aggr]])),
_xlpm._platform_keywords, _xlfn.TEXTSPLIT(SUBSTITUTE(SUBSTITUTE(VLOOKUP($D162,_xlpm._platform_range,3,FALSE),"+"&amp;CHAR(34),"+"),CHAR(34),""),", "),
_xlpm._exists, SUMPRODUCT(--ISNUMBER(MATCH(_xlpm._platform_keywords,_xlpm._original_keywords,0)))&gt;0,
_xlfn.IFS(AND(_xlpm._exists,LEFT($E162,1)="+"),"+",_xlpm._exists,"*",NOT(_xlpm._exists),"")
)</f>
        <v>*</v>
      </c>
      <c r="L162" s="33" t="str" cm="1">
        <f t="array" aca="1" ref="L16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($E162=CLASSIFICATION[[Keyword Aggr]:[Keyword Aggr]])*($D162=CLASSIFICATION[[Functional Scope Aggr]:[Functional Scope Aggr]])),
_xlpm._platform_keywords, _xlfn.TEXTSPLIT(SUBSTITUTE(SUBSTITUTE(VLOOKUP($D162,_xlpm._platform_range,3,FALSE),"+"&amp;CHAR(34),"+"),CHAR(34),""),", "),
_xlpm._exists, SUMPRODUCT(--ISNUMBER(MATCH(_xlpm._platform_keywords,_xlpm._original_keywords,0)))&gt;0,
_xlfn.IFS(AND(_xlpm._exists,LEFT($E162,1)="+"),"+",_xlpm._exists,"*",NOT(_xlpm._exists),"")
)</f>
        <v/>
      </c>
      <c r="M162" s="33" t="str" cm="1">
        <f t="array" aca="1" ref="M16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($E162=CLASSIFICATION[[Keyword Aggr]:[Keyword Aggr]])*($D162=CLASSIFICATION[[Functional Scope Aggr]:[Functional Scope Aggr]])),
_xlpm._platform_keywords, _xlfn.TEXTSPLIT(SUBSTITUTE(SUBSTITUTE(VLOOKUP($D162,_xlpm._platform_range,3,FALSE),"+"&amp;CHAR(34),"+"),CHAR(34),""),", "),
_xlpm._exists, SUMPRODUCT(--ISNUMBER(MATCH(_xlpm._platform_keywords,_xlpm._original_keywords,0)))&gt;0,
_xlfn.IFS(AND(_xlpm._exists,LEFT($E162,1)="+"),"+",_xlpm._exists,"*",NOT(_xlpm._exists),"")
)</f>
        <v/>
      </c>
      <c r="N162" s="33" t="str" cm="1">
        <f t="array" aca="1" ref="N16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($E162=CLASSIFICATION[[Keyword Aggr]:[Keyword Aggr]])*($D162=CLASSIFICATION[[Functional Scope Aggr]:[Functional Scope Aggr]])),
_xlpm._platform_keywords, _xlfn.TEXTSPLIT(SUBSTITUTE(SUBSTITUTE(VLOOKUP($D162,_xlpm._platform_range,3,FALSE),"+"&amp;CHAR(34),"+"),CHAR(34),""),", "),
_xlpm._exists, SUMPRODUCT(--ISNUMBER(MATCH(_xlpm._platform_keywords,_xlpm._original_keywords,0)))&gt;0,
_xlfn.IFS(AND(_xlpm._exists,LEFT($E162,1)="+"),"+",_xlpm._exists,"*",NOT(_xlpm._exists),"")
)</f>
        <v/>
      </c>
      <c r="O162" s="33" t="str" cm="1">
        <f t="array" aca="1" ref="O16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($E162=CLASSIFICATION[[Keyword Aggr]:[Keyword Aggr]])*($D162=CLASSIFICATION[[Functional Scope Aggr]:[Functional Scope Aggr]])),
_xlpm._platform_keywords, _xlfn.TEXTSPLIT(SUBSTITUTE(SUBSTITUTE(VLOOKUP($D162,_xlpm._platform_range,3,FALSE),"+"&amp;CHAR(34),"+"),CHAR(34),""),", "),
_xlpm._exists, SUMPRODUCT(--ISNUMBER(MATCH(_xlpm._platform_keywords,_xlpm._original_keywords,0)))&gt;0,
_xlfn.IFS(AND(_xlpm._exists,LEFT($E162,1)="+"),"+",_xlpm._exists,"*",NOT(_xlpm._exists),"")
)</f>
        <v/>
      </c>
      <c r="Q162" s="33" t="str" cm="1">
        <f t="array" aca="1" ref="Q16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($E162=CLASSIFICATION[[Keyword Aggr]:[Keyword Aggr]])*($D162=CLASSIFICATION[[Functional Scope Aggr]:[Functional Scope Aggr]])),
_xlpm._platform_keywords, _xlfn.TEXTSPLIT(SUBSTITUTE(SUBSTITUTE(VLOOKUP($D162,_xlpm._platform_range,3,FALSE),"+"&amp;CHAR(34),"+"),CHAR(34),""),", "),
_xlpm._exists, SUMPRODUCT(--ISNUMBER(MATCH(_xlpm._platform_keywords,_xlpm._original_keywords,0)))&gt;0,
_xlfn.IFS(_xlpm._exists,1,NOT(_xlpm._exists),"")
)</f>
        <v/>
      </c>
      <c r="R162" s="33" cm="1">
        <f t="array" aca="1" ref="R16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($E162=CLASSIFICATION[[Keyword Aggr]:[Keyword Aggr]])*($D162=CLASSIFICATION[[Functional Scope Aggr]:[Functional Scope Aggr]])),
_xlpm._platform_keywords, _xlfn.TEXTSPLIT(SUBSTITUTE(SUBSTITUTE(VLOOKUP($D162,_xlpm._platform_range,3,FALSE),"+"&amp;CHAR(34),"+"),CHAR(34),""),", "),
_xlpm._exists, SUMPRODUCT(--ISNUMBER(MATCH(_xlpm._platform_keywords,_xlpm._original_keywords,0)))&gt;0,
_xlfn.IFS(_xlpm._exists,1,NOT(_xlpm._exists),"")
)</f>
        <v>1</v>
      </c>
      <c r="S162" s="33" t="str" cm="1">
        <f t="array" aca="1" ref="S16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($E162=CLASSIFICATION[[Keyword Aggr]:[Keyword Aggr]])*($D162=CLASSIFICATION[[Functional Scope Aggr]:[Functional Scope Aggr]])),
_xlpm._platform_keywords, _xlfn.TEXTSPLIT(SUBSTITUTE(SUBSTITUTE(VLOOKUP($D162,_xlpm._platform_range,3,FALSE),"+"&amp;CHAR(34),"+"),CHAR(34),""),", "),
_xlpm._exists, SUMPRODUCT(--ISNUMBER(MATCH(_xlpm._platform_keywords,_xlpm._original_keywords,0)))&gt;0,
_xlfn.IFS(_xlpm._exists,1,NOT(_xlpm._exists),"")
)</f>
        <v/>
      </c>
      <c r="T162" s="33" t="str" cm="1">
        <f t="array" aca="1" ref="T16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($E162=CLASSIFICATION[[Keyword Aggr]:[Keyword Aggr]])*($D162=CLASSIFICATION[[Functional Scope Aggr]:[Functional Scope Aggr]])),
_xlpm._platform_keywords, _xlfn.TEXTSPLIT(SUBSTITUTE(SUBSTITUTE(VLOOKUP($D162,_xlpm._platform_range,3,FALSE),"+"&amp;CHAR(34),"+"),CHAR(34),""),", "),
_xlpm._exists, SUMPRODUCT(--ISNUMBER(MATCH(_xlpm._platform_keywords,_xlpm._original_keywords,0)))&gt;0,
_xlfn.IFS(_xlpm._exists,1,NOT(_xlpm._exists),"")
)</f>
        <v/>
      </c>
      <c r="U162" s="33" t="str" cm="1">
        <f t="array" aca="1" ref="U16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($E162=CLASSIFICATION[[Keyword Aggr]:[Keyword Aggr]])*($D162=CLASSIFICATION[[Functional Scope Aggr]:[Functional Scope Aggr]])),
_xlpm._platform_keywords, _xlfn.TEXTSPLIT(SUBSTITUTE(SUBSTITUTE(VLOOKUP($D162,_xlpm._platform_range,3,FALSE),"+"&amp;CHAR(34),"+"),CHAR(34),""),", "),
_xlpm._exists, SUMPRODUCT(--ISNUMBER(MATCH(_xlpm._platform_keywords,_xlpm._original_keywords,0)))&gt;0,
_xlfn.IFS(_xlpm._exists,1,NOT(_xlpm._exists),"")
)</f>
        <v/>
      </c>
      <c r="V162" s="33" t="str" cm="1">
        <f t="array" aca="1" ref="V16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($E162=CLASSIFICATION[[Keyword Aggr]:[Keyword Aggr]])*($D162=CLASSIFICATION[[Functional Scope Aggr]:[Functional Scope Aggr]])),
_xlpm._platform_keywords, _xlfn.TEXTSPLIT(SUBSTITUTE(SUBSTITUTE(VLOOKUP($D162,_xlpm._platform_range,3,FALSE),"+"&amp;CHAR(34),"+"),CHAR(34),""),", "),
_xlpm._exists, SUMPRODUCT(--ISNUMBER(MATCH(_xlpm._platform_keywords,_xlpm._original_keywords,0)))&gt;0,
_xlfn.IFS(_xlpm._exists,1,NOT(_xlpm._exists),"")
)</f>
        <v/>
      </c>
      <c r="X162" s="33" t="str">
        <f t="shared" si="23"/>
        <v/>
      </c>
      <c r="Y162" s="33" t="str">
        <f t="shared" si="24"/>
        <v/>
      </c>
      <c r="Z162" s="33" t="str">
        <f t="shared" si="25"/>
        <v/>
      </c>
      <c r="AA162" s="33" t="str">
        <f t="shared" si="26"/>
        <v/>
      </c>
      <c r="AB162" s="33" t="str">
        <f t="shared" si="27"/>
        <v/>
      </c>
      <c r="AC162" s="33" t="str">
        <f t="shared" si="28"/>
        <v/>
      </c>
    </row>
    <row r="163" spans="1:29" x14ac:dyDescent="0.25">
      <c r="A163" s="19" t="str">
        <v>Implementation,Runtime server installation,Email Server (SMTP)</v>
      </c>
      <c r="B163" t="s">
        <v>377</v>
      </c>
      <c r="C163" s="19" t="str" cm="1">
        <f t="array" ref="C163:E163">_xlfn.TEXTSPLIT(A163,",")</f>
        <v>Implementation</v>
      </c>
      <c r="D163" s="19" t="str">
        <v>Runtime server installation</v>
      </c>
      <c r="E163" s="19" t="str">
        <v>Email Server (SMTP)</v>
      </c>
      <c r="F163" s="36" t="str" cm="1">
        <f t="array" ref="F163">_xlfn.TEXTJOIN(",",TRUE,_xlfn._xlws.FILTER(CLASSIFICATION[Keyword], ($E163=CLASSIFICATION[Keyword Aggr])*($D163=CLASSIFICATION[Functional Scope Aggr])))</f>
        <v>Email Server (SMTP)</v>
      </c>
      <c r="G163" s="32" t="str">
        <f t="shared" si="20"/>
        <v/>
      </c>
      <c r="H163" s="32" t="str">
        <f t="shared" si="21"/>
        <v/>
      </c>
      <c r="I163" s="32" t="str">
        <f t="shared" si="22"/>
        <v>Email Server (SMTP)</v>
      </c>
      <c r="J163" s="33" t="str" cm="1">
        <f t="array" aca="1" ref="J16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($E163=CLASSIFICATION[[Keyword Aggr]:[Keyword Aggr]])*($D163=CLASSIFICATION[[Functional Scope Aggr]:[Functional Scope Aggr]])),
_xlpm._platform_keywords, _xlfn.TEXTSPLIT(SUBSTITUTE(SUBSTITUTE(VLOOKUP($D163,_xlpm._platform_range,3,FALSE),"+"&amp;CHAR(34),"+"),CHAR(34),""),", "),
_xlpm._exists, SUMPRODUCT(--ISNUMBER(MATCH(_xlpm._platform_keywords,_xlpm._original_keywords,0)))&gt;0,
_xlfn.IFS(AND(_xlpm._exists,LEFT($E163,1)="+"),"+",_xlpm._exists,"*",NOT(_xlpm._exists),"")
)</f>
        <v/>
      </c>
      <c r="K163" s="33" t="str" cm="1">
        <f t="array" aca="1" ref="K16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($E163=CLASSIFICATION[[Keyword Aggr]:[Keyword Aggr]])*($D163=CLASSIFICATION[[Functional Scope Aggr]:[Functional Scope Aggr]])),
_xlpm._platform_keywords, _xlfn.TEXTSPLIT(SUBSTITUTE(SUBSTITUTE(VLOOKUP($D163,_xlpm._platform_range,3,FALSE),"+"&amp;CHAR(34),"+"),CHAR(34),""),", "),
_xlpm._exists, SUMPRODUCT(--ISNUMBER(MATCH(_xlpm._platform_keywords,_xlpm._original_keywords,0)))&gt;0,
_xlfn.IFS(AND(_xlpm._exists,LEFT($E163,1)="+"),"+",_xlpm._exists,"*",NOT(_xlpm._exists),"")
)</f>
        <v/>
      </c>
      <c r="L163" s="33" t="str" cm="1">
        <f t="array" aca="1" ref="L16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($E163=CLASSIFICATION[[Keyword Aggr]:[Keyword Aggr]])*($D163=CLASSIFICATION[[Functional Scope Aggr]:[Functional Scope Aggr]])),
_xlpm._platform_keywords, _xlfn.TEXTSPLIT(SUBSTITUTE(SUBSTITUTE(VLOOKUP($D163,_xlpm._platform_range,3,FALSE),"+"&amp;CHAR(34),"+"),CHAR(34),""),", "),
_xlpm._exists, SUMPRODUCT(--ISNUMBER(MATCH(_xlpm._platform_keywords,_xlpm._original_keywords,0)))&gt;0,
_xlfn.IFS(AND(_xlpm._exists,LEFT($E163,1)="+"),"+",_xlpm._exists,"*",NOT(_xlpm._exists),"")
)</f>
        <v>*</v>
      </c>
      <c r="M163" s="33" t="str" cm="1">
        <f t="array" aca="1" ref="M16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($E163=CLASSIFICATION[[Keyword Aggr]:[Keyword Aggr]])*($D163=CLASSIFICATION[[Functional Scope Aggr]:[Functional Scope Aggr]])),
_xlpm._platform_keywords, _xlfn.TEXTSPLIT(SUBSTITUTE(SUBSTITUTE(VLOOKUP($D163,_xlpm._platform_range,3,FALSE),"+"&amp;CHAR(34),"+"),CHAR(34),""),", "),
_xlpm._exists, SUMPRODUCT(--ISNUMBER(MATCH(_xlpm._platform_keywords,_xlpm._original_keywords,0)))&gt;0,
_xlfn.IFS(AND(_xlpm._exists,LEFT($E163,1)="+"),"+",_xlpm._exists,"*",NOT(_xlpm._exists),"")
)</f>
        <v/>
      </c>
      <c r="N163" s="33" t="str" cm="1">
        <f t="array" aca="1" ref="N16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($E163=CLASSIFICATION[[Keyword Aggr]:[Keyword Aggr]])*($D163=CLASSIFICATION[[Functional Scope Aggr]:[Functional Scope Aggr]])),
_xlpm._platform_keywords, _xlfn.TEXTSPLIT(SUBSTITUTE(SUBSTITUTE(VLOOKUP($D163,_xlpm._platform_range,3,FALSE),"+"&amp;CHAR(34),"+"),CHAR(34),""),", "),
_xlpm._exists, SUMPRODUCT(--ISNUMBER(MATCH(_xlpm._platform_keywords,_xlpm._original_keywords,0)))&gt;0,
_xlfn.IFS(AND(_xlpm._exists,LEFT($E163,1)="+"),"+",_xlpm._exists,"*",NOT(_xlpm._exists),"")
)</f>
        <v/>
      </c>
      <c r="O163" s="33" t="str" cm="1">
        <f t="array" aca="1" ref="O16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($E163=CLASSIFICATION[[Keyword Aggr]:[Keyword Aggr]])*($D163=CLASSIFICATION[[Functional Scope Aggr]:[Functional Scope Aggr]])),
_xlpm._platform_keywords, _xlfn.TEXTSPLIT(SUBSTITUTE(SUBSTITUTE(VLOOKUP($D163,_xlpm._platform_range,3,FALSE),"+"&amp;CHAR(34),"+"),CHAR(34),""),", "),
_xlpm._exists, SUMPRODUCT(--ISNUMBER(MATCH(_xlpm._platform_keywords,_xlpm._original_keywords,0)))&gt;0,
_xlfn.IFS(AND(_xlpm._exists,LEFT($E163,1)="+"),"+",_xlpm._exists,"*",NOT(_xlpm._exists),"")
)</f>
        <v>*</v>
      </c>
      <c r="Q163" s="33" t="str" cm="1">
        <f t="array" aca="1" ref="Q16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($E163=CLASSIFICATION[[Keyword Aggr]:[Keyword Aggr]])*($D163=CLASSIFICATION[[Functional Scope Aggr]:[Functional Scope Aggr]])),
_xlpm._platform_keywords, _xlfn.TEXTSPLIT(SUBSTITUTE(SUBSTITUTE(VLOOKUP($D163,_xlpm._platform_range,3,FALSE),"+"&amp;CHAR(34),"+"),CHAR(34),""),", "),
_xlpm._exists, SUMPRODUCT(--ISNUMBER(MATCH(_xlpm._platform_keywords,_xlpm._original_keywords,0)))&gt;0,
_xlfn.IFS(_xlpm._exists,1,NOT(_xlpm._exists),"")
)</f>
        <v/>
      </c>
      <c r="R163" s="33" t="str" cm="1">
        <f t="array" aca="1" ref="R16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($E163=CLASSIFICATION[[Keyword Aggr]:[Keyword Aggr]])*($D163=CLASSIFICATION[[Functional Scope Aggr]:[Functional Scope Aggr]])),
_xlpm._platform_keywords, _xlfn.TEXTSPLIT(SUBSTITUTE(SUBSTITUTE(VLOOKUP($D163,_xlpm._platform_range,3,FALSE),"+"&amp;CHAR(34),"+"),CHAR(34),""),", "),
_xlpm._exists, SUMPRODUCT(--ISNUMBER(MATCH(_xlpm._platform_keywords,_xlpm._original_keywords,0)))&gt;0,
_xlfn.IFS(_xlpm._exists,1,NOT(_xlpm._exists),"")
)</f>
        <v/>
      </c>
      <c r="S163" s="33" cm="1">
        <f t="array" aca="1" ref="S16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($E163=CLASSIFICATION[[Keyword Aggr]:[Keyword Aggr]])*($D163=CLASSIFICATION[[Functional Scope Aggr]:[Functional Scope Aggr]])),
_xlpm._platform_keywords, _xlfn.TEXTSPLIT(SUBSTITUTE(SUBSTITUTE(VLOOKUP($D163,_xlpm._platform_range,3,FALSE),"+"&amp;CHAR(34),"+"),CHAR(34),""),", "),
_xlpm._exists, SUMPRODUCT(--ISNUMBER(MATCH(_xlpm._platform_keywords,_xlpm._original_keywords,0)))&gt;0,
_xlfn.IFS(_xlpm._exists,1,NOT(_xlpm._exists),"")
)</f>
        <v>1</v>
      </c>
      <c r="T163" s="33" t="str" cm="1">
        <f t="array" aca="1" ref="T16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($E163=CLASSIFICATION[[Keyword Aggr]:[Keyword Aggr]])*($D163=CLASSIFICATION[[Functional Scope Aggr]:[Functional Scope Aggr]])),
_xlpm._platform_keywords, _xlfn.TEXTSPLIT(SUBSTITUTE(SUBSTITUTE(VLOOKUP($D163,_xlpm._platform_range,3,FALSE),"+"&amp;CHAR(34),"+"),CHAR(34),""),", "),
_xlpm._exists, SUMPRODUCT(--ISNUMBER(MATCH(_xlpm._platform_keywords,_xlpm._original_keywords,0)))&gt;0,
_xlfn.IFS(_xlpm._exists,1,NOT(_xlpm._exists),"")
)</f>
        <v/>
      </c>
      <c r="U163" s="33" t="str" cm="1">
        <f t="array" aca="1" ref="U16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($E163=CLASSIFICATION[[Keyword Aggr]:[Keyword Aggr]])*($D163=CLASSIFICATION[[Functional Scope Aggr]:[Functional Scope Aggr]])),
_xlpm._platform_keywords, _xlfn.TEXTSPLIT(SUBSTITUTE(SUBSTITUTE(VLOOKUP($D163,_xlpm._platform_range,3,FALSE),"+"&amp;CHAR(34),"+"),CHAR(34),""),", "),
_xlpm._exists, SUMPRODUCT(--ISNUMBER(MATCH(_xlpm._platform_keywords,_xlpm._original_keywords,0)))&gt;0,
_xlfn.IFS(_xlpm._exists,1,NOT(_xlpm._exists),"")
)</f>
        <v/>
      </c>
      <c r="V163" s="33" cm="1">
        <f t="array" aca="1" ref="V16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($E163=CLASSIFICATION[[Keyword Aggr]:[Keyword Aggr]])*($D163=CLASSIFICATION[[Functional Scope Aggr]:[Functional Scope Aggr]])),
_xlpm._platform_keywords, _xlfn.TEXTSPLIT(SUBSTITUTE(SUBSTITUTE(VLOOKUP($D163,_xlpm._platform_range,3,FALSE),"+"&amp;CHAR(34),"+"),CHAR(34),""),", "),
_xlpm._exists, SUMPRODUCT(--ISNUMBER(MATCH(_xlpm._platform_keywords,_xlpm._original_keywords,0)))&gt;0,
_xlfn.IFS(_xlpm._exists,1,NOT(_xlpm._exists),"")
)</f>
        <v>1</v>
      </c>
      <c r="X163" s="33" t="str">
        <f t="shared" si="23"/>
        <v/>
      </c>
      <c r="Y163" s="33" t="str">
        <f t="shared" si="24"/>
        <v/>
      </c>
      <c r="Z163" s="33" t="str">
        <f t="shared" si="25"/>
        <v/>
      </c>
      <c r="AA163" s="33" t="str">
        <f t="shared" si="26"/>
        <v/>
      </c>
      <c r="AB163" s="33" t="str">
        <f t="shared" si="27"/>
        <v/>
      </c>
      <c r="AC163" s="33" t="str">
        <f t="shared" si="28"/>
        <v/>
      </c>
    </row>
    <row r="164" spans="1:29" x14ac:dyDescent="0.25">
      <c r="A164" s="19" t="str">
        <v>Implementation,Runtime server installation,File Storage</v>
      </c>
      <c r="B164" t="s">
        <v>377</v>
      </c>
      <c r="C164" s="19" t="str" cm="1">
        <f t="array" ref="C164:E164">_xlfn.TEXTSPLIT(A164,",")</f>
        <v>Implementation</v>
      </c>
      <c r="D164" s="19" t="str">
        <v>Runtime server installation</v>
      </c>
      <c r="E164" s="19" t="str">
        <v>File Storage</v>
      </c>
      <c r="F164" s="36" t="str" cm="1">
        <f t="array" ref="F164">_xlfn.TEXTJOIN(",",TRUE,_xlfn._xlws.FILTER(CLASSIFICATION[Keyword], ($E164=CLASSIFICATION[Keyword Aggr])*($D164=CLASSIFICATION[Functional Scope Aggr])))</f>
        <v>File Storage</v>
      </c>
      <c r="G164" s="32" t="str">
        <f t="shared" si="20"/>
        <v/>
      </c>
      <c r="H164" s="32" t="str">
        <f t="shared" si="21"/>
        <v/>
      </c>
      <c r="I164" s="32" t="str">
        <f t="shared" si="22"/>
        <v>File Storage</v>
      </c>
      <c r="J164" s="33" t="str" cm="1">
        <f t="array" aca="1" ref="J16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($E164=CLASSIFICATION[[Keyword Aggr]:[Keyword Aggr]])*($D164=CLASSIFICATION[[Functional Scope Aggr]:[Functional Scope Aggr]])),
_xlpm._platform_keywords, _xlfn.TEXTSPLIT(SUBSTITUTE(SUBSTITUTE(VLOOKUP($D164,_xlpm._platform_range,3,FALSE),"+"&amp;CHAR(34),"+"),CHAR(34),""),", "),
_xlpm._exists, SUMPRODUCT(--ISNUMBER(MATCH(_xlpm._platform_keywords,_xlpm._original_keywords,0)))&gt;0,
_xlfn.IFS(AND(_xlpm._exists,LEFT($E164,1)="+"),"+",_xlpm._exists,"*",NOT(_xlpm._exists),"")
)</f>
        <v>*</v>
      </c>
      <c r="K164" s="33" t="str" cm="1">
        <f t="array" aca="1" ref="K16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($E164=CLASSIFICATION[[Keyword Aggr]:[Keyword Aggr]])*($D164=CLASSIFICATION[[Functional Scope Aggr]:[Functional Scope Aggr]])),
_xlpm._platform_keywords, _xlfn.TEXTSPLIT(SUBSTITUTE(SUBSTITUTE(VLOOKUP($D164,_xlpm._platform_range,3,FALSE),"+"&amp;CHAR(34),"+"),CHAR(34),""),", "),
_xlpm._exists, SUMPRODUCT(--ISNUMBER(MATCH(_xlpm._platform_keywords,_xlpm._original_keywords,0)))&gt;0,
_xlfn.IFS(AND(_xlpm._exists,LEFT($E164,1)="+"),"+",_xlpm._exists,"*",NOT(_xlpm._exists),"")
)</f>
        <v/>
      </c>
      <c r="L164" s="33" t="str" cm="1">
        <f t="array" aca="1" ref="L16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($E164=CLASSIFICATION[[Keyword Aggr]:[Keyword Aggr]])*($D164=CLASSIFICATION[[Functional Scope Aggr]:[Functional Scope Aggr]])),
_xlpm._platform_keywords, _xlfn.TEXTSPLIT(SUBSTITUTE(SUBSTITUTE(VLOOKUP($D164,_xlpm._platform_range,3,FALSE),"+"&amp;CHAR(34),"+"),CHAR(34),""),", "),
_xlpm._exists, SUMPRODUCT(--ISNUMBER(MATCH(_xlpm._platform_keywords,_xlpm._original_keywords,0)))&gt;0,
_xlfn.IFS(AND(_xlpm._exists,LEFT($E164,1)="+"),"+",_xlpm._exists,"*",NOT(_xlpm._exists),"")
)</f>
        <v/>
      </c>
      <c r="M164" s="33" t="str" cm="1">
        <f t="array" aca="1" ref="M16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($E164=CLASSIFICATION[[Keyword Aggr]:[Keyword Aggr]])*($D164=CLASSIFICATION[[Functional Scope Aggr]:[Functional Scope Aggr]])),
_xlpm._platform_keywords, _xlfn.TEXTSPLIT(SUBSTITUTE(SUBSTITUTE(VLOOKUP($D164,_xlpm._platform_range,3,FALSE),"+"&amp;CHAR(34),"+"),CHAR(34),""),", "),
_xlpm._exists, SUMPRODUCT(--ISNUMBER(MATCH(_xlpm._platform_keywords,_xlpm._original_keywords,0)))&gt;0,
_xlfn.IFS(AND(_xlpm._exists,LEFT($E164,1)="+"),"+",_xlpm._exists,"*",NOT(_xlpm._exists),"")
)</f>
        <v/>
      </c>
      <c r="N164" s="33" t="str" cm="1">
        <f t="array" aca="1" ref="N16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($E164=CLASSIFICATION[[Keyword Aggr]:[Keyword Aggr]])*($D164=CLASSIFICATION[[Functional Scope Aggr]:[Functional Scope Aggr]])),
_xlpm._platform_keywords, _xlfn.TEXTSPLIT(SUBSTITUTE(SUBSTITUTE(VLOOKUP($D164,_xlpm._platform_range,3,FALSE),"+"&amp;CHAR(34),"+"),CHAR(34),""),", "),
_xlpm._exists, SUMPRODUCT(--ISNUMBER(MATCH(_xlpm._platform_keywords,_xlpm._original_keywords,0)))&gt;0,
_xlfn.IFS(AND(_xlpm._exists,LEFT($E164,1)="+"),"+",_xlpm._exists,"*",NOT(_xlpm._exists),"")
)</f>
        <v/>
      </c>
      <c r="O164" s="33" t="str" cm="1">
        <f t="array" aca="1" ref="O16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($E164=CLASSIFICATION[[Keyword Aggr]:[Keyword Aggr]])*($D164=CLASSIFICATION[[Functional Scope Aggr]:[Functional Scope Aggr]])),
_xlpm._platform_keywords, _xlfn.TEXTSPLIT(SUBSTITUTE(SUBSTITUTE(VLOOKUP($D164,_xlpm._platform_range,3,FALSE),"+"&amp;CHAR(34),"+"),CHAR(34),""),", "),
_xlpm._exists, SUMPRODUCT(--ISNUMBER(MATCH(_xlpm._platform_keywords,_xlpm._original_keywords,0)))&gt;0,
_xlfn.IFS(AND(_xlpm._exists,LEFT($E164,1)="+"),"+",_xlpm._exists,"*",NOT(_xlpm._exists),"")
)</f>
        <v/>
      </c>
      <c r="Q164" s="33" cm="1">
        <f t="array" aca="1" ref="Q16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($E164=CLASSIFICATION[[Keyword Aggr]:[Keyword Aggr]])*($D164=CLASSIFICATION[[Functional Scope Aggr]:[Functional Scope Aggr]])),
_xlpm._platform_keywords, _xlfn.TEXTSPLIT(SUBSTITUTE(SUBSTITUTE(VLOOKUP($D164,_xlpm._platform_range,3,FALSE),"+"&amp;CHAR(34),"+"),CHAR(34),""),", "),
_xlpm._exists, SUMPRODUCT(--ISNUMBER(MATCH(_xlpm._platform_keywords,_xlpm._original_keywords,0)))&gt;0,
_xlfn.IFS(_xlpm._exists,1,NOT(_xlpm._exists),"")
)</f>
        <v>1</v>
      </c>
      <c r="R164" s="33" t="str" cm="1">
        <f t="array" aca="1" ref="R16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($E164=CLASSIFICATION[[Keyword Aggr]:[Keyword Aggr]])*($D164=CLASSIFICATION[[Functional Scope Aggr]:[Functional Scope Aggr]])),
_xlpm._platform_keywords, _xlfn.TEXTSPLIT(SUBSTITUTE(SUBSTITUTE(VLOOKUP($D164,_xlpm._platform_range,3,FALSE),"+"&amp;CHAR(34),"+"),CHAR(34),""),", "),
_xlpm._exists, SUMPRODUCT(--ISNUMBER(MATCH(_xlpm._platform_keywords,_xlpm._original_keywords,0)))&gt;0,
_xlfn.IFS(_xlpm._exists,1,NOT(_xlpm._exists),"")
)</f>
        <v/>
      </c>
      <c r="S164" s="33" t="str" cm="1">
        <f t="array" aca="1" ref="S16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($E164=CLASSIFICATION[[Keyword Aggr]:[Keyword Aggr]])*($D164=CLASSIFICATION[[Functional Scope Aggr]:[Functional Scope Aggr]])),
_xlpm._platform_keywords, _xlfn.TEXTSPLIT(SUBSTITUTE(SUBSTITUTE(VLOOKUP($D164,_xlpm._platform_range,3,FALSE),"+"&amp;CHAR(34),"+"),CHAR(34),""),", "),
_xlpm._exists, SUMPRODUCT(--ISNUMBER(MATCH(_xlpm._platform_keywords,_xlpm._original_keywords,0)))&gt;0,
_xlfn.IFS(_xlpm._exists,1,NOT(_xlpm._exists),"")
)</f>
        <v/>
      </c>
      <c r="T164" s="33" t="str" cm="1">
        <f t="array" aca="1" ref="T16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($E164=CLASSIFICATION[[Keyword Aggr]:[Keyword Aggr]])*($D164=CLASSIFICATION[[Functional Scope Aggr]:[Functional Scope Aggr]])),
_xlpm._platform_keywords, _xlfn.TEXTSPLIT(SUBSTITUTE(SUBSTITUTE(VLOOKUP($D164,_xlpm._platform_range,3,FALSE),"+"&amp;CHAR(34),"+"),CHAR(34),""),", "),
_xlpm._exists, SUMPRODUCT(--ISNUMBER(MATCH(_xlpm._platform_keywords,_xlpm._original_keywords,0)))&gt;0,
_xlfn.IFS(_xlpm._exists,1,NOT(_xlpm._exists),"")
)</f>
        <v/>
      </c>
      <c r="U164" s="33" t="str" cm="1">
        <f t="array" aca="1" ref="U16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($E164=CLASSIFICATION[[Keyword Aggr]:[Keyword Aggr]])*($D164=CLASSIFICATION[[Functional Scope Aggr]:[Functional Scope Aggr]])),
_xlpm._platform_keywords, _xlfn.TEXTSPLIT(SUBSTITUTE(SUBSTITUTE(VLOOKUP($D164,_xlpm._platform_range,3,FALSE),"+"&amp;CHAR(34),"+"),CHAR(34),""),", "),
_xlpm._exists, SUMPRODUCT(--ISNUMBER(MATCH(_xlpm._platform_keywords,_xlpm._original_keywords,0)))&gt;0,
_xlfn.IFS(_xlpm._exists,1,NOT(_xlpm._exists),"")
)</f>
        <v/>
      </c>
      <c r="V164" s="33" t="str" cm="1">
        <f t="array" aca="1" ref="V16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($E164=CLASSIFICATION[[Keyword Aggr]:[Keyword Aggr]])*($D164=CLASSIFICATION[[Functional Scope Aggr]:[Functional Scope Aggr]])),
_xlpm._platform_keywords, _xlfn.TEXTSPLIT(SUBSTITUTE(SUBSTITUTE(VLOOKUP($D164,_xlpm._platform_range,3,FALSE),"+"&amp;CHAR(34),"+"),CHAR(34),""),", "),
_xlpm._exists, SUMPRODUCT(--ISNUMBER(MATCH(_xlpm._platform_keywords,_xlpm._original_keywords,0)))&gt;0,
_xlfn.IFS(_xlpm._exists,1,NOT(_xlpm._exists),"")
)</f>
        <v/>
      </c>
      <c r="X164" s="33" t="str">
        <f t="shared" si="23"/>
        <v/>
      </c>
      <c r="Y164" s="33" t="str">
        <f t="shared" si="24"/>
        <v/>
      </c>
      <c r="Z164" s="33" t="str">
        <f t="shared" si="25"/>
        <v/>
      </c>
      <c r="AA164" s="33" t="str">
        <f t="shared" si="26"/>
        <v/>
      </c>
      <c r="AB164" s="33" t="str">
        <f t="shared" si="27"/>
        <v/>
      </c>
      <c r="AC164" s="33" t="str">
        <f t="shared" si="28"/>
        <v/>
      </c>
    </row>
    <row r="165" spans="1:29" x14ac:dyDescent="0.25">
      <c r="A165" s="19" t="str">
        <v>Implementation,Runtime server installation,HTTPS Server</v>
      </c>
      <c r="B165" t="s">
        <v>377</v>
      </c>
      <c r="C165" s="19" t="str" cm="1">
        <f t="array" ref="C165:E165">_xlfn.TEXTSPLIT(A165,",")</f>
        <v>Implementation</v>
      </c>
      <c r="D165" s="19" t="str">
        <v>Runtime server installation</v>
      </c>
      <c r="E165" s="19" t="str">
        <v>HTTPS Server</v>
      </c>
      <c r="F165" s="36" t="str" cm="1">
        <f t="array" ref="F165">_xlfn.TEXTJOIN(",",TRUE,_xlfn._xlws.FILTER(CLASSIFICATION[Keyword], ($E165=CLASSIFICATION[Keyword Aggr])*($D165=CLASSIFICATION[Functional Scope Aggr])))</f>
        <v>HTTPS Server</v>
      </c>
      <c r="G165" s="32" t="str">
        <f t="shared" si="20"/>
        <v/>
      </c>
      <c r="H165" s="32" t="str">
        <f t="shared" si="21"/>
        <v/>
      </c>
      <c r="I165" s="32" t="str">
        <f t="shared" si="22"/>
        <v>HTTPS Server</v>
      </c>
      <c r="J165" s="33" t="str" cm="1">
        <f t="array" aca="1" ref="J16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($E165=CLASSIFICATION[[Keyword Aggr]:[Keyword Aggr]])*($D165=CLASSIFICATION[[Functional Scope Aggr]:[Functional Scope Aggr]])),
_xlpm._platform_keywords, _xlfn.TEXTSPLIT(SUBSTITUTE(SUBSTITUTE(VLOOKUP($D165,_xlpm._platform_range,3,FALSE),"+"&amp;CHAR(34),"+"),CHAR(34),""),", "),
_xlpm._exists, SUMPRODUCT(--ISNUMBER(MATCH(_xlpm._platform_keywords,_xlpm._original_keywords,0)))&gt;0,
_xlfn.IFS(AND(_xlpm._exists,LEFT($E165,1)="+"),"+",_xlpm._exists,"*",NOT(_xlpm._exists),"")
)</f>
        <v>*</v>
      </c>
      <c r="K165" s="33" t="str" cm="1">
        <f t="array" aca="1" ref="K16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($E165=CLASSIFICATION[[Keyword Aggr]:[Keyword Aggr]])*($D165=CLASSIFICATION[[Functional Scope Aggr]:[Functional Scope Aggr]])),
_xlpm._platform_keywords, _xlfn.TEXTSPLIT(SUBSTITUTE(SUBSTITUTE(VLOOKUP($D165,_xlpm._platform_range,3,FALSE),"+"&amp;CHAR(34),"+"),CHAR(34),""),", "),
_xlpm._exists, SUMPRODUCT(--ISNUMBER(MATCH(_xlpm._platform_keywords,_xlpm._original_keywords,0)))&gt;0,
_xlfn.IFS(AND(_xlpm._exists,LEFT($E165,1)="+"),"+",_xlpm._exists,"*",NOT(_xlpm._exists),"")
)</f>
        <v>*</v>
      </c>
      <c r="L165" s="33" t="str" cm="1">
        <f t="array" aca="1" ref="L16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($E165=CLASSIFICATION[[Keyword Aggr]:[Keyword Aggr]])*($D165=CLASSIFICATION[[Functional Scope Aggr]:[Functional Scope Aggr]])),
_xlpm._platform_keywords, _xlfn.TEXTSPLIT(SUBSTITUTE(SUBSTITUTE(VLOOKUP($D165,_xlpm._platform_range,3,FALSE),"+"&amp;CHAR(34),"+"),CHAR(34),""),", "),
_xlpm._exists, SUMPRODUCT(--ISNUMBER(MATCH(_xlpm._platform_keywords,_xlpm._original_keywords,0)))&gt;0,
_xlfn.IFS(AND(_xlpm._exists,LEFT($E165,1)="+"),"+",_xlpm._exists,"*",NOT(_xlpm._exists),"")
)</f>
        <v/>
      </c>
      <c r="M165" s="33" t="str" cm="1">
        <f t="array" aca="1" ref="M16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($E165=CLASSIFICATION[[Keyword Aggr]:[Keyword Aggr]])*($D165=CLASSIFICATION[[Functional Scope Aggr]:[Functional Scope Aggr]])),
_xlpm._platform_keywords, _xlfn.TEXTSPLIT(SUBSTITUTE(SUBSTITUTE(VLOOKUP($D165,_xlpm._platform_range,3,FALSE),"+"&amp;CHAR(34),"+"),CHAR(34),""),", "),
_xlpm._exists, SUMPRODUCT(--ISNUMBER(MATCH(_xlpm._platform_keywords,_xlpm._original_keywords,0)))&gt;0,
_xlfn.IFS(AND(_xlpm._exists,LEFT($E165,1)="+"),"+",_xlpm._exists,"*",NOT(_xlpm._exists),"")
)</f>
        <v/>
      </c>
      <c r="N165" s="33" t="str" cm="1">
        <f t="array" aca="1" ref="N16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($E165=CLASSIFICATION[[Keyword Aggr]:[Keyword Aggr]])*($D165=CLASSIFICATION[[Functional Scope Aggr]:[Functional Scope Aggr]])),
_xlpm._platform_keywords, _xlfn.TEXTSPLIT(SUBSTITUTE(SUBSTITUTE(VLOOKUP($D165,_xlpm._platform_range,3,FALSE),"+"&amp;CHAR(34),"+"),CHAR(34),""),", "),
_xlpm._exists, SUMPRODUCT(--ISNUMBER(MATCH(_xlpm._platform_keywords,_xlpm._original_keywords,0)))&gt;0,
_xlfn.IFS(AND(_xlpm._exists,LEFT($E165,1)="+"),"+",_xlpm._exists,"*",NOT(_xlpm._exists),"")
)</f>
        <v/>
      </c>
      <c r="O165" s="33" t="str" cm="1">
        <f t="array" aca="1" ref="O16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($E165=CLASSIFICATION[[Keyword Aggr]:[Keyword Aggr]])*($D165=CLASSIFICATION[[Functional Scope Aggr]:[Functional Scope Aggr]])),
_xlpm._platform_keywords, _xlfn.TEXTSPLIT(SUBSTITUTE(SUBSTITUTE(VLOOKUP($D165,_xlpm._platform_range,3,FALSE),"+"&amp;CHAR(34),"+"),CHAR(34),""),", "),
_xlpm._exists, SUMPRODUCT(--ISNUMBER(MATCH(_xlpm._platform_keywords,_xlpm._original_keywords,0)))&gt;0,
_xlfn.IFS(AND(_xlpm._exists,LEFT($E165,1)="+"),"+",_xlpm._exists,"*",NOT(_xlpm._exists),"")
)</f>
        <v/>
      </c>
      <c r="Q165" s="33" cm="1">
        <f t="array" aca="1" ref="Q16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($E165=CLASSIFICATION[[Keyword Aggr]:[Keyword Aggr]])*($D165=CLASSIFICATION[[Functional Scope Aggr]:[Functional Scope Aggr]])),
_xlpm._platform_keywords, _xlfn.TEXTSPLIT(SUBSTITUTE(SUBSTITUTE(VLOOKUP($D165,_xlpm._platform_range,3,FALSE),"+"&amp;CHAR(34),"+"),CHAR(34),""),", "),
_xlpm._exists, SUMPRODUCT(--ISNUMBER(MATCH(_xlpm._platform_keywords,_xlpm._original_keywords,0)))&gt;0,
_xlfn.IFS(_xlpm._exists,1,NOT(_xlpm._exists),"")
)</f>
        <v>1</v>
      </c>
      <c r="R165" s="33" cm="1">
        <f t="array" aca="1" ref="R16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($E165=CLASSIFICATION[[Keyword Aggr]:[Keyword Aggr]])*($D165=CLASSIFICATION[[Functional Scope Aggr]:[Functional Scope Aggr]])),
_xlpm._platform_keywords, _xlfn.TEXTSPLIT(SUBSTITUTE(SUBSTITUTE(VLOOKUP($D165,_xlpm._platform_range,3,FALSE),"+"&amp;CHAR(34),"+"),CHAR(34),""),", "),
_xlpm._exists, SUMPRODUCT(--ISNUMBER(MATCH(_xlpm._platform_keywords,_xlpm._original_keywords,0)))&gt;0,
_xlfn.IFS(_xlpm._exists,1,NOT(_xlpm._exists),"")
)</f>
        <v>1</v>
      </c>
      <c r="S165" s="33" t="str" cm="1">
        <f t="array" aca="1" ref="S16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($E165=CLASSIFICATION[[Keyword Aggr]:[Keyword Aggr]])*($D165=CLASSIFICATION[[Functional Scope Aggr]:[Functional Scope Aggr]])),
_xlpm._platform_keywords, _xlfn.TEXTSPLIT(SUBSTITUTE(SUBSTITUTE(VLOOKUP($D165,_xlpm._platform_range,3,FALSE),"+"&amp;CHAR(34),"+"),CHAR(34),""),", "),
_xlpm._exists, SUMPRODUCT(--ISNUMBER(MATCH(_xlpm._platform_keywords,_xlpm._original_keywords,0)))&gt;0,
_xlfn.IFS(_xlpm._exists,1,NOT(_xlpm._exists),"")
)</f>
        <v/>
      </c>
      <c r="T165" s="33" t="str" cm="1">
        <f t="array" aca="1" ref="T16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($E165=CLASSIFICATION[[Keyword Aggr]:[Keyword Aggr]])*($D165=CLASSIFICATION[[Functional Scope Aggr]:[Functional Scope Aggr]])),
_xlpm._platform_keywords, _xlfn.TEXTSPLIT(SUBSTITUTE(SUBSTITUTE(VLOOKUP($D165,_xlpm._platform_range,3,FALSE),"+"&amp;CHAR(34),"+"),CHAR(34),""),", "),
_xlpm._exists, SUMPRODUCT(--ISNUMBER(MATCH(_xlpm._platform_keywords,_xlpm._original_keywords,0)))&gt;0,
_xlfn.IFS(_xlpm._exists,1,NOT(_xlpm._exists),"")
)</f>
        <v/>
      </c>
      <c r="U165" s="33" t="str" cm="1">
        <f t="array" aca="1" ref="U16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($E165=CLASSIFICATION[[Keyword Aggr]:[Keyword Aggr]])*($D165=CLASSIFICATION[[Functional Scope Aggr]:[Functional Scope Aggr]])),
_xlpm._platform_keywords, _xlfn.TEXTSPLIT(SUBSTITUTE(SUBSTITUTE(VLOOKUP($D165,_xlpm._platform_range,3,FALSE),"+"&amp;CHAR(34),"+"),CHAR(34),""),", "),
_xlpm._exists, SUMPRODUCT(--ISNUMBER(MATCH(_xlpm._platform_keywords,_xlpm._original_keywords,0)))&gt;0,
_xlfn.IFS(_xlpm._exists,1,NOT(_xlpm._exists),"")
)</f>
        <v/>
      </c>
      <c r="V165" s="33" t="str" cm="1">
        <f t="array" aca="1" ref="V16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($E165=CLASSIFICATION[[Keyword Aggr]:[Keyword Aggr]])*($D165=CLASSIFICATION[[Functional Scope Aggr]:[Functional Scope Aggr]])),
_xlpm._platform_keywords, _xlfn.TEXTSPLIT(SUBSTITUTE(SUBSTITUTE(VLOOKUP($D165,_xlpm._platform_range,3,FALSE),"+"&amp;CHAR(34),"+"),CHAR(34),""),", "),
_xlpm._exists, SUMPRODUCT(--ISNUMBER(MATCH(_xlpm._platform_keywords,_xlpm._original_keywords,0)))&gt;0,
_xlfn.IFS(_xlpm._exists,1,NOT(_xlpm._exists),"")
)</f>
        <v/>
      </c>
      <c r="X165" s="33" t="str">
        <f t="shared" si="23"/>
        <v/>
      </c>
      <c r="Y165" s="33" t="str">
        <f t="shared" si="24"/>
        <v/>
      </c>
      <c r="Z165" s="33" t="str">
        <f t="shared" si="25"/>
        <v/>
      </c>
      <c r="AA165" s="33" t="str">
        <f t="shared" si="26"/>
        <v/>
      </c>
      <c r="AB165" s="33" t="str">
        <f t="shared" si="27"/>
        <v/>
      </c>
      <c r="AC165" s="33" t="str">
        <f t="shared" si="28"/>
        <v/>
      </c>
    </row>
    <row r="166" spans="1:29" x14ac:dyDescent="0.25">
      <c r="A166" s="19" t="str">
        <v>Implementation,Runtime server installation,Java</v>
      </c>
      <c r="B166" t="s">
        <v>377</v>
      </c>
      <c r="C166" s="19" t="str" cm="1">
        <f t="array" ref="C166:E166">_xlfn.TEXTSPLIT(A166,",")</f>
        <v>Implementation</v>
      </c>
      <c r="D166" s="19" t="str">
        <v>Runtime server installation</v>
      </c>
      <c r="E166" s="19" t="str">
        <v>Java</v>
      </c>
      <c r="F166" s="36" t="str" cm="1">
        <f t="array" ref="F166">_xlfn.TEXTJOIN(",",TRUE,_xlfn._xlws.FILTER(CLASSIFICATION[Keyword], ($E166=CLASSIFICATION[Keyword Aggr])*($D166=CLASSIFICATION[Functional Scope Aggr])))</f>
        <v>Java</v>
      </c>
      <c r="G166" s="32" t="str">
        <f t="shared" si="20"/>
        <v/>
      </c>
      <c r="H166" s="32" t="str">
        <f t="shared" si="21"/>
        <v/>
      </c>
      <c r="I166" s="32" t="str">
        <f t="shared" si="22"/>
        <v>Java</v>
      </c>
      <c r="J166" s="33" t="str" cm="1">
        <f t="array" aca="1" ref="J16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($E166=CLASSIFICATION[[Keyword Aggr]:[Keyword Aggr]])*($D166=CLASSIFICATION[[Functional Scope Aggr]:[Functional Scope Aggr]])),
_xlpm._platform_keywords, _xlfn.TEXTSPLIT(SUBSTITUTE(SUBSTITUTE(VLOOKUP($D166,_xlpm._platform_range,3,FALSE),"+"&amp;CHAR(34),"+"),CHAR(34),""),", "),
_xlpm._exists, SUMPRODUCT(--ISNUMBER(MATCH(_xlpm._platform_keywords,_xlpm._original_keywords,0)))&gt;0,
_xlfn.IFS(AND(_xlpm._exists,LEFT($E166,1)="+"),"+",_xlpm._exists,"*",NOT(_xlpm._exists),"")
)</f>
        <v>*</v>
      </c>
      <c r="K166" s="33" t="str" cm="1">
        <f t="array" aca="1" ref="K16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($E166=CLASSIFICATION[[Keyword Aggr]:[Keyword Aggr]])*($D166=CLASSIFICATION[[Functional Scope Aggr]:[Functional Scope Aggr]])),
_xlpm._platform_keywords, _xlfn.TEXTSPLIT(SUBSTITUTE(SUBSTITUTE(VLOOKUP($D166,_xlpm._platform_range,3,FALSE),"+"&amp;CHAR(34),"+"),CHAR(34),""),", "),
_xlpm._exists, SUMPRODUCT(--ISNUMBER(MATCH(_xlpm._platform_keywords,_xlpm._original_keywords,0)))&gt;0,
_xlfn.IFS(AND(_xlpm._exists,LEFT($E166,1)="+"),"+",_xlpm._exists,"*",NOT(_xlpm._exists),"")
)</f>
        <v/>
      </c>
      <c r="L166" s="33" t="str" cm="1">
        <f t="array" aca="1" ref="L16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($E166=CLASSIFICATION[[Keyword Aggr]:[Keyword Aggr]])*($D166=CLASSIFICATION[[Functional Scope Aggr]:[Functional Scope Aggr]])),
_xlpm._platform_keywords, _xlfn.TEXTSPLIT(SUBSTITUTE(SUBSTITUTE(VLOOKUP($D166,_xlpm._platform_range,3,FALSE),"+"&amp;CHAR(34),"+"),CHAR(34),""),", "),
_xlpm._exists, SUMPRODUCT(--ISNUMBER(MATCH(_xlpm._platform_keywords,_xlpm._original_keywords,0)))&gt;0,
_xlfn.IFS(AND(_xlpm._exists,LEFT($E166,1)="+"),"+",_xlpm._exists,"*",NOT(_xlpm._exists),"")
)</f>
        <v/>
      </c>
      <c r="M166" s="33" t="str" cm="1">
        <f t="array" aca="1" ref="M16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($E166=CLASSIFICATION[[Keyword Aggr]:[Keyword Aggr]])*($D166=CLASSIFICATION[[Functional Scope Aggr]:[Functional Scope Aggr]])),
_xlpm._platform_keywords, _xlfn.TEXTSPLIT(SUBSTITUTE(SUBSTITUTE(VLOOKUP($D166,_xlpm._platform_range,3,FALSE),"+"&amp;CHAR(34),"+"),CHAR(34),""),", "),
_xlpm._exists, SUMPRODUCT(--ISNUMBER(MATCH(_xlpm._platform_keywords,_xlpm._original_keywords,0)))&gt;0,
_xlfn.IFS(AND(_xlpm._exists,LEFT($E166,1)="+"),"+",_xlpm._exists,"*",NOT(_xlpm._exists),"")
)</f>
        <v/>
      </c>
      <c r="N166" s="33" t="str" cm="1">
        <f t="array" aca="1" ref="N16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($E166=CLASSIFICATION[[Keyword Aggr]:[Keyword Aggr]])*($D166=CLASSIFICATION[[Functional Scope Aggr]:[Functional Scope Aggr]])),
_xlpm._platform_keywords, _xlfn.TEXTSPLIT(SUBSTITUTE(SUBSTITUTE(VLOOKUP($D166,_xlpm._platform_range,3,FALSE),"+"&amp;CHAR(34),"+"),CHAR(34),""),", "),
_xlpm._exists, SUMPRODUCT(--ISNUMBER(MATCH(_xlpm._platform_keywords,_xlpm._original_keywords,0)))&gt;0,
_xlfn.IFS(AND(_xlpm._exists,LEFT($E166,1)="+"),"+",_xlpm._exists,"*",NOT(_xlpm._exists),"")
)</f>
        <v/>
      </c>
      <c r="O166" s="33" t="str" cm="1">
        <f t="array" aca="1" ref="O16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($E166=CLASSIFICATION[[Keyword Aggr]:[Keyword Aggr]])*($D166=CLASSIFICATION[[Functional Scope Aggr]:[Functional Scope Aggr]])),
_xlpm._platform_keywords, _xlfn.TEXTSPLIT(SUBSTITUTE(SUBSTITUTE(VLOOKUP($D166,_xlpm._platform_range,3,FALSE),"+"&amp;CHAR(34),"+"),CHAR(34),""),", "),
_xlpm._exists, SUMPRODUCT(--ISNUMBER(MATCH(_xlpm._platform_keywords,_xlpm._original_keywords,0)))&gt;0,
_xlfn.IFS(AND(_xlpm._exists,LEFT($E166,1)="+"),"+",_xlpm._exists,"*",NOT(_xlpm._exists),"")
)</f>
        <v/>
      </c>
      <c r="Q166" s="33" cm="1">
        <f t="array" aca="1" ref="Q16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($E166=CLASSIFICATION[[Keyword Aggr]:[Keyword Aggr]])*($D166=CLASSIFICATION[[Functional Scope Aggr]:[Functional Scope Aggr]])),
_xlpm._platform_keywords, _xlfn.TEXTSPLIT(SUBSTITUTE(SUBSTITUTE(VLOOKUP($D166,_xlpm._platform_range,3,FALSE),"+"&amp;CHAR(34),"+"),CHAR(34),""),", "),
_xlpm._exists, SUMPRODUCT(--ISNUMBER(MATCH(_xlpm._platform_keywords,_xlpm._original_keywords,0)))&gt;0,
_xlfn.IFS(_xlpm._exists,1,NOT(_xlpm._exists),"")
)</f>
        <v>1</v>
      </c>
      <c r="R166" s="33" t="str" cm="1">
        <f t="array" aca="1" ref="R16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($E166=CLASSIFICATION[[Keyword Aggr]:[Keyword Aggr]])*($D166=CLASSIFICATION[[Functional Scope Aggr]:[Functional Scope Aggr]])),
_xlpm._platform_keywords, _xlfn.TEXTSPLIT(SUBSTITUTE(SUBSTITUTE(VLOOKUP($D166,_xlpm._platform_range,3,FALSE),"+"&amp;CHAR(34),"+"),CHAR(34),""),", "),
_xlpm._exists, SUMPRODUCT(--ISNUMBER(MATCH(_xlpm._platform_keywords,_xlpm._original_keywords,0)))&gt;0,
_xlfn.IFS(_xlpm._exists,1,NOT(_xlpm._exists),"")
)</f>
        <v/>
      </c>
      <c r="S166" s="33" t="str" cm="1">
        <f t="array" aca="1" ref="S16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($E166=CLASSIFICATION[[Keyword Aggr]:[Keyword Aggr]])*($D166=CLASSIFICATION[[Functional Scope Aggr]:[Functional Scope Aggr]])),
_xlpm._platform_keywords, _xlfn.TEXTSPLIT(SUBSTITUTE(SUBSTITUTE(VLOOKUP($D166,_xlpm._platform_range,3,FALSE),"+"&amp;CHAR(34),"+"),CHAR(34),""),", "),
_xlpm._exists, SUMPRODUCT(--ISNUMBER(MATCH(_xlpm._platform_keywords,_xlpm._original_keywords,0)))&gt;0,
_xlfn.IFS(_xlpm._exists,1,NOT(_xlpm._exists),"")
)</f>
        <v/>
      </c>
      <c r="T166" s="33" t="str" cm="1">
        <f t="array" aca="1" ref="T16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($E166=CLASSIFICATION[[Keyword Aggr]:[Keyword Aggr]])*($D166=CLASSIFICATION[[Functional Scope Aggr]:[Functional Scope Aggr]])),
_xlpm._platform_keywords, _xlfn.TEXTSPLIT(SUBSTITUTE(SUBSTITUTE(VLOOKUP($D166,_xlpm._platform_range,3,FALSE),"+"&amp;CHAR(34),"+"),CHAR(34),""),", "),
_xlpm._exists, SUMPRODUCT(--ISNUMBER(MATCH(_xlpm._platform_keywords,_xlpm._original_keywords,0)))&gt;0,
_xlfn.IFS(_xlpm._exists,1,NOT(_xlpm._exists),"")
)</f>
        <v/>
      </c>
      <c r="U166" s="33" t="str" cm="1">
        <f t="array" aca="1" ref="U16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($E166=CLASSIFICATION[[Keyword Aggr]:[Keyword Aggr]])*($D166=CLASSIFICATION[[Functional Scope Aggr]:[Functional Scope Aggr]])),
_xlpm._platform_keywords, _xlfn.TEXTSPLIT(SUBSTITUTE(SUBSTITUTE(VLOOKUP($D166,_xlpm._platform_range,3,FALSE),"+"&amp;CHAR(34),"+"),CHAR(34),""),", "),
_xlpm._exists, SUMPRODUCT(--ISNUMBER(MATCH(_xlpm._platform_keywords,_xlpm._original_keywords,0)))&gt;0,
_xlfn.IFS(_xlpm._exists,1,NOT(_xlpm._exists),"")
)</f>
        <v/>
      </c>
      <c r="V166" s="33" t="str" cm="1">
        <f t="array" aca="1" ref="V16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($E166=CLASSIFICATION[[Keyword Aggr]:[Keyword Aggr]])*($D166=CLASSIFICATION[[Functional Scope Aggr]:[Functional Scope Aggr]])),
_xlpm._platform_keywords, _xlfn.TEXTSPLIT(SUBSTITUTE(SUBSTITUTE(VLOOKUP($D166,_xlpm._platform_range,3,FALSE),"+"&amp;CHAR(34),"+"),CHAR(34),""),", "),
_xlpm._exists, SUMPRODUCT(--ISNUMBER(MATCH(_xlpm._platform_keywords,_xlpm._original_keywords,0)))&gt;0,
_xlfn.IFS(_xlpm._exists,1,NOT(_xlpm._exists),"")
)</f>
        <v/>
      </c>
      <c r="X166" s="33" t="str">
        <f t="shared" si="23"/>
        <v/>
      </c>
      <c r="Y166" s="33" t="str">
        <f t="shared" si="24"/>
        <v/>
      </c>
      <c r="Z166" s="33" t="str">
        <f t="shared" si="25"/>
        <v/>
      </c>
      <c r="AA166" s="33" t="str">
        <f t="shared" si="26"/>
        <v/>
      </c>
      <c r="AB166" s="33" t="str">
        <f t="shared" si="27"/>
        <v/>
      </c>
      <c r="AC166" s="33" t="str">
        <f t="shared" si="28"/>
        <v/>
      </c>
    </row>
    <row r="167" spans="1:29" x14ac:dyDescent="0.25">
      <c r="A167" s="19" t="str">
        <v>Implementation,Runtime server installation,Load Balancing</v>
      </c>
      <c r="B167" t="s">
        <v>377</v>
      </c>
      <c r="C167" s="19" t="str" cm="1">
        <f t="array" ref="C167:E167">_xlfn.TEXTSPLIT(A167,",")</f>
        <v>Implementation</v>
      </c>
      <c r="D167" s="19" t="str">
        <v>Runtime server installation</v>
      </c>
      <c r="E167" s="19" t="str">
        <v>Load Balancing</v>
      </c>
      <c r="F167" s="36" t="str" cm="1">
        <f t="array" ref="F167">_xlfn.TEXTJOIN(",",TRUE,_xlfn._xlws.FILTER(CLASSIFICATION[Keyword], ($E167=CLASSIFICATION[Keyword Aggr])*($D167=CLASSIFICATION[Functional Scope Aggr])))</f>
        <v>Load Balancing</v>
      </c>
      <c r="G167" s="32" t="str">
        <f t="shared" si="20"/>
        <v/>
      </c>
      <c r="H167" s="32" t="str">
        <f t="shared" si="21"/>
        <v/>
      </c>
      <c r="I167" s="32" t="str">
        <f t="shared" si="22"/>
        <v>Load Balancing</v>
      </c>
      <c r="J167" s="33" t="str" cm="1">
        <f t="array" aca="1" ref="J16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($E167=CLASSIFICATION[[Keyword Aggr]:[Keyword Aggr]])*($D167=CLASSIFICATION[[Functional Scope Aggr]:[Functional Scope Aggr]])),
_xlpm._platform_keywords, _xlfn.TEXTSPLIT(SUBSTITUTE(SUBSTITUTE(VLOOKUP($D167,_xlpm._platform_range,3,FALSE),"+"&amp;CHAR(34),"+"),CHAR(34),""),", "),
_xlpm._exists, SUMPRODUCT(--ISNUMBER(MATCH(_xlpm._platform_keywords,_xlpm._original_keywords,0)))&gt;0,
_xlfn.IFS(AND(_xlpm._exists,LEFT($E167,1)="+"),"+",_xlpm._exists,"*",NOT(_xlpm._exists),"")
)</f>
        <v/>
      </c>
      <c r="K167" s="33" t="str" cm="1">
        <f t="array" aca="1" ref="K16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($E167=CLASSIFICATION[[Keyword Aggr]:[Keyword Aggr]])*($D167=CLASSIFICATION[[Functional Scope Aggr]:[Functional Scope Aggr]])),
_xlpm._platform_keywords, _xlfn.TEXTSPLIT(SUBSTITUTE(SUBSTITUTE(VLOOKUP($D167,_xlpm._platform_range,3,FALSE),"+"&amp;CHAR(34),"+"),CHAR(34),""),", "),
_xlpm._exists, SUMPRODUCT(--ISNUMBER(MATCH(_xlpm._platform_keywords,_xlpm._original_keywords,0)))&gt;0,
_xlfn.IFS(AND(_xlpm._exists,LEFT($E167,1)="+"),"+",_xlpm._exists,"*",NOT(_xlpm._exists),"")
)</f>
        <v>*</v>
      </c>
      <c r="L167" s="33" t="str" cm="1">
        <f t="array" aca="1" ref="L16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($E167=CLASSIFICATION[[Keyword Aggr]:[Keyword Aggr]])*($D167=CLASSIFICATION[[Functional Scope Aggr]:[Functional Scope Aggr]])),
_xlpm._platform_keywords, _xlfn.TEXTSPLIT(SUBSTITUTE(SUBSTITUTE(VLOOKUP($D167,_xlpm._platform_range,3,FALSE),"+"&amp;CHAR(34),"+"),CHAR(34),""),", "),
_xlpm._exists, SUMPRODUCT(--ISNUMBER(MATCH(_xlpm._platform_keywords,_xlpm._original_keywords,0)))&gt;0,
_xlfn.IFS(AND(_xlpm._exists,LEFT($E167,1)="+"),"+",_xlpm._exists,"*",NOT(_xlpm._exists),"")
)</f>
        <v/>
      </c>
      <c r="M167" s="33" t="str" cm="1">
        <f t="array" aca="1" ref="M16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($E167=CLASSIFICATION[[Keyword Aggr]:[Keyword Aggr]])*($D167=CLASSIFICATION[[Functional Scope Aggr]:[Functional Scope Aggr]])),
_xlpm._platform_keywords, _xlfn.TEXTSPLIT(SUBSTITUTE(SUBSTITUTE(VLOOKUP($D167,_xlpm._platform_range,3,FALSE),"+"&amp;CHAR(34),"+"),CHAR(34),""),", "),
_xlpm._exists, SUMPRODUCT(--ISNUMBER(MATCH(_xlpm._platform_keywords,_xlpm._original_keywords,0)))&gt;0,
_xlfn.IFS(AND(_xlpm._exists,LEFT($E167,1)="+"),"+",_xlpm._exists,"*",NOT(_xlpm._exists),"")
)</f>
        <v/>
      </c>
      <c r="N167" s="33" t="str" cm="1">
        <f t="array" aca="1" ref="N16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($E167=CLASSIFICATION[[Keyword Aggr]:[Keyword Aggr]])*($D167=CLASSIFICATION[[Functional Scope Aggr]:[Functional Scope Aggr]])),
_xlpm._platform_keywords, _xlfn.TEXTSPLIT(SUBSTITUTE(SUBSTITUTE(VLOOKUP($D167,_xlpm._platform_range,3,FALSE),"+"&amp;CHAR(34),"+"),CHAR(34),""),", "),
_xlpm._exists, SUMPRODUCT(--ISNUMBER(MATCH(_xlpm._platform_keywords,_xlpm._original_keywords,0)))&gt;0,
_xlfn.IFS(AND(_xlpm._exists,LEFT($E167,1)="+"),"+",_xlpm._exists,"*",NOT(_xlpm._exists),"")
)</f>
        <v/>
      </c>
      <c r="O167" s="33" t="str" cm="1">
        <f t="array" aca="1" ref="O16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($E167=CLASSIFICATION[[Keyword Aggr]:[Keyword Aggr]])*($D167=CLASSIFICATION[[Functional Scope Aggr]:[Functional Scope Aggr]])),
_xlpm._platform_keywords, _xlfn.TEXTSPLIT(SUBSTITUTE(SUBSTITUTE(VLOOKUP($D167,_xlpm._platform_range,3,FALSE),"+"&amp;CHAR(34),"+"),CHAR(34),""),", "),
_xlpm._exists, SUMPRODUCT(--ISNUMBER(MATCH(_xlpm._platform_keywords,_xlpm._original_keywords,0)))&gt;0,
_xlfn.IFS(AND(_xlpm._exists,LEFT($E167,1)="+"),"+",_xlpm._exists,"*",NOT(_xlpm._exists),"")
)</f>
        <v/>
      </c>
      <c r="Q167" s="33" t="str" cm="1">
        <f t="array" aca="1" ref="Q16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($E167=CLASSIFICATION[[Keyword Aggr]:[Keyword Aggr]])*($D167=CLASSIFICATION[[Functional Scope Aggr]:[Functional Scope Aggr]])),
_xlpm._platform_keywords, _xlfn.TEXTSPLIT(SUBSTITUTE(SUBSTITUTE(VLOOKUP($D167,_xlpm._platform_range,3,FALSE),"+"&amp;CHAR(34),"+"),CHAR(34),""),", "),
_xlpm._exists, SUMPRODUCT(--ISNUMBER(MATCH(_xlpm._platform_keywords,_xlpm._original_keywords,0)))&gt;0,
_xlfn.IFS(_xlpm._exists,1,NOT(_xlpm._exists),"")
)</f>
        <v/>
      </c>
      <c r="R167" s="33" cm="1">
        <f t="array" aca="1" ref="R16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($E167=CLASSIFICATION[[Keyword Aggr]:[Keyword Aggr]])*($D167=CLASSIFICATION[[Functional Scope Aggr]:[Functional Scope Aggr]])),
_xlpm._platform_keywords, _xlfn.TEXTSPLIT(SUBSTITUTE(SUBSTITUTE(VLOOKUP($D167,_xlpm._platform_range,3,FALSE),"+"&amp;CHAR(34),"+"),CHAR(34),""),", "),
_xlpm._exists, SUMPRODUCT(--ISNUMBER(MATCH(_xlpm._platform_keywords,_xlpm._original_keywords,0)))&gt;0,
_xlfn.IFS(_xlpm._exists,1,NOT(_xlpm._exists),"")
)</f>
        <v>1</v>
      </c>
      <c r="S167" s="33" t="str" cm="1">
        <f t="array" aca="1" ref="S16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($E167=CLASSIFICATION[[Keyword Aggr]:[Keyword Aggr]])*($D167=CLASSIFICATION[[Functional Scope Aggr]:[Functional Scope Aggr]])),
_xlpm._platform_keywords, _xlfn.TEXTSPLIT(SUBSTITUTE(SUBSTITUTE(VLOOKUP($D167,_xlpm._platform_range,3,FALSE),"+"&amp;CHAR(34),"+"),CHAR(34),""),", "),
_xlpm._exists, SUMPRODUCT(--ISNUMBER(MATCH(_xlpm._platform_keywords,_xlpm._original_keywords,0)))&gt;0,
_xlfn.IFS(_xlpm._exists,1,NOT(_xlpm._exists),"")
)</f>
        <v/>
      </c>
      <c r="T167" s="33" t="str" cm="1">
        <f t="array" aca="1" ref="T16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($E167=CLASSIFICATION[[Keyword Aggr]:[Keyword Aggr]])*($D167=CLASSIFICATION[[Functional Scope Aggr]:[Functional Scope Aggr]])),
_xlpm._platform_keywords, _xlfn.TEXTSPLIT(SUBSTITUTE(SUBSTITUTE(VLOOKUP($D167,_xlpm._platform_range,3,FALSE),"+"&amp;CHAR(34),"+"),CHAR(34),""),", "),
_xlpm._exists, SUMPRODUCT(--ISNUMBER(MATCH(_xlpm._platform_keywords,_xlpm._original_keywords,0)))&gt;0,
_xlfn.IFS(_xlpm._exists,1,NOT(_xlpm._exists),"")
)</f>
        <v/>
      </c>
      <c r="U167" s="33" t="str" cm="1">
        <f t="array" aca="1" ref="U16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($E167=CLASSIFICATION[[Keyword Aggr]:[Keyword Aggr]])*($D167=CLASSIFICATION[[Functional Scope Aggr]:[Functional Scope Aggr]])),
_xlpm._platform_keywords, _xlfn.TEXTSPLIT(SUBSTITUTE(SUBSTITUTE(VLOOKUP($D167,_xlpm._platform_range,3,FALSE),"+"&amp;CHAR(34),"+"),CHAR(34),""),", "),
_xlpm._exists, SUMPRODUCT(--ISNUMBER(MATCH(_xlpm._platform_keywords,_xlpm._original_keywords,0)))&gt;0,
_xlfn.IFS(_xlpm._exists,1,NOT(_xlpm._exists),"")
)</f>
        <v/>
      </c>
      <c r="V167" s="33" t="str" cm="1">
        <f t="array" aca="1" ref="V16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($E167=CLASSIFICATION[[Keyword Aggr]:[Keyword Aggr]])*($D167=CLASSIFICATION[[Functional Scope Aggr]:[Functional Scope Aggr]])),
_xlpm._platform_keywords, _xlfn.TEXTSPLIT(SUBSTITUTE(SUBSTITUTE(VLOOKUP($D167,_xlpm._platform_range,3,FALSE),"+"&amp;CHAR(34),"+"),CHAR(34),""),", "),
_xlpm._exists, SUMPRODUCT(--ISNUMBER(MATCH(_xlpm._platform_keywords,_xlpm._original_keywords,0)))&gt;0,
_xlfn.IFS(_xlpm._exists,1,NOT(_xlpm._exists),"")
)</f>
        <v/>
      </c>
      <c r="X167" s="33" t="str">
        <f t="shared" si="23"/>
        <v/>
      </c>
      <c r="Y167" s="33" t="str">
        <f t="shared" si="24"/>
        <v/>
      </c>
      <c r="Z167" s="33" t="str">
        <f t="shared" si="25"/>
        <v/>
      </c>
      <c r="AA167" s="33" t="str">
        <f t="shared" si="26"/>
        <v/>
      </c>
      <c r="AB167" s="33" t="str">
        <f t="shared" si="27"/>
        <v/>
      </c>
      <c r="AC167" s="33" t="str">
        <f t="shared" si="28"/>
        <v/>
      </c>
    </row>
    <row r="168" spans="1:29" x14ac:dyDescent="0.25">
      <c r="A168" s="19" t="str">
        <v>Implementation,Runtime server installation,Log Service</v>
      </c>
      <c r="B168" t="s">
        <v>377</v>
      </c>
      <c r="C168" s="19" t="str" cm="1">
        <f t="array" ref="C168:E168">_xlfn.TEXTSPLIT(A168,",")</f>
        <v>Implementation</v>
      </c>
      <c r="D168" s="19" t="str">
        <v>Runtime server installation</v>
      </c>
      <c r="E168" s="19" t="str">
        <v>Log Service</v>
      </c>
      <c r="F168" s="36" t="str" cm="1">
        <f t="array" ref="F168">_xlfn.TEXTJOIN(",",TRUE,_xlfn._xlws.FILTER(CLASSIFICATION[Keyword], ($E168=CLASSIFICATION[Keyword Aggr])*($D168=CLASSIFICATION[Functional Scope Aggr])))</f>
        <v>Log Service</v>
      </c>
      <c r="G168" s="32" t="str">
        <f t="shared" si="20"/>
        <v/>
      </c>
      <c r="H168" s="32" t="str">
        <f t="shared" si="21"/>
        <v/>
      </c>
      <c r="I168" s="32" t="str">
        <f t="shared" si="22"/>
        <v>Log Service</v>
      </c>
      <c r="J168" s="33" t="str" cm="1">
        <f t="array" aca="1" ref="J16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($E168=CLASSIFICATION[[Keyword Aggr]:[Keyword Aggr]])*($D168=CLASSIFICATION[[Functional Scope Aggr]:[Functional Scope Aggr]])),
_xlpm._platform_keywords, _xlfn.TEXTSPLIT(SUBSTITUTE(SUBSTITUTE(VLOOKUP($D168,_xlpm._platform_range,3,FALSE),"+"&amp;CHAR(34),"+"),CHAR(34),""),", "),
_xlpm._exists, SUMPRODUCT(--ISNUMBER(MATCH(_xlpm._platform_keywords,_xlpm._original_keywords,0)))&gt;0,
_xlfn.IFS(AND(_xlpm._exists,LEFT($E168,1)="+"),"+",_xlpm._exists,"*",NOT(_xlpm._exists),"")
)</f>
        <v/>
      </c>
      <c r="K168" s="33" t="str" cm="1">
        <f t="array" aca="1" ref="K16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($E168=CLASSIFICATION[[Keyword Aggr]:[Keyword Aggr]])*($D168=CLASSIFICATION[[Functional Scope Aggr]:[Functional Scope Aggr]])),
_xlpm._platform_keywords, _xlfn.TEXTSPLIT(SUBSTITUTE(SUBSTITUTE(VLOOKUP($D168,_xlpm._platform_range,3,FALSE),"+"&amp;CHAR(34),"+"),CHAR(34),""),", "),
_xlpm._exists, SUMPRODUCT(--ISNUMBER(MATCH(_xlpm._platform_keywords,_xlpm._original_keywords,0)))&gt;0,
_xlfn.IFS(AND(_xlpm._exists,LEFT($E168,1)="+"),"+",_xlpm._exists,"*",NOT(_xlpm._exists),"")
)</f>
        <v>*</v>
      </c>
      <c r="L168" s="33" t="str" cm="1">
        <f t="array" aca="1" ref="L16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($E168=CLASSIFICATION[[Keyword Aggr]:[Keyword Aggr]])*($D168=CLASSIFICATION[[Functional Scope Aggr]:[Functional Scope Aggr]])),
_xlpm._platform_keywords, _xlfn.TEXTSPLIT(SUBSTITUTE(SUBSTITUTE(VLOOKUP($D168,_xlpm._platform_range,3,FALSE),"+"&amp;CHAR(34),"+"),CHAR(34),""),", "),
_xlpm._exists, SUMPRODUCT(--ISNUMBER(MATCH(_xlpm._platform_keywords,_xlpm._original_keywords,0)))&gt;0,
_xlfn.IFS(AND(_xlpm._exists,LEFT($E168,1)="+"),"+",_xlpm._exists,"*",NOT(_xlpm._exists),"")
)</f>
        <v/>
      </c>
      <c r="M168" s="33" t="str" cm="1">
        <f t="array" aca="1" ref="M16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($E168=CLASSIFICATION[[Keyword Aggr]:[Keyword Aggr]])*($D168=CLASSIFICATION[[Functional Scope Aggr]:[Functional Scope Aggr]])),
_xlpm._platform_keywords, _xlfn.TEXTSPLIT(SUBSTITUTE(SUBSTITUTE(VLOOKUP($D168,_xlpm._platform_range,3,FALSE),"+"&amp;CHAR(34),"+"),CHAR(34),""),", "),
_xlpm._exists, SUMPRODUCT(--ISNUMBER(MATCH(_xlpm._platform_keywords,_xlpm._original_keywords,0)))&gt;0,
_xlfn.IFS(AND(_xlpm._exists,LEFT($E168,1)="+"),"+",_xlpm._exists,"*",NOT(_xlpm._exists),"")
)</f>
        <v/>
      </c>
      <c r="N168" s="33" t="str" cm="1">
        <f t="array" aca="1" ref="N16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($E168=CLASSIFICATION[[Keyword Aggr]:[Keyword Aggr]])*($D168=CLASSIFICATION[[Functional Scope Aggr]:[Functional Scope Aggr]])),
_xlpm._platform_keywords, _xlfn.TEXTSPLIT(SUBSTITUTE(SUBSTITUTE(VLOOKUP($D168,_xlpm._platform_range,3,FALSE),"+"&amp;CHAR(34),"+"),CHAR(34),""),", "),
_xlpm._exists, SUMPRODUCT(--ISNUMBER(MATCH(_xlpm._platform_keywords,_xlpm._original_keywords,0)))&gt;0,
_xlfn.IFS(AND(_xlpm._exists,LEFT($E168,1)="+"),"+",_xlpm._exists,"*",NOT(_xlpm._exists),"")
)</f>
        <v/>
      </c>
      <c r="O168" s="33" t="str" cm="1">
        <f t="array" aca="1" ref="O16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($E168=CLASSIFICATION[[Keyword Aggr]:[Keyword Aggr]])*($D168=CLASSIFICATION[[Functional Scope Aggr]:[Functional Scope Aggr]])),
_xlpm._platform_keywords, _xlfn.TEXTSPLIT(SUBSTITUTE(SUBSTITUTE(VLOOKUP($D168,_xlpm._platform_range,3,FALSE),"+"&amp;CHAR(34),"+"),CHAR(34),""),", "),
_xlpm._exists, SUMPRODUCT(--ISNUMBER(MATCH(_xlpm._platform_keywords,_xlpm._original_keywords,0)))&gt;0,
_xlfn.IFS(AND(_xlpm._exists,LEFT($E168,1)="+"),"+",_xlpm._exists,"*",NOT(_xlpm._exists),"")
)</f>
        <v/>
      </c>
      <c r="Q168" s="33" t="str" cm="1">
        <f t="array" aca="1" ref="Q16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($E168=CLASSIFICATION[[Keyword Aggr]:[Keyword Aggr]])*($D168=CLASSIFICATION[[Functional Scope Aggr]:[Functional Scope Aggr]])),
_xlpm._platform_keywords, _xlfn.TEXTSPLIT(SUBSTITUTE(SUBSTITUTE(VLOOKUP($D168,_xlpm._platform_range,3,FALSE),"+"&amp;CHAR(34),"+"),CHAR(34),""),", "),
_xlpm._exists, SUMPRODUCT(--ISNUMBER(MATCH(_xlpm._platform_keywords,_xlpm._original_keywords,0)))&gt;0,
_xlfn.IFS(_xlpm._exists,1,NOT(_xlpm._exists),"")
)</f>
        <v/>
      </c>
      <c r="R168" s="33" cm="1">
        <f t="array" aca="1" ref="R16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($E168=CLASSIFICATION[[Keyword Aggr]:[Keyword Aggr]])*($D168=CLASSIFICATION[[Functional Scope Aggr]:[Functional Scope Aggr]])),
_xlpm._platform_keywords, _xlfn.TEXTSPLIT(SUBSTITUTE(SUBSTITUTE(VLOOKUP($D168,_xlpm._platform_range,3,FALSE),"+"&amp;CHAR(34),"+"),CHAR(34),""),", "),
_xlpm._exists, SUMPRODUCT(--ISNUMBER(MATCH(_xlpm._platform_keywords,_xlpm._original_keywords,0)))&gt;0,
_xlfn.IFS(_xlpm._exists,1,NOT(_xlpm._exists),"")
)</f>
        <v>1</v>
      </c>
      <c r="S168" s="33" t="str" cm="1">
        <f t="array" aca="1" ref="S16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($E168=CLASSIFICATION[[Keyword Aggr]:[Keyword Aggr]])*($D168=CLASSIFICATION[[Functional Scope Aggr]:[Functional Scope Aggr]])),
_xlpm._platform_keywords, _xlfn.TEXTSPLIT(SUBSTITUTE(SUBSTITUTE(VLOOKUP($D168,_xlpm._platform_range,3,FALSE),"+"&amp;CHAR(34),"+"),CHAR(34),""),", "),
_xlpm._exists, SUMPRODUCT(--ISNUMBER(MATCH(_xlpm._platform_keywords,_xlpm._original_keywords,0)))&gt;0,
_xlfn.IFS(_xlpm._exists,1,NOT(_xlpm._exists),"")
)</f>
        <v/>
      </c>
      <c r="T168" s="33" t="str" cm="1">
        <f t="array" aca="1" ref="T16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($E168=CLASSIFICATION[[Keyword Aggr]:[Keyword Aggr]])*($D168=CLASSIFICATION[[Functional Scope Aggr]:[Functional Scope Aggr]])),
_xlpm._platform_keywords, _xlfn.TEXTSPLIT(SUBSTITUTE(SUBSTITUTE(VLOOKUP($D168,_xlpm._platform_range,3,FALSE),"+"&amp;CHAR(34),"+"),CHAR(34),""),", "),
_xlpm._exists, SUMPRODUCT(--ISNUMBER(MATCH(_xlpm._platform_keywords,_xlpm._original_keywords,0)))&gt;0,
_xlfn.IFS(_xlpm._exists,1,NOT(_xlpm._exists),"")
)</f>
        <v/>
      </c>
      <c r="U168" s="33" t="str" cm="1">
        <f t="array" aca="1" ref="U16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($E168=CLASSIFICATION[[Keyword Aggr]:[Keyword Aggr]])*($D168=CLASSIFICATION[[Functional Scope Aggr]:[Functional Scope Aggr]])),
_xlpm._platform_keywords, _xlfn.TEXTSPLIT(SUBSTITUTE(SUBSTITUTE(VLOOKUP($D168,_xlpm._platform_range,3,FALSE),"+"&amp;CHAR(34),"+"),CHAR(34),""),", "),
_xlpm._exists, SUMPRODUCT(--ISNUMBER(MATCH(_xlpm._platform_keywords,_xlpm._original_keywords,0)))&gt;0,
_xlfn.IFS(_xlpm._exists,1,NOT(_xlpm._exists),"")
)</f>
        <v/>
      </c>
      <c r="V168" s="33" t="str" cm="1">
        <f t="array" aca="1" ref="V16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($E168=CLASSIFICATION[[Keyword Aggr]:[Keyword Aggr]])*($D168=CLASSIFICATION[[Functional Scope Aggr]:[Functional Scope Aggr]])),
_xlpm._platform_keywords, _xlfn.TEXTSPLIT(SUBSTITUTE(SUBSTITUTE(VLOOKUP($D168,_xlpm._platform_range,3,FALSE),"+"&amp;CHAR(34),"+"),CHAR(34),""),", "),
_xlpm._exists, SUMPRODUCT(--ISNUMBER(MATCH(_xlpm._platform_keywords,_xlpm._original_keywords,0)))&gt;0,
_xlfn.IFS(_xlpm._exists,1,NOT(_xlpm._exists),"")
)</f>
        <v/>
      </c>
      <c r="X168" s="33" t="str">
        <f t="shared" si="23"/>
        <v/>
      </c>
      <c r="Y168" s="33" t="str">
        <f t="shared" si="24"/>
        <v/>
      </c>
      <c r="Z168" s="33" t="str">
        <f t="shared" si="25"/>
        <v/>
      </c>
      <c r="AA168" s="33" t="str">
        <f t="shared" si="26"/>
        <v/>
      </c>
      <c r="AB168" s="33" t="str">
        <f t="shared" si="27"/>
        <v/>
      </c>
      <c r="AC168" s="33" t="str">
        <f t="shared" si="28"/>
        <v/>
      </c>
    </row>
    <row r="169" spans="1:29" x14ac:dyDescent="0.25">
      <c r="A169" s="19" t="str">
        <v>Implementation,Runtime server installation,Mobile App</v>
      </c>
      <c r="B169" t="s">
        <v>377</v>
      </c>
      <c r="C169" s="19" t="str" cm="1">
        <f t="array" ref="C169:E169">_xlfn.TEXTSPLIT(A169,",")</f>
        <v>Implementation</v>
      </c>
      <c r="D169" s="19" t="str">
        <v>Runtime server installation</v>
      </c>
      <c r="E169" s="19" t="str">
        <v>Mobile App</v>
      </c>
      <c r="F169" s="36" t="str" cm="1">
        <f t="array" ref="F169">_xlfn.TEXTJOIN(",",TRUE,_xlfn._xlws.FILTER(CLASSIFICATION[Keyword], ($E169=CLASSIFICATION[Keyword Aggr])*($D169=CLASSIFICATION[Functional Scope Aggr])))</f>
        <v>Mobile App</v>
      </c>
      <c r="G169" s="32" t="str">
        <f t="shared" si="20"/>
        <v/>
      </c>
      <c r="H169" s="32" t="str">
        <f t="shared" si="21"/>
        <v/>
      </c>
      <c r="I169" s="32" t="str">
        <f t="shared" si="22"/>
        <v>Mobile App</v>
      </c>
      <c r="J169" s="33" t="str" cm="1">
        <f t="array" aca="1" ref="J16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($E169=CLASSIFICATION[[Keyword Aggr]:[Keyword Aggr]])*($D169=CLASSIFICATION[[Functional Scope Aggr]:[Functional Scope Aggr]])),
_xlpm._platform_keywords, _xlfn.TEXTSPLIT(SUBSTITUTE(SUBSTITUTE(VLOOKUP($D169,_xlpm._platform_range,3,FALSE),"+"&amp;CHAR(34),"+"),CHAR(34),""),", "),
_xlpm._exists, SUMPRODUCT(--ISNUMBER(MATCH(_xlpm._platform_keywords,_xlpm._original_keywords,0)))&gt;0,
_xlfn.IFS(AND(_xlpm._exists,LEFT($E169,1)="+"),"+",_xlpm._exists,"*",NOT(_xlpm._exists),"")
)</f>
        <v/>
      </c>
      <c r="K169" s="33" t="str" cm="1">
        <f t="array" aca="1" ref="K16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($E169=CLASSIFICATION[[Keyword Aggr]:[Keyword Aggr]])*($D169=CLASSIFICATION[[Functional Scope Aggr]:[Functional Scope Aggr]])),
_xlpm._platform_keywords, _xlfn.TEXTSPLIT(SUBSTITUTE(SUBSTITUTE(VLOOKUP($D169,_xlpm._platform_range,3,FALSE),"+"&amp;CHAR(34),"+"),CHAR(34),""),", "),
_xlpm._exists, SUMPRODUCT(--ISNUMBER(MATCH(_xlpm._platform_keywords,_xlpm._original_keywords,0)))&gt;0,
_xlfn.IFS(AND(_xlpm._exists,LEFT($E169,1)="+"),"+",_xlpm._exists,"*",NOT(_xlpm._exists),"")
)</f>
        <v/>
      </c>
      <c r="L169" s="33" t="str" cm="1">
        <f t="array" aca="1" ref="L16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($E169=CLASSIFICATION[[Keyword Aggr]:[Keyword Aggr]])*($D169=CLASSIFICATION[[Functional Scope Aggr]:[Functional Scope Aggr]])),
_xlpm._platform_keywords, _xlfn.TEXTSPLIT(SUBSTITUTE(SUBSTITUTE(VLOOKUP($D169,_xlpm._platform_range,3,FALSE),"+"&amp;CHAR(34),"+"),CHAR(34),""),", "),
_xlpm._exists, SUMPRODUCT(--ISNUMBER(MATCH(_xlpm._platform_keywords,_xlpm._original_keywords,0)))&gt;0,
_xlfn.IFS(AND(_xlpm._exists,LEFT($E169,1)="+"),"+",_xlpm._exists,"*",NOT(_xlpm._exists),"")
)</f>
        <v/>
      </c>
      <c r="M169" s="33" t="str" cm="1">
        <f t="array" aca="1" ref="M16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($E169=CLASSIFICATION[[Keyword Aggr]:[Keyword Aggr]])*($D169=CLASSIFICATION[[Functional Scope Aggr]:[Functional Scope Aggr]])),
_xlpm._platform_keywords, _xlfn.TEXTSPLIT(SUBSTITUTE(SUBSTITUTE(VLOOKUP($D169,_xlpm._platform_range,3,FALSE),"+"&amp;CHAR(34),"+"),CHAR(34),""),", "),
_xlpm._exists, SUMPRODUCT(--ISNUMBER(MATCH(_xlpm._platform_keywords,_xlpm._original_keywords,0)))&gt;0,
_xlfn.IFS(AND(_xlpm._exists,LEFT($E169,1)="+"),"+",_xlpm._exists,"*",NOT(_xlpm._exists),"")
)</f>
        <v/>
      </c>
      <c r="N169" s="33" t="str" cm="1">
        <f t="array" aca="1" ref="N16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($E169=CLASSIFICATION[[Keyword Aggr]:[Keyword Aggr]])*($D169=CLASSIFICATION[[Functional Scope Aggr]:[Functional Scope Aggr]])),
_xlpm._platform_keywords, _xlfn.TEXTSPLIT(SUBSTITUTE(SUBSTITUTE(VLOOKUP($D169,_xlpm._platform_range,3,FALSE),"+"&amp;CHAR(34),"+"),CHAR(34),""),", "),
_xlpm._exists, SUMPRODUCT(--ISNUMBER(MATCH(_xlpm._platform_keywords,_xlpm._original_keywords,0)))&gt;0,
_xlfn.IFS(AND(_xlpm._exists,LEFT($E169,1)="+"),"+",_xlpm._exists,"*",NOT(_xlpm._exists),"")
)</f>
        <v>*</v>
      </c>
      <c r="O169" s="33" t="str" cm="1">
        <f t="array" aca="1" ref="O16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($E169=CLASSIFICATION[[Keyword Aggr]:[Keyword Aggr]])*($D169=CLASSIFICATION[[Functional Scope Aggr]:[Functional Scope Aggr]])),
_xlpm._platform_keywords, _xlfn.TEXTSPLIT(SUBSTITUTE(SUBSTITUTE(VLOOKUP($D169,_xlpm._platform_range,3,FALSE),"+"&amp;CHAR(34),"+"),CHAR(34),""),", "),
_xlpm._exists, SUMPRODUCT(--ISNUMBER(MATCH(_xlpm._platform_keywords,_xlpm._original_keywords,0)))&gt;0,
_xlfn.IFS(AND(_xlpm._exists,LEFT($E169,1)="+"),"+",_xlpm._exists,"*",NOT(_xlpm._exists),"")
)</f>
        <v/>
      </c>
      <c r="Q169" s="33" t="str" cm="1">
        <f t="array" aca="1" ref="Q16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($E169=CLASSIFICATION[[Keyword Aggr]:[Keyword Aggr]])*($D169=CLASSIFICATION[[Functional Scope Aggr]:[Functional Scope Aggr]])),
_xlpm._platform_keywords, _xlfn.TEXTSPLIT(SUBSTITUTE(SUBSTITUTE(VLOOKUP($D169,_xlpm._platform_range,3,FALSE),"+"&amp;CHAR(34),"+"),CHAR(34),""),", "),
_xlpm._exists, SUMPRODUCT(--ISNUMBER(MATCH(_xlpm._platform_keywords,_xlpm._original_keywords,0)))&gt;0,
_xlfn.IFS(_xlpm._exists,1,NOT(_xlpm._exists),"")
)</f>
        <v/>
      </c>
      <c r="R169" s="33" t="str" cm="1">
        <f t="array" aca="1" ref="R16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($E169=CLASSIFICATION[[Keyword Aggr]:[Keyword Aggr]])*($D169=CLASSIFICATION[[Functional Scope Aggr]:[Functional Scope Aggr]])),
_xlpm._platform_keywords, _xlfn.TEXTSPLIT(SUBSTITUTE(SUBSTITUTE(VLOOKUP($D169,_xlpm._platform_range,3,FALSE),"+"&amp;CHAR(34),"+"),CHAR(34),""),", "),
_xlpm._exists, SUMPRODUCT(--ISNUMBER(MATCH(_xlpm._platform_keywords,_xlpm._original_keywords,0)))&gt;0,
_xlfn.IFS(_xlpm._exists,1,NOT(_xlpm._exists),"")
)</f>
        <v/>
      </c>
      <c r="S169" s="33" t="str" cm="1">
        <f t="array" aca="1" ref="S16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($E169=CLASSIFICATION[[Keyword Aggr]:[Keyword Aggr]])*($D169=CLASSIFICATION[[Functional Scope Aggr]:[Functional Scope Aggr]])),
_xlpm._platform_keywords, _xlfn.TEXTSPLIT(SUBSTITUTE(SUBSTITUTE(VLOOKUP($D169,_xlpm._platform_range,3,FALSE),"+"&amp;CHAR(34),"+"),CHAR(34),""),", "),
_xlpm._exists, SUMPRODUCT(--ISNUMBER(MATCH(_xlpm._platform_keywords,_xlpm._original_keywords,0)))&gt;0,
_xlfn.IFS(_xlpm._exists,1,NOT(_xlpm._exists),"")
)</f>
        <v/>
      </c>
      <c r="T169" s="33" t="str" cm="1">
        <f t="array" aca="1" ref="T16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($E169=CLASSIFICATION[[Keyword Aggr]:[Keyword Aggr]])*($D169=CLASSIFICATION[[Functional Scope Aggr]:[Functional Scope Aggr]])),
_xlpm._platform_keywords, _xlfn.TEXTSPLIT(SUBSTITUTE(SUBSTITUTE(VLOOKUP($D169,_xlpm._platform_range,3,FALSE),"+"&amp;CHAR(34),"+"),CHAR(34),""),", "),
_xlpm._exists, SUMPRODUCT(--ISNUMBER(MATCH(_xlpm._platform_keywords,_xlpm._original_keywords,0)))&gt;0,
_xlfn.IFS(_xlpm._exists,1,NOT(_xlpm._exists),"")
)</f>
        <v/>
      </c>
      <c r="U169" s="33" cm="1">
        <f t="array" aca="1" ref="U16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($E169=CLASSIFICATION[[Keyword Aggr]:[Keyword Aggr]])*($D169=CLASSIFICATION[[Functional Scope Aggr]:[Functional Scope Aggr]])),
_xlpm._platform_keywords, _xlfn.TEXTSPLIT(SUBSTITUTE(SUBSTITUTE(VLOOKUP($D169,_xlpm._platform_range,3,FALSE),"+"&amp;CHAR(34),"+"),CHAR(34),""),", "),
_xlpm._exists, SUMPRODUCT(--ISNUMBER(MATCH(_xlpm._platform_keywords,_xlpm._original_keywords,0)))&gt;0,
_xlfn.IFS(_xlpm._exists,1,NOT(_xlpm._exists),"")
)</f>
        <v>1</v>
      </c>
      <c r="V169" s="33" t="str" cm="1">
        <f t="array" aca="1" ref="V16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($E169=CLASSIFICATION[[Keyword Aggr]:[Keyword Aggr]])*($D169=CLASSIFICATION[[Functional Scope Aggr]:[Functional Scope Aggr]])),
_xlpm._platform_keywords, _xlfn.TEXTSPLIT(SUBSTITUTE(SUBSTITUTE(VLOOKUP($D169,_xlpm._platform_range,3,FALSE),"+"&amp;CHAR(34),"+"),CHAR(34),""),", "),
_xlpm._exists, SUMPRODUCT(--ISNUMBER(MATCH(_xlpm._platform_keywords,_xlpm._original_keywords,0)))&gt;0,
_xlfn.IFS(_xlpm._exists,1,NOT(_xlpm._exists),"")
)</f>
        <v/>
      </c>
      <c r="X169" s="33" t="str">
        <f t="shared" si="23"/>
        <v/>
      </c>
      <c r="Y169" s="33" t="str">
        <f t="shared" si="24"/>
        <v/>
      </c>
      <c r="Z169" s="33" t="str">
        <f t="shared" si="25"/>
        <v/>
      </c>
      <c r="AA169" s="33" t="str">
        <f t="shared" si="26"/>
        <v/>
      </c>
      <c r="AB169" s="33" t="str">
        <f t="shared" si="27"/>
        <v/>
      </c>
      <c r="AC169" s="33" t="str">
        <f t="shared" si="28"/>
        <v/>
      </c>
    </row>
    <row r="170" spans="1:29" x14ac:dyDescent="0.25">
      <c r="A170" s="19" t="str">
        <v>Implementation,Runtime server installation,OQL</v>
      </c>
      <c r="B170" t="s">
        <v>377</v>
      </c>
      <c r="C170" s="19" t="str" cm="1">
        <f t="array" ref="C170:E170">_xlfn.TEXTSPLIT(A170,",")</f>
        <v>Implementation</v>
      </c>
      <c r="D170" s="19" t="str">
        <v>Runtime server installation</v>
      </c>
      <c r="E170" s="19" t="str">
        <v>OQL</v>
      </c>
      <c r="F170" s="36" t="str" cm="1">
        <f t="array" ref="F170">_xlfn.TEXTJOIN(",",TRUE,_xlfn._xlws.FILTER(CLASSIFICATION[Keyword], ($E170=CLASSIFICATION[Keyword Aggr])*($D170=CLASSIFICATION[Functional Scope Aggr])))</f>
        <v>OQL</v>
      </c>
      <c r="G170" s="32" t="str">
        <f t="shared" si="20"/>
        <v/>
      </c>
      <c r="H170" s="32" t="str">
        <f t="shared" si="21"/>
        <v/>
      </c>
      <c r="I170" s="32" t="str">
        <f t="shared" si="22"/>
        <v>OQL</v>
      </c>
      <c r="J170" s="33" t="str" cm="1">
        <f t="array" aca="1" ref="J17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($E170=CLASSIFICATION[[Keyword Aggr]:[Keyword Aggr]])*($D170=CLASSIFICATION[[Functional Scope Aggr]:[Functional Scope Aggr]])),
_xlpm._platform_keywords, _xlfn.TEXTSPLIT(SUBSTITUTE(SUBSTITUTE(VLOOKUP($D170,_xlpm._platform_range,3,FALSE),"+"&amp;CHAR(34),"+"),CHAR(34),""),", "),
_xlpm._exists, SUMPRODUCT(--ISNUMBER(MATCH(_xlpm._platform_keywords,_xlpm._original_keywords,0)))&gt;0,
_xlfn.IFS(AND(_xlpm._exists,LEFT($E170,1)="+"),"+",_xlpm._exists,"*",NOT(_xlpm._exists),"")
)</f>
        <v>*</v>
      </c>
      <c r="K170" s="33" t="str" cm="1">
        <f t="array" aca="1" ref="K17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($E170=CLASSIFICATION[[Keyword Aggr]:[Keyword Aggr]])*($D170=CLASSIFICATION[[Functional Scope Aggr]:[Functional Scope Aggr]])),
_xlpm._platform_keywords, _xlfn.TEXTSPLIT(SUBSTITUTE(SUBSTITUTE(VLOOKUP($D170,_xlpm._platform_range,3,FALSE),"+"&amp;CHAR(34),"+"),CHAR(34),""),", "),
_xlpm._exists, SUMPRODUCT(--ISNUMBER(MATCH(_xlpm._platform_keywords,_xlpm._original_keywords,0)))&gt;0,
_xlfn.IFS(AND(_xlpm._exists,LEFT($E170,1)="+"),"+",_xlpm._exists,"*",NOT(_xlpm._exists),"")
)</f>
        <v/>
      </c>
      <c r="L170" s="33" t="str" cm="1">
        <f t="array" aca="1" ref="L17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($E170=CLASSIFICATION[[Keyword Aggr]:[Keyword Aggr]])*($D170=CLASSIFICATION[[Functional Scope Aggr]:[Functional Scope Aggr]])),
_xlpm._platform_keywords, _xlfn.TEXTSPLIT(SUBSTITUTE(SUBSTITUTE(VLOOKUP($D170,_xlpm._platform_range,3,FALSE),"+"&amp;CHAR(34),"+"),CHAR(34),""),", "),
_xlpm._exists, SUMPRODUCT(--ISNUMBER(MATCH(_xlpm._platform_keywords,_xlpm._original_keywords,0)))&gt;0,
_xlfn.IFS(AND(_xlpm._exists,LEFT($E170,1)="+"),"+",_xlpm._exists,"*",NOT(_xlpm._exists),"")
)</f>
        <v/>
      </c>
      <c r="M170" s="33" t="str" cm="1">
        <f t="array" aca="1" ref="M17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($E170=CLASSIFICATION[[Keyword Aggr]:[Keyword Aggr]])*($D170=CLASSIFICATION[[Functional Scope Aggr]:[Functional Scope Aggr]])),
_xlpm._platform_keywords, _xlfn.TEXTSPLIT(SUBSTITUTE(SUBSTITUTE(VLOOKUP($D170,_xlpm._platform_range,3,FALSE),"+"&amp;CHAR(34),"+"),CHAR(34),""),", "),
_xlpm._exists, SUMPRODUCT(--ISNUMBER(MATCH(_xlpm._platform_keywords,_xlpm._original_keywords,0)))&gt;0,
_xlfn.IFS(AND(_xlpm._exists,LEFT($E170,1)="+"),"+",_xlpm._exists,"*",NOT(_xlpm._exists),"")
)</f>
        <v/>
      </c>
      <c r="N170" s="33" t="str" cm="1">
        <f t="array" aca="1" ref="N17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($E170=CLASSIFICATION[[Keyword Aggr]:[Keyword Aggr]])*($D170=CLASSIFICATION[[Functional Scope Aggr]:[Functional Scope Aggr]])),
_xlpm._platform_keywords, _xlfn.TEXTSPLIT(SUBSTITUTE(SUBSTITUTE(VLOOKUP($D170,_xlpm._platform_range,3,FALSE),"+"&amp;CHAR(34),"+"),CHAR(34),""),", "),
_xlpm._exists, SUMPRODUCT(--ISNUMBER(MATCH(_xlpm._platform_keywords,_xlpm._original_keywords,0)))&gt;0,
_xlfn.IFS(AND(_xlpm._exists,LEFT($E170,1)="+"),"+",_xlpm._exists,"*",NOT(_xlpm._exists),"")
)</f>
        <v/>
      </c>
      <c r="O170" s="33" t="str" cm="1">
        <f t="array" aca="1" ref="O17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($E170=CLASSIFICATION[[Keyword Aggr]:[Keyword Aggr]])*($D170=CLASSIFICATION[[Functional Scope Aggr]:[Functional Scope Aggr]])),
_xlpm._platform_keywords, _xlfn.TEXTSPLIT(SUBSTITUTE(SUBSTITUTE(VLOOKUP($D170,_xlpm._platform_range,3,FALSE),"+"&amp;CHAR(34),"+"),CHAR(34),""),", "),
_xlpm._exists, SUMPRODUCT(--ISNUMBER(MATCH(_xlpm._platform_keywords,_xlpm._original_keywords,0)))&gt;0,
_xlfn.IFS(AND(_xlpm._exists,LEFT($E170,1)="+"),"+",_xlpm._exists,"*",NOT(_xlpm._exists),"")
)</f>
        <v/>
      </c>
      <c r="Q170" s="33" cm="1">
        <f t="array" aca="1" ref="Q17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($E170=CLASSIFICATION[[Keyword Aggr]:[Keyword Aggr]])*($D170=CLASSIFICATION[[Functional Scope Aggr]:[Functional Scope Aggr]])),
_xlpm._platform_keywords, _xlfn.TEXTSPLIT(SUBSTITUTE(SUBSTITUTE(VLOOKUP($D170,_xlpm._platform_range,3,FALSE),"+"&amp;CHAR(34),"+"),CHAR(34),""),", "),
_xlpm._exists, SUMPRODUCT(--ISNUMBER(MATCH(_xlpm._platform_keywords,_xlpm._original_keywords,0)))&gt;0,
_xlfn.IFS(_xlpm._exists,1,NOT(_xlpm._exists),"")
)</f>
        <v>1</v>
      </c>
      <c r="R170" s="33" t="str" cm="1">
        <f t="array" aca="1" ref="R17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($E170=CLASSIFICATION[[Keyword Aggr]:[Keyword Aggr]])*($D170=CLASSIFICATION[[Functional Scope Aggr]:[Functional Scope Aggr]])),
_xlpm._platform_keywords, _xlfn.TEXTSPLIT(SUBSTITUTE(SUBSTITUTE(VLOOKUP($D170,_xlpm._platform_range,3,FALSE),"+"&amp;CHAR(34),"+"),CHAR(34),""),", "),
_xlpm._exists, SUMPRODUCT(--ISNUMBER(MATCH(_xlpm._platform_keywords,_xlpm._original_keywords,0)))&gt;0,
_xlfn.IFS(_xlpm._exists,1,NOT(_xlpm._exists),"")
)</f>
        <v/>
      </c>
      <c r="S170" s="33" t="str" cm="1">
        <f t="array" aca="1" ref="S17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($E170=CLASSIFICATION[[Keyword Aggr]:[Keyword Aggr]])*($D170=CLASSIFICATION[[Functional Scope Aggr]:[Functional Scope Aggr]])),
_xlpm._platform_keywords, _xlfn.TEXTSPLIT(SUBSTITUTE(SUBSTITUTE(VLOOKUP($D170,_xlpm._platform_range,3,FALSE),"+"&amp;CHAR(34),"+"),CHAR(34),""),", "),
_xlpm._exists, SUMPRODUCT(--ISNUMBER(MATCH(_xlpm._platform_keywords,_xlpm._original_keywords,0)))&gt;0,
_xlfn.IFS(_xlpm._exists,1,NOT(_xlpm._exists),"")
)</f>
        <v/>
      </c>
      <c r="T170" s="33" t="str" cm="1">
        <f t="array" aca="1" ref="T17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($E170=CLASSIFICATION[[Keyword Aggr]:[Keyword Aggr]])*($D170=CLASSIFICATION[[Functional Scope Aggr]:[Functional Scope Aggr]])),
_xlpm._platform_keywords, _xlfn.TEXTSPLIT(SUBSTITUTE(SUBSTITUTE(VLOOKUP($D170,_xlpm._platform_range,3,FALSE),"+"&amp;CHAR(34),"+"),CHAR(34),""),", "),
_xlpm._exists, SUMPRODUCT(--ISNUMBER(MATCH(_xlpm._platform_keywords,_xlpm._original_keywords,0)))&gt;0,
_xlfn.IFS(_xlpm._exists,1,NOT(_xlpm._exists),"")
)</f>
        <v/>
      </c>
      <c r="U170" s="33" t="str" cm="1">
        <f t="array" aca="1" ref="U17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($E170=CLASSIFICATION[[Keyword Aggr]:[Keyword Aggr]])*($D170=CLASSIFICATION[[Functional Scope Aggr]:[Functional Scope Aggr]])),
_xlpm._platform_keywords, _xlfn.TEXTSPLIT(SUBSTITUTE(SUBSTITUTE(VLOOKUP($D170,_xlpm._platform_range,3,FALSE),"+"&amp;CHAR(34),"+"),CHAR(34),""),", "),
_xlpm._exists, SUMPRODUCT(--ISNUMBER(MATCH(_xlpm._platform_keywords,_xlpm._original_keywords,0)))&gt;0,
_xlfn.IFS(_xlpm._exists,1,NOT(_xlpm._exists),"")
)</f>
        <v/>
      </c>
      <c r="V170" s="33" t="str" cm="1">
        <f t="array" aca="1" ref="V17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($E170=CLASSIFICATION[[Keyword Aggr]:[Keyword Aggr]])*($D170=CLASSIFICATION[[Functional Scope Aggr]:[Functional Scope Aggr]])),
_xlpm._platform_keywords, _xlfn.TEXTSPLIT(SUBSTITUTE(SUBSTITUTE(VLOOKUP($D170,_xlpm._platform_range,3,FALSE),"+"&amp;CHAR(34),"+"),CHAR(34),""),", "),
_xlpm._exists, SUMPRODUCT(--ISNUMBER(MATCH(_xlpm._platform_keywords,_xlpm._original_keywords,0)))&gt;0,
_xlfn.IFS(_xlpm._exists,1,NOT(_xlpm._exists),"")
)</f>
        <v/>
      </c>
      <c r="X170" s="33" t="str">
        <f t="shared" si="23"/>
        <v/>
      </c>
      <c r="Y170" s="33" t="str">
        <f t="shared" si="24"/>
        <v/>
      </c>
      <c r="Z170" s="33" t="str">
        <f t="shared" si="25"/>
        <v/>
      </c>
      <c r="AA170" s="33" t="str">
        <f t="shared" si="26"/>
        <v/>
      </c>
      <c r="AB170" s="33" t="str">
        <f t="shared" si="27"/>
        <v/>
      </c>
      <c r="AC170" s="33" t="str">
        <f t="shared" si="28"/>
        <v/>
      </c>
    </row>
    <row r="171" spans="1:29" x14ac:dyDescent="0.25">
      <c r="A171" s="19" t="str">
        <v>Implementation,Runtime server installation,Proxy server</v>
      </c>
      <c r="B171" t="s">
        <v>377</v>
      </c>
      <c r="C171" s="19" t="str" cm="1">
        <f t="array" ref="C171:E171">_xlfn.TEXTSPLIT(A171,",")</f>
        <v>Implementation</v>
      </c>
      <c r="D171" s="19" t="str">
        <v>Runtime server installation</v>
      </c>
      <c r="E171" s="19" t="str">
        <v>Proxy server</v>
      </c>
      <c r="F171" s="36" t="str" cm="1">
        <f t="array" ref="F171">_xlfn.TEXTJOIN(",",TRUE,_xlfn._xlws.FILTER(CLASSIFICATION[Keyword], ($E171=CLASSIFICATION[Keyword Aggr])*($D171=CLASSIFICATION[Functional Scope Aggr])))</f>
        <v>Proxy server</v>
      </c>
      <c r="G171" s="32" t="str">
        <f t="shared" si="20"/>
        <v/>
      </c>
      <c r="H171" s="32" t="str">
        <f t="shared" si="21"/>
        <v/>
      </c>
      <c r="I171" s="32" t="str">
        <f t="shared" si="22"/>
        <v>Proxy server</v>
      </c>
      <c r="J171" s="33" t="str" cm="1">
        <f t="array" aca="1" ref="J17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($E171=CLASSIFICATION[[Keyword Aggr]:[Keyword Aggr]])*($D171=CLASSIFICATION[[Functional Scope Aggr]:[Functional Scope Aggr]])),
_xlpm._platform_keywords, _xlfn.TEXTSPLIT(SUBSTITUTE(SUBSTITUTE(VLOOKUP($D171,_xlpm._platform_range,3,FALSE),"+"&amp;CHAR(34),"+"),CHAR(34),""),", "),
_xlpm._exists, SUMPRODUCT(--ISNUMBER(MATCH(_xlpm._platform_keywords,_xlpm._original_keywords,0)))&gt;0,
_xlfn.IFS(AND(_xlpm._exists,LEFT($E171,1)="+"),"+",_xlpm._exists,"*",NOT(_xlpm._exists),"")
)</f>
        <v/>
      </c>
      <c r="K171" s="33" t="str" cm="1">
        <f t="array" aca="1" ref="K17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($E171=CLASSIFICATION[[Keyword Aggr]:[Keyword Aggr]])*($D171=CLASSIFICATION[[Functional Scope Aggr]:[Functional Scope Aggr]])),
_xlpm._platform_keywords, _xlfn.TEXTSPLIT(SUBSTITUTE(SUBSTITUTE(VLOOKUP($D171,_xlpm._platform_range,3,FALSE),"+"&amp;CHAR(34),"+"),CHAR(34),""),", "),
_xlpm._exists, SUMPRODUCT(--ISNUMBER(MATCH(_xlpm._platform_keywords,_xlpm._original_keywords,0)))&gt;0,
_xlfn.IFS(AND(_xlpm._exists,LEFT($E171,1)="+"),"+",_xlpm._exists,"*",NOT(_xlpm._exists),"")
)</f>
        <v/>
      </c>
      <c r="L171" s="33" t="str" cm="1">
        <f t="array" aca="1" ref="L17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($E171=CLASSIFICATION[[Keyword Aggr]:[Keyword Aggr]])*($D171=CLASSIFICATION[[Functional Scope Aggr]:[Functional Scope Aggr]])),
_xlpm._platform_keywords, _xlfn.TEXTSPLIT(SUBSTITUTE(SUBSTITUTE(VLOOKUP($D171,_xlpm._platform_range,3,FALSE),"+"&amp;CHAR(34),"+"),CHAR(34),""),", "),
_xlpm._exists, SUMPRODUCT(--ISNUMBER(MATCH(_xlpm._platform_keywords,_xlpm._original_keywords,0)))&gt;0,
_xlfn.IFS(AND(_xlpm._exists,LEFT($E171,1)="+"),"+",_xlpm._exists,"*",NOT(_xlpm._exists),"")
)</f>
        <v>*</v>
      </c>
      <c r="M171" s="33" t="str" cm="1">
        <f t="array" aca="1" ref="M17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($E171=CLASSIFICATION[[Keyword Aggr]:[Keyword Aggr]])*($D171=CLASSIFICATION[[Functional Scope Aggr]:[Functional Scope Aggr]])),
_xlpm._platform_keywords, _xlfn.TEXTSPLIT(SUBSTITUTE(SUBSTITUTE(VLOOKUP($D171,_xlpm._platform_range,3,FALSE),"+"&amp;CHAR(34),"+"),CHAR(34),""),", "),
_xlpm._exists, SUMPRODUCT(--ISNUMBER(MATCH(_xlpm._platform_keywords,_xlpm._original_keywords,0)))&gt;0,
_xlfn.IFS(AND(_xlpm._exists,LEFT($E171,1)="+"),"+",_xlpm._exists,"*",NOT(_xlpm._exists),"")
)</f>
        <v/>
      </c>
      <c r="N171" s="33" t="str" cm="1">
        <f t="array" aca="1" ref="N17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($E171=CLASSIFICATION[[Keyword Aggr]:[Keyword Aggr]])*($D171=CLASSIFICATION[[Functional Scope Aggr]:[Functional Scope Aggr]])),
_xlpm._platform_keywords, _xlfn.TEXTSPLIT(SUBSTITUTE(SUBSTITUTE(VLOOKUP($D171,_xlpm._platform_range,3,FALSE),"+"&amp;CHAR(34),"+"),CHAR(34),""),", "),
_xlpm._exists, SUMPRODUCT(--ISNUMBER(MATCH(_xlpm._platform_keywords,_xlpm._original_keywords,0)))&gt;0,
_xlfn.IFS(AND(_xlpm._exists,LEFT($E171,1)="+"),"+",_xlpm._exists,"*",NOT(_xlpm._exists),"")
)</f>
        <v/>
      </c>
      <c r="O171" s="33" t="str" cm="1">
        <f t="array" aca="1" ref="O17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($E171=CLASSIFICATION[[Keyword Aggr]:[Keyword Aggr]])*($D171=CLASSIFICATION[[Functional Scope Aggr]:[Functional Scope Aggr]])),
_xlpm._platform_keywords, _xlfn.TEXTSPLIT(SUBSTITUTE(SUBSTITUTE(VLOOKUP($D171,_xlpm._platform_range,3,FALSE),"+"&amp;CHAR(34),"+"),CHAR(34),""),", "),
_xlpm._exists, SUMPRODUCT(--ISNUMBER(MATCH(_xlpm._platform_keywords,_xlpm._original_keywords,0)))&gt;0,
_xlfn.IFS(AND(_xlpm._exists,LEFT($E171,1)="+"),"+",_xlpm._exists,"*",NOT(_xlpm._exists),"")
)</f>
        <v/>
      </c>
      <c r="Q171" s="33" t="str" cm="1">
        <f t="array" aca="1" ref="Q17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($E171=CLASSIFICATION[[Keyword Aggr]:[Keyword Aggr]])*($D171=CLASSIFICATION[[Functional Scope Aggr]:[Functional Scope Aggr]])),
_xlpm._platform_keywords, _xlfn.TEXTSPLIT(SUBSTITUTE(SUBSTITUTE(VLOOKUP($D171,_xlpm._platform_range,3,FALSE),"+"&amp;CHAR(34),"+"),CHAR(34),""),", "),
_xlpm._exists, SUMPRODUCT(--ISNUMBER(MATCH(_xlpm._platform_keywords,_xlpm._original_keywords,0)))&gt;0,
_xlfn.IFS(_xlpm._exists,1,NOT(_xlpm._exists),"")
)</f>
        <v/>
      </c>
      <c r="R171" s="33" t="str" cm="1">
        <f t="array" aca="1" ref="R17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($E171=CLASSIFICATION[[Keyword Aggr]:[Keyword Aggr]])*($D171=CLASSIFICATION[[Functional Scope Aggr]:[Functional Scope Aggr]])),
_xlpm._platform_keywords, _xlfn.TEXTSPLIT(SUBSTITUTE(SUBSTITUTE(VLOOKUP($D171,_xlpm._platform_range,3,FALSE),"+"&amp;CHAR(34),"+"),CHAR(34),""),", "),
_xlpm._exists, SUMPRODUCT(--ISNUMBER(MATCH(_xlpm._platform_keywords,_xlpm._original_keywords,0)))&gt;0,
_xlfn.IFS(_xlpm._exists,1,NOT(_xlpm._exists),"")
)</f>
        <v/>
      </c>
      <c r="S171" s="33" cm="1">
        <f t="array" aca="1" ref="S17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($E171=CLASSIFICATION[[Keyword Aggr]:[Keyword Aggr]])*($D171=CLASSIFICATION[[Functional Scope Aggr]:[Functional Scope Aggr]])),
_xlpm._platform_keywords, _xlfn.TEXTSPLIT(SUBSTITUTE(SUBSTITUTE(VLOOKUP($D171,_xlpm._platform_range,3,FALSE),"+"&amp;CHAR(34),"+"),CHAR(34),""),", "),
_xlpm._exists, SUMPRODUCT(--ISNUMBER(MATCH(_xlpm._platform_keywords,_xlpm._original_keywords,0)))&gt;0,
_xlfn.IFS(_xlpm._exists,1,NOT(_xlpm._exists),"")
)</f>
        <v>1</v>
      </c>
      <c r="T171" s="33" t="str" cm="1">
        <f t="array" aca="1" ref="T17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($E171=CLASSIFICATION[[Keyword Aggr]:[Keyword Aggr]])*($D171=CLASSIFICATION[[Functional Scope Aggr]:[Functional Scope Aggr]])),
_xlpm._platform_keywords, _xlfn.TEXTSPLIT(SUBSTITUTE(SUBSTITUTE(VLOOKUP($D171,_xlpm._platform_range,3,FALSE),"+"&amp;CHAR(34),"+"),CHAR(34),""),", "),
_xlpm._exists, SUMPRODUCT(--ISNUMBER(MATCH(_xlpm._platform_keywords,_xlpm._original_keywords,0)))&gt;0,
_xlfn.IFS(_xlpm._exists,1,NOT(_xlpm._exists),"")
)</f>
        <v/>
      </c>
      <c r="U171" s="33" t="str" cm="1">
        <f t="array" aca="1" ref="U17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($E171=CLASSIFICATION[[Keyword Aggr]:[Keyword Aggr]])*($D171=CLASSIFICATION[[Functional Scope Aggr]:[Functional Scope Aggr]])),
_xlpm._platform_keywords, _xlfn.TEXTSPLIT(SUBSTITUTE(SUBSTITUTE(VLOOKUP($D171,_xlpm._platform_range,3,FALSE),"+"&amp;CHAR(34),"+"),CHAR(34),""),", "),
_xlpm._exists, SUMPRODUCT(--ISNUMBER(MATCH(_xlpm._platform_keywords,_xlpm._original_keywords,0)))&gt;0,
_xlfn.IFS(_xlpm._exists,1,NOT(_xlpm._exists),"")
)</f>
        <v/>
      </c>
      <c r="V171" s="33" t="str" cm="1">
        <f t="array" aca="1" ref="V17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($E171=CLASSIFICATION[[Keyword Aggr]:[Keyword Aggr]])*($D171=CLASSIFICATION[[Functional Scope Aggr]:[Functional Scope Aggr]])),
_xlpm._platform_keywords, _xlfn.TEXTSPLIT(SUBSTITUTE(SUBSTITUTE(VLOOKUP($D171,_xlpm._platform_range,3,FALSE),"+"&amp;CHAR(34),"+"),CHAR(34),""),", "),
_xlpm._exists, SUMPRODUCT(--ISNUMBER(MATCH(_xlpm._platform_keywords,_xlpm._original_keywords,0)))&gt;0,
_xlfn.IFS(_xlpm._exists,1,NOT(_xlpm._exists),"")
)</f>
        <v/>
      </c>
      <c r="X171" s="33" t="str">
        <f t="shared" si="23"/>
        <v/>
      </c>
      <c r="Y171" s="33" t="str">
        <f t="shared" si="24"/>
        <v/>
      </c>
      <c r="Z171" s="33" t="str">
        <f t="shared" si="25"/>
        <v/>
      </c>
      <c r="AA171" s="33" t="str">
        <f t="shared" si="26"/>
        <v/>
      </c>
      <c r="AB171" s="33" t="str">
        <f t="shared" si="27"/>
        <v/>
      </c>
      <c r="AC171" s="33" t="str">
        <f t="shared" si="28"/>
        <v/>
      </c>
    </row>
    <row r="172" spans="1:29" x14ac:dyDescent="0.25">
      <c r="A172" s="19" t="str">
        <v>Implementation,Runtime server installation,Relational Database</v>
      </c>
      <c r="B172" t="s">
        <v>377</v>
      </c>
      <c r="C172" s="19" t="str" cm="1">
        <f t="array" ref="C172:E172">_xlfn.TEXTSPLIT(A172,",")</f>
        <v>Implementation</v>
      </c>
      <c r="D172" s="19" t="str">
        <v>Runtime server installation</v>
      </c>
      <c r="E172" s="19" t="str">
        <v>Relational Database</v>
      </c>
      <c r="F172" s="36" t="str" cm="1">
        <f t="array" ref="F172">_xlfn.TEXTJOIN(",",TRUE,_xlfn._xlws.FILTER(CLASSIFICATION[Keyword], ($E172=CLASSIFICATION[Keyword Aggr])*($D172=CLASSIFICATION[Functional Scope Aggr])))</f>
        <v>Relational Database</v>
      </c>
      <c r="G172" s="32" t="str">
        <f t="shared" si="20"/>
        <v/>
      </c>
      <c r="H172" s="32" t="str">
        <f t="shared" si="21"/>
        <v/>
      </c>
      <c r="I172" s="32" t="str">
        <f t="shared" si="22"/>
        <v>Relational Database</v>
      </c>
      <c r="J172" s="33" t="str" cm="1">
        <f t="array" aca="1" ref="J17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($E172=CLASSIFICATION[[Keyword Aggr]:[Keyword Aggr]])*($D172=CLASSIFICATION[[Functional Scope Aggr]:[Functional Scope Aggr]])),
_xlpm._platform_keywords, _xlfn.TEXTSPLIT(SUBSTITUTE(SUBSTITUTE(VLOOKUP($D172,_xlpm._platform_range,3,FALSE),"+"&amp;CHAR(34),"+"),CHAR(34),""),", "),
_xlpm._exists, SUMPRODUCT(--ISNUMBER(MATCH(_xlpm._platform_keywords,_xlpm._original_keywords,0)))&gt;0,
_xlfn.IFS(AND(_xlpm._exists,LEFT($E172,1)="+"),"+",_xlpm._exists,"*",NOT(_xlpm._exists),"")
)</f>
        <v>*</v>
      </c>
      <c r="K172" s="33" t="str" cm="1">
        <f t="array" aca="1" ref="K17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($E172=CLASSIFICATION[[Keyword Aggr]:[Keyword Aggr]])*($D172=CLASSIFICATION[[Functional Scope Aggr]:[Functional Scope Aggr]])),
_xlpm._platform_keywords, _xlfn.TEXTSPLIT(SUBSTITUTE(SUBSTITUTE(VLOOKUP($D172,_xlpm._platform_range,3,FALSE),"+"&amp;CHAR(34),"+"),CHAR(34),""),", "),
_xlpm._exists, SUMPRODUCT(--ISNUMBER(MATCH(_xlpm._platform_keywords,_xlpm._original_keywords,0)))&gt;0,
_xlfn.IFS(AND(_xlpm._exists,LEFT($E172,1)="+"),"+",_xlpm._exists,"*",NOT(_xlpm._exists),"")
)</f>
        <v/>
      </c>
      <c r="L172" s="33" t="str" cm="1">
        <f t="array" aca="1" ref="L17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($E172=CLASSIFICATION[[Keyword Aggr]:[Keyword Aggr]])*($D172=CLASSIFICATION[[Functional Scope Aggr]:[Functional Scope Aggr]])),
_xlpm._platform_keywords, _xlfn.TEXTSPLIT(SUBSTITUTE(SUBSTITUTE(VLOOKUP($D172,_xlpm._platform_range,3,FALSE),"+"&amp;CHAR(34),"+"),CHAR(34),""),", "),
_xlpm._exists, SUMPRODUCT(--ISNUMBER(MATCH(_xlpm._platform_keywords,_xlpm._original_keywords,0)))&gt;0,
_xlfn.IFS(AND(_xlpm._exists,LEFT($E172,1)="+"),"+",_xlpm._exists,"*",NOT(_xlpm._exists),"")
)</f>
        <v/>
      </c>
      <c r="M172" s="33" t="str" cm="1">
        <f t="array" aca="1" ref="M17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($E172=CLASSIFICATION[[Keyword Aggr]:[Keyword Aggr]])*($D172=CLASSIFICATION[[Functional Scope Aggr]:[Functional Scope Aggr]])),
_xlpm._platform_keywords, _xlfn.TEXTSPLIT(SUBSTITUTE(SUBSTITUTE(VLOOKUP($D172,_xlpm._platform_range,3,FALSE),"+"&amp;CHAR(34),"+"),CHAR(34),""),", "),
_xlpm._exists, SUMPRODUCT(--ISNUMBER(MATCH(_xlpm._platform_keywords,_xlpm._original_keywords,0)))&gt;0,
_xlfn.IFS(AND(_xlpm._exists,LEFT($E172,1)="+"),"+",_xlpm._exists,"*",NOT(_xlpm._exists),"")
)</f>
        <v/>
      </c>
      <c r="N172" s="33" t="str" cm="1">
        <f t="array" aca="1" ref="N17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($E172=CLASSIFICATION[[Keyword Aggr]:[Keyword Aggr]])*($D172=CLASSIFICATION[[Functional Scope Aggr]:[Functional Scope Aggr]])),
_xlpm._platform_keywords, _xlfn.TEXTSPLIT(SUBSTITUTE(SUBSTITUTE(VLOOKUP($D172,_xlpm._platform_range,3,FALSE),"+"&amp;CHAR(34),"+"),CHAR(34),""),", "),
_xlpm._exists, SUMPRODUCT(--ISNUMBER(MATCH(_xlpm._platform_keywords,_xlpm._original_keywords,0)))&gt;0,
_xlfn.IFS(AND(_xlpm._exists,LEFT($E172,1)="+"),"+",_xlpm._exists,"*",NOT(_xlpm._exists),"")
)</f>
        <v/>
      </c>
      <c r="O172" s="33" t="str" cm="1">
        <f t="array" aca="1" ref="O17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($E172=CLASSIFICATION[[Keyword Aggr]:[Keyword Aggr]])*($D172=CLASSIFICATION[[Functional Scope Aggr]:[Functional Scope Aggr]])),
_xlpm._platform_keywords, _xlfn.TEXTSPLIT(SUBSTITUTE(SUBSTITUTE(VLOOKUP($D172,_xlpm._platform_range,3,FALSE),"+"&amp;CHAR(34),"+"),CHAR(34),""),", "),
_xlpm._exists, SUMPRODUCT(--ISNUMBER(MATCH(_xlpm._platform_keywords,_xlpm._original_keywords,0)))&gt;0,
_xlfn.IFS(AND(_xlpm._exists,LEFT($E172,1)="+"),"+",_xlpm._exists,"*",NOT(_xlpm._exists),"")
)</f>
        <v/>
      </c>
      <c r="Q172" s="33" cm="1">
        <f t="array" aca="1" ref="Q17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($E172=CLASSIFICATION[[Keyword Aggr]:[Keyword Aggr]])*($D172=CLASSIFICATION[[Functional Scope Aggr]:[Functional Scope Aggr]])),
_xlpm._platform_keywords, _xlfn.TEXTSPLIT(SUBSTITUTE(SUBSTITUTE(VLOOKUP($D172,_xlpm._platform_range,3,FALSE),"+"&amp;CHAR(34),"+"),CHAR(34),""),", "),
_xlpm._exists, SUMPRODUCT(--ISNUMBER(MATCH(_xlpm._platform_keywords,_xlpm._original_keywords,0)))&gt;0,
_xlfn.IFS(_xlpm._exists,1,NOT(_xlpm._exists),"")
)</f>
        <v>1</v>
      </c>
      <c r="R172" s="33" t="str" cm="1">
        <f t="array" aca="1" ref="R17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($E172=CLASSIFICATION[[Keyword Aggr]:[Keyword Aggr]])*($D172=CLASSIFICATION[[Functional Scope Aggr]:[Functional Scope Aggr]])),
_xlpm._platform_keywords, _xlfn.TEXTSPLIT(SUBSTITUTE(SUBSTITUTE(VLOOKUP($D172,_xlpm._platform_range,3,FALSE),"+"&amp;CHAR(34),"+"),CHAR(34),""),", "),
_xlpm._exists, SUMPRODUCT(--ISNUMBER(MATCH(_xlpm._platform_keywords,_xlpm._original_keywords,0)))&gt;0,
_xlfn.IFS(_xlpm._exists,1,NOT(_xlpm._exists),"")
)</f>
        <v/>
      </c>
      <c r="S172" s="33" t="str" cm="1">
        <f t="array" aca="1" ref="S17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($E172=CLASSIFICATION[[Keyword Aggr]:[Keyword Aggr]])*($D172=CLASSIFICATION[[Functional Scope Aggr]:[Functional Scope Aggr]])),
_xlpm._platform_keywords, _xlfn.TEXTSPLIT(SUBSTITUTE(SUBSTITUTE(VLOOKUP($D172,_xlpm._platform_range,3,FALSE),"+"&amp;CHAR(34),"+"),CHAR(34),""),", "),
_xlpm._exists, SUMPRODUCT(--ISNUMBER(MATCH(_xlpm._platform_keywords,_xlpm._original_keywords,0)))&gt;0,
_xlfn.IFS(_xlpm._exists,1,NOT(_xlpm._exists),"")
)</f>
        <v/>
      </c>
      <c r="T172" s="33" t="str" cm="1">
        <f t="array" aca="1" ref="T17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($E172=CLASSIFICATION[[Keyword Aggr]:[Keyword Aggr]])*($D172=CLASSIFICATION[[Functional Scope Aggr]:[Functional Scope Aggr]])),
_xlpm._platform_keywords, _xlfn.TEXTSPLIT(SUBSTITUTE(SUBSTITUTE(VLOOKUP($D172,_xlpm._platform_range,3,FALSE),"+"&amp;CHAR(34),"+"),CHAR(34),""),", "),
_xlpm._exists, SUMPRODUCT(--ISNUMBER(MATCH(_xlpm._platform_keywords,_xlpm._original_keywords,0)))&gt;0,
_xlfn.IFS(_xlpm._exists,1,NOT(_xlpm._exists),"")
)</f>
        <v/>
      </c>
      <c r="U172" s="33" t="str" cm="1">
        <f t="array" aca="1" ref="U17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($E172=CLASSIFICATION[[Keyword Aggr]:[Keyword Aggr]])*($D172=CLASSIFICATION[[Functional Scope Aggr]:[Functional Scope Aggr]])),
_xlpm._platform_keywords, _xlfn.TEXTSPLIT(SUBSTITUTE(SUBSTITUTE(VLOOKUP($D172,_xlpm._platform_range,3,FALSE),"+"&amp;CHAR(34),"+"),CHAR(34),""),", "),
_xlpm._exists, SUMPRODUCT(--ISNUMBER(MATCH(_xlpm._platform_keywords,_xlpm._original_keywords,0)))&gt;0,
_xlfn.IFS(_xlpm._exists,1,NOT(_xlpm._exists),"")
)</f>
        <v/>
      </c>
      <c r="V172" s="33" t="str" cm="1">
        <f t="array" aca="1" ref="V17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($E172=CLASSIFICATION[[Keyword Aggr]:[Keyword Aggr]])*($D172=CLASSIFICATION[[Functional Scope Aggr]:[Functional Scope Aggr]])),
_xlpm._platform_keywords, _xlfn.TEXTSPLIT(SUBSTITUTE(SUBSTITUTE(VLOOKUP($D172,_xlpm._platform_range,3,FALSE),"+"&amp;CHAR(34),"+"),CHAR(34),""),", "),
_xlpm._exists, SUMPRODUCT(--ISNUMBER(MATCH(_xlpm._platform_keywords,_xlpm._original_keywords,0)))&gt;0,
_xlfn.IFS(_xlpm._exists,1,NOT(_xlpm._exists),"")
)</f>
        <v/>
      </c>
      <c r="X172" s="33" t="str">
        <f t="shared" si="23"/>
        <v/>
      </c>
      <c r="Y172" s="33" t="str">
        <f t="shared" si="24"/>
        <v/>
      </c>
      <c r="Z172" s="33" t="str">
        <f t="shared" si="25"/>
        <v/>
      </c>
      <c r="AA172" s="33" t="str">
        <f t="shared" si="26"/>
        <v/>
      </c>
      <c r="AB172" s="33" t="str">
        <f t="shared" si="27"/>
        <v/>
      </c>
      <c r="AC172" s="33" t="str">
        <f t="shared" si="28"/>
        <v/>
      </c>
    </row>
    <row r="173" spans="1:29" x14ac:dyDescent="0.25">
      <c r="A173" s="19" t="str">
        <v>Implementation,Runtime server installation,REST API</v>
      </c>
      <c r="B173" t="s">
        <v>377</v>
      </c>
      <c r="C173" s="19" t="str" cm="1">
        <f t="array" ref="C173:E173">_xlfn.TEXTSPLIT(A173,",")</f>
        <v>Implementation</v>
      </c>
      <c r="D173" s="19" t="str">
        <v>Runtime server installation</v>
      </c>
      <c r="E173" s="19" t="str">
        <v>REST API</v>
      </c>
      <c r="F173" s="36" t="str" cm="1">
        <f t="array" ref="F173">_xlfn.TEXTJOIN(",",TRUE,_xlfn._xlws.FILTER(CLASSIFICATION[Keyword], ($E173=CLASSIFICATION[Keyword Aggr])*($D173=CLASSIFICATION[Functional Scope Aggr])))</f>
        <v>REST API</v>
      </c>
      <c r="G173" s="32" t="str">
        <f t="shared" si="20"/>
        <v/>
      </c>
      <c r="H173" s="32" t="str">
        <f t="shared" si="21"/>
        <v/>
      </c>
      <c r="I173" s="32" t="str">
        <f t="shared" si="22"/>
        <v>REST API</v>
      </c>
      <c r="J173" s="33" t="str" cm="1">
        <f t="array" aca="1" ref="J17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($E173=CLASSIFICATION[[Keyword Aggr]:[Keyword Aggr]])*($D173=CLASSIFICATION[[Functional Scope Aggr]:[Functional Scope Aggr]])),
_xlpm._platform_keywords, _xlfn.TEXTSPLIT(SUBSTITUTE(SUBSTITUTE(VLOOKUP($D173,_xlpm._platform_range,3,FALSE),"+"&amp;CHAR(34),"+"),CHAR(34),""),", "),
_xlpm._exists, SUMPRODUCT(--ISNUMBER(MATCH(_xlpm._platform_keywords,_xlpm._original_keywords,0)))&gt;0,
_xlfn.IFS(AND(_xlpm._exists,LEFT($E173,1)="+"),"+",_xlpm._exists,"*",NOT(_xlpm._exists),"")
)</f>
        <v>*</v>
      </c>
      <c r="K173" s="33" t="str" cm="1">
        <f t="array" aca="1" ref="K17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($E173=CLASSIFICATION[[Keyword Aggr]:[Keyword Aggr]])*($D173=CLASSIFICATION[[Functional Scope Aggr]:[Functional Scope Aggr]])),
_xlpm._platform_keywords, _xlfn.TEXTSPLIT(SUBSTITUTE(SUBSTITUTE(VLOOKUP($D173,_xlpm._platform_range,3,FALSE),"+"&amp;CHAR(34),"+"),CHAR(34),""),", "),
_xlpm._exists, SUMPRODUCT(--ISNUMBER(MATCH(_xlpm._platform_keywords,_xlpm._original_keywords,0)))&gt;0,
_xlfn.IFS(AND(_xlpm._exists,LEFT($E173,1)="+"),"+",_xlpm._exists,"*",NOT(_xlpm._exists),"")
)</f>
        <v/>
      </c>
      <c r="L173" s="33" t="str" cm="1">
        <f t="array" aca="1" ref="L17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($E173=CLASSIFICATION[[Keyword Aggr]:[Keyword Aggr]])*($D173=CLASSIFICATION[[Functional Scope Aggr]:[Functional Scope Aggr]])),
_xlpm._platform_keywords, _xlfn.TEXTSPLIT(SUBSTITUTE(SUBSTITUTE(VLOOKUP($D173,_xlpm._platform_range,3,FALSE),"+"&amp;CHAR(34),"+"),CHAR(34),""),", "),
_xlpm._exists, SUMPRODUCT(--ISNUMBER(MATCH(_xlpm._platform_keywords,_xlpm._original_keywords,0)))&gt;0,
_xlfn.IFS(AND(_xlpm._exists,LEFT($E173,1)="+"),"+",_xlpm._exists,"*",NOT(_xlpm._exists),"")
)</f>
        <v/>
      </c>
      <c r="M173" s="33" t="str" cm="1">
        <f t="array" aca="1" ref="M17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($E173=CLASSIFICATION[[Keyword Aggr]:[Keyword Aggr]])*($D173=CLASSIFICATION[[Functional Scope Aggr]:[Functional Scope Aggr]])),
_xlpm._platform_keywords, _xlfn.TEXTSPLIT(SUBSTITUTE(SUBSTITUTE(VLOOKUP($D173,_xlpm._platform_range,3,FALSE),"+"&amp;CHAR(34),"+"),CHAR(34),""),", "),
_xlpm._exists, SUMPRODUCT(--ISNUMBER(MATCH(_xlpm._platform_keywords,_xlpm._original_keywords,0)))&gt;0,
_xlfn.IFS(AND(_xlpm._exists,LEFT($E173,1)="+"),"+",_xlpm._exists,"*",NOT(_xlpm._exists),"")
)</f>
        <v/>
      </c>
      <c r="N173" s="33" t="str" cm="1">
        <f t="array" aca="1" ref="N17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($E173=CLASSIFICATION[[Keyword Aggr]:[Keyword Aggr]])*($D173=CLASSIFICATION[[Functional Scope Aggr]:[Functional Scope Aggr]])),
_xlpm._platform_keywords, _xlfn.TEXTSPLIT(SUBSTITUTE(SUBSTITUTE(VLOOKUP($D173,_xlpm._platform_range,3,FALSE),"+"&amp;CHAR(34),"+"),CHAR(34),""),", "),
_xlpm._exists, SUMPRODUCT(--ISNUMBER(MATCH(_xlpm._platform_keywords,_xlpm._original_keywords,0)))&gt;0,
_xlfn.IFS(AND(_xlpm._exists,LEFT($E173,1)="+"),"+",_xlpm._exists,"*",NOT(_xlpm._exists),"")
)</f>
        <v/>
      </c>
      <c r="O173" s="33" t="str" cm="1">
        <f t="array" aca="1" ref="O17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($E173=CLASSIFICATION[[Keyword Aggr]:[Keyword Aggr]])*($D173=CLASSIFICATION[[Functional Scope Aggr]:[Functional Scope Aggr]])),
_xlpm._platform_keywords, _xlfn.TEXTSPLIT(SUBSTITUTE(SUBSTITUTE(VLOOKUP($D173,_xlpm._platform_range,3,FALSE),"+"&amp;CHAR(34),"+"),CHAR(34),""),", "),
_xlpm._exists, SUMPRODUCT(--ISNUMBER(MATCH(_xlpm._platform_keywords,_xlpm._original_keywords,0)))&gt;0,
_xlfn.IFS(AND(_xlpm._exists,LEFT($E173,1)="+"),"+",_xlpm._exists,"*",NOT(_xlpm._exists),"")
)</f>
        <v/>
      </c>
      <c r="Q173" s="33" cm="1">
        <f t="array" aca="1" ref="Q17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($E173=CLASSIFICATION[[Keyword Aggr]:[Keyword Aggr]])*($D173=CLASSIFICATION[[Functional Scope Aggr]:[Functional Scope Aggr]])),
_xlpm._platform_keywords, _xlfn.TEXTSPLIT(SUBSTITUTE(SUBSTITUTE(VLOOKUP($D173,_xlpm._platform_range,3,FALSE),"+"&amp;CHAR(34),"+"),CHAR(34),""),", "),
_xlpm._exists, SUMPRODUCT(--ISNUMBER(MATCH(_xlpm._platform_keywords,_xlpm._original_keywords,0)))&gt;0,
_xlfn.IFS(_xlpm._exists,1,NOT(_xlpm._exists),"")
)</f>
        <v>1</v>
      </c>
      <c r="R173" s="33" t="str" cm="1">
        <f t="array" aca="1" ref="R17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($E173=CLASSIFICATION[[Keyword Aggr]:[Keyword Aggr]])*($D173=CLASSIFICATION[[Functional Scope Aggr]:[Functional Scope Aggr]])),
_xlpm._platform_keywords, _xlfn.TEXTSPLIT(SUBSTITUTE(SUBSTITUTE(VLOOKUP($D173,_xlpm._platform_range,3,FALSE),"+"&amp;CHAR(34),"+"),CHAR(34),""),", "),
_xlpm._exists, SUMPRODUCT(--ISNUMBER(MATCH(_xlpm._platform_keywords,_xlpm._original_keywords,0)))&gt;0,
_xlfn.IFS(_xlpm._exists,1,NOT(_xlpm._exists),"")
)</f>
        <v/>
      </c>
      <c r="S173" s="33" t="str" cm="1">
        <f t="array" aca="1" ref="S17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($E173=CLASSIFICATION[[Keyword Aggr]:[Keyword Aggr]])*($D173=CLASSIFICATION[[Functional Scope Aggr]:[Functional Scope Aggr]])),
_xlpm._platform_keywords, _xlfn.TEXTSPLIT(SUBSTITUTE(SUBSTITUTE(VLOOKUP($D173,_xlpm._platform_range,3,FALSE),"+"&amp;CHAR(34),"+"),CHAR(34),""),", "),
_xlpm._exists, SUMPRODUCT(--ISNUMBER(MATCH(_xlpm._platform_keywords,_xlpm._original_keywords,0)))&gt;0,
_xlfn.IFS(_xlpm._exists,1,NOT(_xlpm._exists),"")
)</f>
        <v/>
      </c>
      <c r="T173" s="33" t="str" cm="1">
        <f t="array" aca="1" ref="T17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($E173=CLASSIFICATION[[Keyword Aggr]:[Keyword Aggr]])*($D173=CLASSIFICATION[[Functional Scope Aggr]:[Functional Scope Aggr]])),
_xlpm._platform_keywords, _xlfn.TEXTSPLIT(SUBSTITUTE(SUBSTITUTE(VLOOKUP($D173,_xlpm._platform_range,3,FALSE),"+"&amp;CHAR(34),"+"),CHAR(34),""),", "),
_xlpm._exists, SUMPRODUCT(--ISNUMBER(MATCH(_xlpm._platform_keywords,_xlpm._original_keywords,0)))&gt;0,
_xlfn.IFS(_xlpm._exists,1,NOT(_xlpm._exists),"")
)</f>
        <v/>
      </c>
      <c r="U173" s="33" t="str" cm="1">
        <f t="array" aca="1" ref="U17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($E173=CLASSIFICATION[[Keyword Aggr]:[Keyword Aggr]])*($D173=CLASSIFICATION[[Functional Scope Aggr]:[Functional Scope Aggr]])),
_xlpm._platform_keywords, _xlfn.TEXTSPLIT(SUBSTITUTE(SUBSTITUTE(VLOOKUP($D173,_xlpm._platform_range,3,FALSE),"+"&amp;CHAR(34),"+"),CHAR(34),""),", "),
_xlpm._exists, SUMPRODUCT(--ISNUMBER(MATCH(_xlpm._platform_keywords,_xlpm._original_keywords,0)))&gt;0,
_xlfn.IFS(_xlpm._exists,1,NOT(_xlpm._exists),"")
)</f>
        <v/>
      </c>
      <c r="V173" s="33" t="str" cm="1">
        <f t="array" aca="1" ref="V17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($E173=CLASSIFICATION[[Keyword Aggr]:[Keyword Aggr]])*($D173=CLASSIFICATION[[Functional Scope Aggr]:[Functional Scope Aggr]])),
_xlpm._platform_keywords, _xlfn.TEXTSPLIT(SUBSTITUTE(SUBSTITUTE(VLOOKUP($D173,_xlpm._platform_range,3,FALSE),"+"&amp;CHAR(34),"+"),CHAR(34),""),", "),
_xlpm._exists, SUMPRODUCT(--ISNUMBER(MATCH(_xlpm._platform_keywords,_xlpm._original_keywords,0)))&gt;0,
_xlfn.IFS(_xlpm._exists,1,NOT(_xlpm._exists),"")
)</f>
        <v/>
      </c>
      <c r="X173" s="33" t="str">
        <f t="shared" si="23"/>
        <v/>
      </c>
      <c r="Y173" s="33" t="str">
        <f t="shared" si="24"/>
        <v/>
      </c>
      <c r="Z173" s="33" t="str">
        <f t="shared" si="25"/>
        <v/>
      </c>
      <c r="AA173" s="33" t="str">
        <f t="shared" si="26"/>
        <v/>
      </c>
      <c r="AB173" s="33" t="str">
        <f t="shared" si="27"/>
        <v/>
      </c>
      <c r="AC173" s="33" t="str">
        <f t="shared" si="28"/>
        <v/>
      </c>
    </row>
    <row r="174" spans="1:29" x14ac:dyDescent="0.25">
      <c r="A174" s="19" t="str">
        <v>Implementation,Runtime server installation,SAML Authentication</v>
      </c>
      <c r="B174" t="s">
        <v>377</v>
      </c>
      <c r="C174" s="19" t="str" cm="1">
        <f t="array" ref="C174:E174">_xlfn.TEXTSPLIT(A174,",")</f>
        <v>Implementation</v>
      </c>
      <c r="D174" s="19" t="str">
        <v>Runtime server installation</v>
      </c>
      <c r="E174" s="19" t="str">
        <v>SAML Authentication</v>
      </c>
      <c r="F174" s="36" t="str" cm="1">
        <f t="array" ref="F174">_xlfn.TEXTJOIN(",",TRUE,_xlfn._xlws.FILTER(CLASSIFICATION[Keyword], ($E174=CLASSIFICATION[Keyword Aggr])*($D174=CLASSIFICATION[Functional Scope Aggr])))</f>
        <v>SAML Authentication</v>
      </c>
      <c r="G174" s="32" t="str">
        <f t="shared" si="20"/>
        <v/>
      </c>
      <c r="H174" s="32" t="str">
        <f t="shared" si="21"/>
        <v/>
      </c>
      <c r="I174" s="32" t="str">
        <f t="shared" si="22"/>
        <v>SAML Authentication</v>
      </c>
      <c r="J174" s="33" t="str" cm="1">
        <f t="array" aca="1" ref="J17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($E174=CLASSIFICATION[[Keyword Aggr]:[Keyword Aggr]])*($D174=CLASSIFICATION[[Functional Scope Aggr]:[Functional Scope Aggr]])),
_xlpm._platform_keywords, _xlfn.TEXTSPLIT(SUBSTITUTE(SUBSTITUTE(VLOOKUP($D174,_xlpm._platform_range,3,FALSE),"+"&amp;CHAR(34),"+"),CHAR(34),""),", "),
_xlpm._exists, SUMPRODUCT(--ISNUMBER(MATCH(_xlpm._platform_keywords,_xlpm._original_keywords,0)))&gt;0,
_xlfn.IFS(AND(_xlpm._exists,LEFT($E174,1)="+"),"+",_xlpm._exists,"*",NOT(_xlpm._exists),"")
)</f>
        <v/>
      </c>
      <c r="K174" s="33" t="str" cm="1">
        <f t="array" aca="1" ref="K17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($E174=CLASSIFICATION[[Keyword Aggr]:[Keyword Aggr]])*($D174=CLASSIFICATION[[Functional Scope Aggr]:[Functional Scope Aggr]])),
_xlpm._platform_keywords, _xlfn.TEXTSPLIT(SUBSTITUTE(SUBSTITUTE(VLOOKUP($D174,_xlpm._platform_range,3,FALSE),"+"&amp;CHAR(34),"+"),CHAR(34),""),", "),
_xlpm._exists, SUMPRODUCT(--ISNUMBER(MATCH(_xlpm._platform_keywords,_xlpm._original_keywords,0)))&gt;0,
_xlfn.IFS(AND(_xlpm._exists,LEFT($E174,1)="+"),"+",_xlpm._exists,"*",NOT(_xlpm._exists),"")
)</f>
        <v/>
      </c>
      <c r="L174" s="33" t="str" cm="1">
        <f t="array" aca="1" ref="L17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($E174=CLASSIFICATION[[Keyword Aggr]:[Keyword Aggr]])*($D174=CLASSIFICATION[[Functional Scope Aggr]:[Functional Scope Aggr]])),
_xlpm._platform_keywords, _xlfn.TEXTSPLIT(SUBSTITUTE(SUBSTITUTE(VLOOKUP($D174,_xlpm._platform_range,3,FALSE),"+"&amp;CHAR(34),"+"),CHAR(34),""),", "),
_xlpm._exists, SUMPRODUCT(--ISNUMBER(MATCH(_xlpm._platform_keywords,_xlpm._original_keywords,0)))&gt;0,
_xlfn.IFS(AND(_xlpm._exists,LEFT($E174,1)="+"),"+",_xlpm._exists,"*",NOT(_xlpm._exists),"")
)</f>
        <v>*</v>
      </c>
      <c r="M174" s="33" t="str" cm="1">
        <f t="array" aca="1" ref="M17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($E174=CLASSIFICATION[[Keyword Aggr]:[Keyword Aggr]])*($D174=CLASSIFICATION[[Functional Scope Aggr]:[Functional Scope Aggr]])),
_xlpm._platform_keywords, _xlfn.TEXTSPLIT(SUBSTITUTE(SUBSTITUTE(VLOOKUP($D174,_xlpm._platform_range,3,FALSE),"+"&amp;CHAR(34),"+"),CHAR(34),""),", "),
_xlpm._exists, SUMPRODUCT(--ISNUMBER(MATCH(_xlpm._platform_keywords,_xlpm._original_keywords,0)))&gt;0,
_xlfn.IFS(AND(_xlpm._exists,LEFT($E174,1)="+"),"+",_xlpm._exists,"*",NOT(_xlpm._exists),"")
)</f>
        <v/>
      </c>
      <c r="N174" s="33" t="str" cm="1">
        <f t="array" aca="1" ref="N17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($E174=CLASSIFICATION[[Keyword Aggr]:[Keyword Aggr]])*($D174=CLASSIFICATION[[Functional Scope Aggr]:[Functional Scope Aggr]])),
_xlpm._platform_keywords, _xlfn.TEXTSPLIT(SUBSTITUTE(SUBSTITUTE(VLOOKUP($D174,_xlpm._platform_range,3,FALSE),"+"&amp;CHAR(34),"+"),CHAR(34),""),", "),
_xlpm._exists, SUMPRODUCT(--ISNUMBER(MATCH(_xlpm._platform_keywords,_xlpm._original_keywords,0)))&gt;0,
_xlfn.IFS(AND(_xlpm._exists,LEFT($E174,1)="+"),"+",_xlpm._exists,"*",NOT(_xlpm._exists),"")
)</f>
        <v/>
      </c>
      <c r="O174" s="33" t="str" cm="1">
        <f t="array" aca="1" ref="O17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($E174=CLASSIFICATION[[Keyword Aggr]:[Keyword Aggr]])*($D174=CLASSIFICATION[[Functional Scope Aggr]:[Functional Scope Aggr]])),
_xlpm._platform_keywords, _xlfn.TEXTSPLIT(SUBSTITUTE(SUBSTITUTE(VLOOKUP($D174,_xlpm._platform_range,3,FALSE),"+"&amp;CHAR(34),"+"),CHAR(34),""),", "),
_xlpm._exists, SUMPRODUCT(--ISNUMBER(MATCH(_xlpm._platform_keywords,_xlpm._original_keywords,0)))&gt;0,
_xlfn.IFS(AND(_xlpm._exists,LEFT($E174,1)="+"),"+",_xlpm._exists,"*",NOT(_xlpm._exists),"")
)</f>
        <v/>
      </c>
      <c r="Q174" s="33" t="str" cm="1">
        <f t="array" aca="1" ref="Q17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($E174=CLASSIFICATION[[Keyword Aggr]:[Keyword Aggr]])*($D174=CLASSIFICATION[[Functional Scope Aggr]:[Functional Scope Aggr]])),
_xlpm._platform_keywords, _xlfn.TEXTSPLIT(SUBSTITUTE(SUBSTITUTE(VLOOKUP($D174,_xlpm._platform_range,3,FALSE),"+"&amp;CHAR(34),"+"),CHAR(34),""),", "),
_xlpm._exists, SUMPRODUCT(--ISNUMBER(MATCH(_xlpm._platform_keywords,_xlpm._original_keywords,0)))&gt;0,
_xlfn.IFS(_xlpm._exists,1,NOT(_xlpm._exists),"")
)</f>
        <v/>
      </c>
      <c r="R174" s="33" t="str" cm="1">
        <f t="array" aca="1" ref="R17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($E174=CLASSIFICATION[[Keyword Aggr]:[Keyword Aggr]])*($D174=CLASSIFICATION[[Functional Scope Aggr]:[Functional Scope Aggr]])),
_xlpm._platform_keywords, _xlfn.TEXTSPLIT(SUBSTITUTE(SUBSTITUTE(VLOOKUP($D174,_xlpm._platform_range,3,FALSE),"+"&amp;CHAR(34),"+"),CHAR(34),""),", "),
_xlpm._exists, SUMPRODUCT(--ISNUMBER(MATCH(_xlpm._platform_keywords,_xlpm._original_keywords,0)))&gt;0,
_xlfn.IFS(_xlpm._exists,1,NOT(_xlpm._exists),"")
)</f>
        <v/>
      </c>
      <c r="S174" s="33" cm="1">
        <f t="array" aca="1" ref="S17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($E174=CLASSIFICATION[[Keyword Aggr]:[Keyword Aggr]])*($D174=CLASSIFICATION[[Functional Scope Aggr]:[Functional Scope Aggr]])),
_xlpm._platform_keywords, _xlfn.TEXTSPLIT(SUBSTITUTE(SUBSTITUTE(VLOOKUP($D174,_xlpm._platform_range,3,FALSE),"+"&amp;CHAR(34),"+"),CHAR(34),""),", "),
_xlpm._exists, SUMPRODUCT(--ISNUMBER(MATCH(_xlpm._platform_keywords,_xlpm._original_keywords,0)))&gt;0,
_xlfn.IFS(_xlpm._exists,1,NOT(_xlpm._exists),"")
)</f>
        <v>1</v>
      </c>
      <c r="T174" s="33" t="str" cm="1">
        <f t="array" aca="1" ref="T17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($E174=CLASSIFICATION[[Keyword Aggr]:[Keyword Aggr]])*($D174=CLASSIFICATION[[Functional Scope Aggr]:[Functional Scope Aggr]])),
_xlpm._platform_keywords, _xlfn.TEXTSPLIT(SUBSTITUTE(SUBSTITUTE(VLOOKUP($D174,_xlpm._platform_range,3,FALSE),"+"&amp;CHAR(34),"+"),CHAR(34),""),", "),
_xlpm._exists, SUMPRODUCT(--ISNUMBER(MATCH(_xlpm._platform_keywords,_xlpm._original_keywords,0)))&gt;0,
_xlfn.IFS(_xlpm._exists,1,NOT(_xlpm._exists),"")
)</f>
        <v/>
      </c>
      <c r="U174" s="33" t="str" cm="1">
        <f t="array" aca="1" ref="U17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($E174=CLASSIFICATION[[Keyword Aggr]:[Keyword Aggr]])*($D174=CLASSIFICATION[[Functional Scope Aggr]:[Functional Scope Aggr]])),
_xlpm._platform_keywords, _xlfn.TEXTSPLIT(SUBSTITUTE(SUBSTITUTE(VLOOKUP($D174,_xlpm._platform_range,3,FALSE),"+"&amp;CHAR(34),"+"),CHAR(34),""),", "),
_xlpm._exists, SUMPRODUCT(--ISNUMBER(MATCH(_xlpm._platform_keywords,_xlpm._original_keywords,0)))&gt;0,
_xlfn.IFS(_xlpm._exists,1,NOT(_xlpm._exists),"")
)</f>
        <v/>
      </c>
      <c r="V174" s="33" t="str" cm="1">
        <f t="array" aca="1" ref="V17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($E174=CLASSIFICATION[[Keyword Aggr]:[Keyword Aggr]])*($D174=CLASSIFICATION[[Functional Scope Aggr]:[Functional Scope Aggr]])),
_xlpm._platform_keywords, _xlfn.TEXTSPLIT(SUBSTITUTE(SUBSTITUTE(VLOOKUP($D174,_xlpm._platform_range,3,FALSE),"+"&amp;CHAR(34),"+"),CHAR(34),""),", "),
_xlpm._exists, SUMPRODUCT(--ISNUMBER(MATCH(_xlpm._platform_keywords,_xlpm._original_keywords,0)))&gt;0,
_xlfn.IFS(_xlpm._exists,1,NOT(_xlpm._exists),"")
)</f>
        <v/>
      </c>
      <c r="X174" s="33" t="str">
        <f t="shared" si="23"/>
        <v/>
      </c>
      <c r="Y174" s="33" t="str">
        <f t="shared" si="24"/>
        <v/>
      </c>
      <c r="Z174" s="33" t="str">
        <f t="shared" si="25"/>
        <v/>
      </c>
      <c r="AA174" s="33" t="str">
        <f t="shared" si="26"/>
        <v/>
      </c>
      <c r="AB174" s="33" t="str">
        <f t="shared" si="27"/>
        <v/>
      </c>
      <c r="AC174" s="33" t="str">
        <f t="shared" si="28"/>
        <v/>
      </c>
    </row>
    <row r="175" spans="1:29" x14ac:dyDescent="0.25">
      <c r="A175" s="19" t="str">
        <v>Implementation,Runtime server installation,Scheduler Service</v>
      </c>
      <c r="B175" t="s">
        <v>377</v>
      </c>
      <c r="C175" s="19" t="str" cm="1">
        <f t="array" ref="C175:E175">_xlfn.TEXTSPLIT(A175,",")</f>
        <v>Implementation</v>
      </c>
      <c r="D175" s="19" t="str">
        <v>Runtime server installation</v>
      </c>
      <c r="E175" s="19" t="str">
        <v>Scheduler Service</v>
      </c>
      <c r="F175" s="36" t="str" cm="1">
        <f t="array" ref="F175">_xlfn.TEXTJOIN(",",TRUE,_xlfn._xlws.FILTER(CLASSIFICATION[Keyword], ($E175=CLASSIFICATION[Keyword Aggr])*($D175=CLASSIFICATION[Functional Scope Aggr])))</f>
        <v>Scheduler Service</v>
      </c>
      <c r="G175" s="32" t="str">
        <f t="shared" si="20"/>
        <v/>
      </c>
      <c r="H175" s="32" t="str">
        <f t="shared" si="21"/>
        <v/>
      </c>
      <c r="I175" s="32" t="str">
        <f t="shared" si="22"/>
        <v>Scheduler Service</v>
      </c>
      <c r="J175" s="33" t="str" cm="1">
        <f t="array" aca="1" ref="J17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($E175=CLASSIFICATION[[Keyword Aggr]:[Keyword Aggr]])*($D175=CLASSIFICATION[[Functional Scope Aggr]:[Functional Scope Aggr]])),
_xlpm._platform_keywords, _xlfn.TEXTSPLIT(SUBSTITUTE(SUBSTITUTE(VLOOKUP($D175,_xlpm._platform_range,3,FALSE),"+"&amp;CHAR(34),"+"),CHAR(34),""),", "),
_xlpm._exists, SUMPRODUCT(--ISNUMBER(MATCH(_xlpm._platform_keywords,_xlpm._original_keywords,0)))&gt;0,
_xlfn.IFS(AND(_xlpm._exists,LEFT($E175,1)="+"),"+",_xlpm._exists,"*",NOT(_xlpm._exists),"")
)</f>
        <v/>
      </c>
      <c r="K175" s="33" t="str" cm="1">
        <f t="array" aca="1" ref="K17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($E175=CLASSIFICATION[[Keyword Aggr]:[Keyword Aggr]])*($D175=CLASSIFICATION[[Functional Scope Aggr]:[Functional Scope Aggr]])),
_xlpm._platform_keywords, _xlfn.TEXTSPLIT(SUBSTITUTE(SUBSTITUTE(VLOOKUP($D175,_xlpm._platform_range,3,FALSE),"+"&amp;CHAR(34),"+"),CHAR(34),""),", "),
_xlpm._exists, SUMPRODUCT(--ISNUMBER(MATCH(_xlpm._platform_keywords,_xlpm._original_keywords,0)))&gt;0,
_xlfn.IFS(AND(_xlpm._exists,LEFT($E175,1)="+"),"+",_xlpm._exists,"*",NOT(_xlpm._exists),"")
)</f>
        <v>*</v>
      </c>
      <c r="L175" s="33" t="str" cm="1">
        <f t="array" aca="1" ref="L17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($E175=CLASSIFICATION[[Keyword Aggr]:[Keyword Aggr]])*($D175=CLASSIFICATION[[Functional Scope Aggr]:[Functional Scope Aggr]])),
_xlpm._platform_keywords, _xlfn.TEXTSPLIT(SUBSTITUTE(SUBSTITUTE(VLOOKUP($D175,_xlpm._platform_range,3,FALSE),"+"&amp;CHAR(34),"+"),CHAR(34),""),", "),
_xlpm._exists, SUMPRODUCT(--ISNUMBER(MATCH(_xlpm._platform_keywords,_xlpm._original_keywords,0)))&gt;0,
_xlfn.IFS(AND(_xlpm._exists,LEFT($E175,1)="+"),"+",_xlpm._exists,"*",NOT(_xlpm._exists),"")
)</f>
        <v/>
      </c>
      <c r="M175" s="33" t="str" cm="1">
        <f t="array" aca="1" ref="M17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($E175=CLASSIFICATION[[Keyword Aggr]:[Keyword Aggr]])*($D175=CLASSIFICATION[[Functional Scope Aggr]:[Functional Scope Aggr]])),
_xlpm._platform_keywords, _xlfn.TEXTSPLIT(SUBSTITUTE(SUBSTITUTE(VLOOKUP($D175,_xlpm._platform_range,3,FALSE),"+"&amp;CHAR(34),"+"),CHAR(34),""),", "),
_xlpm._exists, SUMPRODUCT(--ISNUMBER(MATCH(_xlpm._platform_keywords,_xlpm._original_keywords,0)))&gt;0,
_xlfn.IFS(AND(_xlpm._exists,LEFT($E175,1)="+"),"+",_xlpm._exists,"*",NOT(_xlpm._exists),"")
)</f>
        <v/>
      </c>
      <c r="N175" s="33" t="str" cm="1">
        <f t="array" aca="1" ref="N17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($E175=CLASSIFICATION[[Keyword Aggr]:[Keyword Aggr]])*($D175=CLASSIFICATION[[Functional Scope Aggr]:[Functional Scope Aggr]])),
_xlpm._platform_keywords, _xlfn.TEXTSPLIT(SUBSTITUTE(SUBSTITUTE(VLOOKUP($D175,_xlpm._platform_range,3,FALSE),"+"&amp;CHAR(34),"+"),CHAR(34),""),", "),
_xlpm._exists, SUMPRODUCT(--ISNUMBER(MATCH(_xlpm._platform_keywords,_xlpm._original_keywords,0)))&gt;0,
_xlfn.IFS(AND(_xlpm._exists,LEFT($E175,1)="+"),"+",_xlpm._exists,"*",NOT(_xlpm._exists),"")
)</f>
        <v/>
      </c>
      <c r="O175" s="33" t="str" cm="1">
        <f t="array" aca="1" ref="O17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($E175=CLASSIFICATION[[Keyword Aggr]:[Keyword Aggr]])*($D175=CLASSIFICATION[[Functional Scope Aggr]:[Functional Scope Aggr]])),
_xlpm._platform_keywords, _xlfn.TEXTSPLIT(SUBSTITUTE(SUBSTITUTE(VLOOKUP($D175,_xlpm._platform_range,3,FALSE),"+"&amp;CHAR(34),"+"),CHAR(34),""),", "),
_xlpm._exists, SUMPRODUCT(--ISNUMBER(MATCH(_xlpm._platform_keywords,_xlpm._original_keywords,0)))&gt;0,
_xlfn.IFS(AND(_xlpm._exists,LEFT($E175,1)="+"),"+",_xlpm._exists,"*",NOT(_xlpm._exists),"")
)</f>
        <v/>
      </c>
      <c r="Q175" s="33" t="str" cm="1">
        <f t="array" aca="1" ref="Q17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($E175=CLASSIFICATION[[Keyword Aggr]:[Keyword Aggr]])*($D175=CLASSIFICATION[[Functional Scope Aggr]:[Functional Scope Aggr]])),
_xlpm._platform_keywords, _xlfn.TEXTSPLIT(SUBSTITUTE(SUBSTITUTE(VLOOKUP($D175,_xlpm._platform_range,3,FALSE),"+"&amp;CHAR(34),"+"),CHAR(34),""),", "),
_xlpm._exists, SUMPRODUCT(--ISNUMBER(MATCH(_xlpm._platform_keywords,_xlpm._original_keywords,0)))&gt;0,
_xlfn.IFS(_xlpm._exists,1,NOT(_xlpm._exists),"")
)</f>
        <v/>
      </c>
      <c r="R175" s="33" cm="1">
        <f t="array" aca="1" ref="R17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($E175=CLASSIFICATION[[Keyword Aggr]:[Keyword Aggr]])*($D175=CLASSIFICATION[[Functional Scope Aggr]:[Functional Scope Aggr]])),
_xlpm._platform_keywords, _xlfn.TEXTSPLIT(SUBSTITUTE(SUBSTITUTE(VLOOKUP($D175,_xlpm._platform_range,3,FALSE),"+"&amp;CHAR(34),"+"),CHAR(34),""),", "),
_xlpm._exists, SUMPRODUCT(--ISNUMBER(MATCH(_xlpm._platform_keywords,_xlpm._original_keywords,0)))&gt;0,
_xlfn.IFS(_xlpm._exists,1,NOT(_xlpm._exists),"")
)</f>
        <v>1</v>
      </c>
      <c r="S175" s="33" t="str" cm="1">
        <f t="array" aca="1" ref="S17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($E175=CLASSIFICATION[[Keyword Aggr]:[Keyword Aggr]])*($D175=CLASSIFICATION[[Functional Scope Aggr]:[Functional Scope Aggr]])),
_xlpm._platform_keywords, _xlfn.TEXTSPLIT(SUBSTITUTE(SUBSTITUTE(VLOOKUP($D175,_xlpm._platform_range,3,FALSE),"+"&amp;CHAR(34),"+"),CHAR(34),""),", "),
_xlpm._exists, SUMPRODUCT(--ISNUMBER(MATCH(_xlpm._platform_keywords,_xlpm._original_keywords,0)))&gt;0,
_xlfn.IFS(_xlpm._exists,1,NOT(_xlpm._exists),"")
)</f>
        <v/>
      </c>
      <c r="T175" s="33" t="str" cm="1">
        <f t="array" aca="1" ref="T17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($E175=CLASSIFICATION[[Keyword Aggr]:[Keyword Aggr]])*($D175=CLASSIFICATION[[Functional Scope Aggr]:[Functional Scope Aggr]])),
_xlpm._platform_keywords, _xlfn.TEXTSPLIT(SUBSTITUTE(SUBSTITUTE(VLOOKUP($D175,_xlpm._platform_range,3,FALSE),"+"&amp;CHAR(34),"+"),CHAR(34),""),", "),
_xlpm._exists, SUMPRODUCT(--ISNUMBER(MATCH(_xlpm._platform_keywords,_xlpm._original_keywords,0)))&gt;0,
_xlfn.IFS(_xlpm._exists,1,NOT(_xlpm._exists),"")
)</f>
        <v/>
      </c>
      <c r="U175" s="33" t="str" cm="1">
        <f t="array" aca="1" ref="U17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($E175=CLASSIFICATION[[Keyword Aggr]:[Keyword Aggr]])*($D175=CLASSIFICATION[[Functional Scope Aggr]:[Functional Scope Aggr]])),
_xlpm._platform_keywords, _xlfn.TEXTSPLIT(SUBSTITUTE(SUBSTITUTE(VLOOKUP($D175,_xlpm._platform_range,3,FALSE),"+"&amp;CHAR(34),"+"),CHAR(34),""),", "),
_xlpm._exists, SUMPRODUCT(--ISNUMBER(MATCH(_xlpm._platform_keywords,_xlpm._original_keywords,0)))&gt;0,
_xlfn.IFS(_xlpm._exists,1,NOT(_xlpm._exists),"")
)</f>
        <v/>
      </c>
      <c r="V175" s="33" t="str" cm="1">
        <f t="array" aca="1" ref="V17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($E175=CLASSIFICATION[[Keyword Aggr]:[Keyword Aggr]])*($D175=CLASSIFICATION[[Functional Scope Aggr]:[Functional Scope Aggr]])),
_xlpm._platform_keywords, _xlfn.TEXTSPLIT(SUBSTITUTE(SUBSTITUTE(VLOOKUP($D175,_xlpm._platform_range,3,FALSE),"+"&amp;CHAR(34),"+"),CHAR(34),""),", "),
_xlpm._exists, SUMPRODUCT(--ISNUMBER(MATCH(_xlpm._platform_keywords,_xlpm._original_keywords,0)))&gt;0,
_xlfn.IFS(_xlpm._exists,1,NOT(_xlpm._exists),"")
)</f>
        <v/>
      </c>
      <c r="X175" s="33" t="str">
        <f t="shared" si="23"/>
        <v/>
      </c>
      <c r="Y175" s="33" t="str">
        <f t="shared" si="24"/>
        <v/>
      </c>
      <c r="Z175" s="33" t="str">
        <f t="shared" si="25"/>
        <v/>
      </c>
      <c r="AA175" s="33" t="str">
        <f t="shared" si="26"/>
        <v/>
      </c>
      <c r="AB175" s="33" t="str">
        <f t="shared" si="27"/>
        <v/>
      </c>
      <c r="AC175" s="33" t="str">
        <f t="shared" si="28"/>
        <v/>
      </c>
    </row>
    <row r="176" spans="1:29" x14ac:dyDescent="0.25">
      <c r="A176" s="19" t="str">
        <v>Implementation,Runtime server installation,Shared Libraries</v>
      </c>
      <c r="B176" t="s">
        <v>377</v>
      </c>
      <c r="C176" s="19" t="str" cm="1">
        <f t="array" ref="C176:E176">_xlfn.TEXTSPLIT(A176,",")</f>
        <v>Implementation</v>
      </c>
      <c r="D176" s="19" t="str">
        <v>Runtime server installation</v>
      </c>
      <c r="E176" s="19" t="str">
        <v>Shared Libraries</v>
      </c>
      <c r="F176" s="36" t="str" cm="1">
        <f t="array" ref="F176">_xlfn.TEXTJOIN(",",TRUE,_xlfn._xlws.FILTER(CLASSIFICATION[Keyword], ($E176=CLASSIFICATION[Keyword Aggr])*($D176=CLASSIFICATION[Functional Scope Aggr])))</f>
        <v>Shared Libraries</v>
      </c>
      <c r="G176" s="32" t="str">
        <f t="shared" si="20"/>
        <v/>
      </c>
      <c r="H176" s="32" t="str">
        <f t="shared" si="21"/>
        <v/>
      </c>
      <c r="I176" s="32" t="str">
        <f t="shared" si="22"/>
        <v>Shared Libraries</v>
      </c>
      <c r="J176" s="33" t="str" cm="1">
        <f t="array" aca="1" ref="J17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($E176=CLASSIFICATION[[Keyword Aggr]:[Keyword Aggr]])*($D176=CLASSIFICATION[[Functional Scope Aggr]:[Functional Scope Aggr]])),
_xlpm._platform_keywords, _xlfn.TEXTSPLIT(SUBSTITUTE(SUBSTITUTE(VLOOKUP($D176,_xlpm._platform_range,3,FALSE),"+"&amp;CHAR(34),"+"),CHAR(34),""),", "),
_xlpm._exists, SUMPRODUCT(--ISNUMBER(MATCH(_xlpm._platform_keywords,_xlpm._original_keywords,0)))&gt;0,
_xlfn.IFS(AND(_xlpm._exists,LEFT($E176,1)="+"),"+",_xlpm._exists,"*",NOT(_xlpm._exists),"")
)</f>
        <v/>
      </c>
      <c r="K176" s="33" t="str" cm="1">
        <f t="array" aca="1" ref="K17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($E176=CLASSIFICATION[[Keyword Aggr]:[Keyword Aggr]])*($D176=CLASSIFICATION[[Functional Scope Aggr]:[Functional Scope Aggr]])),
_xlpm._platform_keywords, _xlfn.TEXTSPLIT(SUBSTITUTE(SUBSTITUTE(VLOOKUP($D176,_xlpm._platform_range,3,FALSE),"+"&amp;CHAR(34),"+"),CHAR(34),""),", "),
_xlpm._exists, SUMPRODUCT(--ISNUMBER(MATCH(_xlpm._platform_keywords,_xlpm._original_keywords,0)))&gt;0,
_xlfn.IFS(AND(_xlpm._exists,LEFT($E176,1)="+"),"+",_xlpm._exists,"*",NOT(_xlpm._exists),"")
)</f>
        <v>*</v>
      </c>
      <c r="L176" s="33" t="str" cm="1">
        <f t="array" aca="1" ref="L17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($E176=CLASSIFICATION[[Keyword Aggr]:[Keyword Aggr]])*($D176=CLASSIFICATION[[Functional Scope Aggr]:[Functional Scope Aggr]])),
_xlpm._platform_keywords, _xlfn.TEXTSPLIT(SUBSTITUTE(SUBSTITUTE(VLOOKUP($D176,_xlpm._platform_range,3,FALSE),"+"&amp;CHAR(34),"+"),CHAR(34),""),", "),
_xlpm._exists, SUMPRODUCT(--ISNUMBER(MATCH(_xlpm._platform_keywords,_xlpm._original_keywords,0)))&gt;0,
_xlfn.IFS(AND(_xlpm._exists,LEFT($E176,1)="+"),"+",_xlpm._exists,"*",NOT(_xlpm._exists),"")
)</f>
        <v/>
      </c>
      <c r="M176" s="33" t="str" cm="1">
        <f t="array" aca="1" ref="M17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($E176=CLASSIFICATION[[Keyword Aggr]:[Keyword Aggr]])*($D176=CLASSIFICATION[[Functional Scope Aggr]:[Functional Scope Aggr]])),
_xlpm._platform_keywords, _xlfn.TEXTSPLIT(SUBSTITUTE(SUBSTITUTE(VLOOKUP($D176,_xlpm._platform_range,3,FALSE),"+"&amp;CHAR(34),"+"),CHAR(34),""),", "),
_xlpm._exists, SUMPRODUCT(--ISNUMBER(MATCH(_xlpm._platform_keywords,_xlpm._original_keywords,0)))&gt;0,
_xlfn.IFS(AND(_xlpm._exists,LEFT($E176,1)="+"),"+",_xlpm._exists,"*",NOT(_xlpm._exists),"")
)</f>
        <v/>
      </c>
      <c r="N176" s="33" t="str" cm="1">
        <f t="array" aca="1" ref="N17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($E176=CLASSIFICATION[[Keyword Aggr]:[Keyword Aggr]])*($D176=CLASSIFICATION[[Functional Scope Aggr]:[Functional Scope Aggr]])),
_xlpm._platform_keywords, _xlfn.TEXTSPLIT(SUBSTITUTE(SUBSTITUTE(VLOOKUP($D176,_xlpm._platform_range,3,FALSE),"+"&amp;CHAR(34),"+"),CHAR(34),""),", "),
_xlpm._exists, SUMPRODUCT(--ISNUMBER(MATCH(_xlpm._platform_keywords,_xlpm._original_keywords,0)))&gt;0,
_xlfn.IFS(AND(_xlpm._exists,LEFT($E176,1)="+"),"+",_xlpm._exists,"*",NOT(_xlpm._exists),"")
)</f>
        <v/>
      </c>
      <c r="O176" s="33" t="str" cm="1">
        <f t="array" aca="1" ref="O17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($E176=CLASSIFICATION[[Keyword Aggr]:[Keyword Aggr]])*($D176=CLASSIFICATION[[Functional Scope Aggr]:[Functional Scope Aggr]])),
_xlpm._platform_keywords, _xlfn.TEXTSPLIT(SUBSTITUTE(SUBSTITUTE(VLOOKUP($D176,_xlpm._platform_range,3,FALSE),"+"&amp;CHAR(34),"+"),CHAR(34),""),", "),
_xlpm._exists, SUMPRODUCT(--ISNUMBER(MATCH(_xlpm._platform_keywords,_xlpm._original_keywords,0)))&gt;0,
_xlfn.IFS(AND(_xlpm._exists,LEFT($E176,1)="+"),"+",_xlpm._exists,"*",NOT(_xlpm._exists),"")
)</f>
        <v/>
      </c>
      <c r="Q176" s="33" t="str" cm="1">
        <f t="array" aca="1" ref="Q17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($E176=CLASSIFICATION[[Keyword Aggr]:[Keyword Aggr]])*($D176=CLASSIFICATION[[Functional Scope Aggr]:[Functional Scope Aggr]])),
_xlpm._platform_keywords, _xlfn.TEXTSPLIT(SUBSTITUTE(SUBSTITUTE(VLOOKUP($D176,_xlpm._platform_range,3,FALSE),"+"&amp;CHAR(34),"+"),CHAR(34),""),", "),
_xlpm._exists, SUMPRODUCT(--ISNUMBER(MATCH(_xlpm._platform_keywords,_xlpm._original_keywords,0)))&gt;0,
_xlfn.IFS(_xlpm._exists,1,NOT(_xlpm._exists),"")
)</f>
        <v/>
      </c>
      <c r="R176" s="33" cm="1">
        <f t="array" aca="1" ref="R17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($E176=CLASSIFICATION[[Keyword Aggr]:[Keyword Aggr]])*($D176=CLASSIFICATION[[Functional Scope Aggr]:[Functional Scope Aggr]])),
_xlpm._platform_keywords, _xlfn.TEXTSPLIT(SUBSTITUTE(SUBSTITUTE(VLOOKUP($D176,_xlpm._platform_range,3,FALSE),"+"&amp;CHAR(34),"+"),CHAR(34),""),", "),
_xlpm._exists, SUMPRODUCT(--ISNUMBER(MATCH(_xlpm._platform_keywords,_xlpm._original_keywords,0)))&gt;0,
_xlfn.IFS(_xlpm._exists,1,NOT(_xlpm._exists),"")
)</f>
        <v>1</v>
      </c>
      <c r="S176" s="33" t="str" cm="1">
        <f t="array" aca="1" ref="S17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($E176=CLASSIFICATION[[Keyword Aggr]:[Keyword Aggr]])*($D176=CLASSIFICATION[[Functional Scope Aggr]:[Functional Scope Aggr]])),
_xlpm._platform_keywords, _xlfn.TEXTSPLIT(SUBSTITUTE(SUBSTITUTE(VLOOKUP($D176,_xlpm._platform_range,3,FALSE),"+"&amp;CHAR(34),"+"),CHAR(34),""),", "),
_xlpm._exists, SUMPRODUCT(--ISNUMBER(MATCH(_xlpm._platform_keywords,_xlpm._original_keywords,0)))&gt;0,
_xlfn.IFS(_xlpm._exists,1,NOT(_xlpm._exists),"")
)</f>
        <v/>
      </c>
      <c r="T176" s="33" t="str" cm="1">
        <f t="array" aca="1" ref="T17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($E176=CLASSIFICATION[[Keyword Aggr]:[Keyword Aggr]])*($D176=CLASSIFICATION[[Functional Scope Aggr]:[Functional Scope Aggr]])),
_xlpm._platform_keywords, _xlfn.TEXTSPLIT(SUBSTITUTE(SUBSTITUTE(VLOOKUP($D176,_xlpm._platform_range,3,FALSE),"+"&amp;CHAR(34),"+"),CHAR(34),""),", "),
_xlpm._exists, SUMPRODUCT(--ISNUMBER(MATCH(_xlpm._platform_keywords,_xlpm._original_keywords,0)))&gt;0,
_xlfn.IFS(_xlpm._exists,1,NOT(_xlpm._exists),"")
)</f>
        <v/>
      </c>
      <c r="U176" s="33" t="str" cm="1">
        <f t="array" aca="1" ref="U17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($E176=CLASSIFICATION[[Keyword Aggr]:[Keyword Aggr]])*($D176=CLASSIFICATION[[Functional Scope Aggr]:[Functional Scope Aggr]])),
_xlpm._platform_keywords, _xlfn.TEXTSPLIT(SUBSTITUTE(SUBSTITUTE(VLOOKUP($D176,_xlpm._platform_range,3,FALSE),"+"&amp;CHAR(34),"+"),CHAR(34),""),", "),
_xlpm._exists, SUMPRODUCT(--ISNUMBER(MATCH(_xlpm._platform_keywords,_xlpm._original_keywords,0)))&gt;0,
_xlfn.IFS(_xlpm._exists,1,NOT(_xlpm._exists),"")
)</f>
        <v/>
      </c>
      <c r="V176" s="33" t="str" cm="1">
        <f t="array" aca="1" ref="V17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($E176=CLASSIFICATION[[Keyword Aggr]:[Keyword Aggr]])*($D176=CLASSIFICATION[[Functional Scope Aggr]:[Functional Scope Aggr]])),
_xlpm._platform_keywords, _xlfn.TEXTSPLIT(SUBSTITUTE(SUBSTITUTE(VLOOKUP($D176,_xlpm._platform_range,3,FALSE),"+"&amp;CHAR(34),"+"),CHAR(34),""),", "),
_xlpm._exists, SUMPRODUCT(--ISNUMBER(MATCH(_xlpm._platform_keywords,_xlpm._original_keywords,0)))&gt;0,
_xlfn.IFS(_xlpm._exists,1,NOT(_xlpm._exists),"")
)</f>
        <v/>
      </c>
      <c r="X176" s="33" t="str">
        <f t="shared" si="23"/>
        <v/>
      </c>
      <c r="Y176" s="33" t="str">
        <f t="shared" si="24"/>
        <v/>
      </c>
      <c r="Z176" s="33" t="str">
        <f t="shared" si="25"/>
        <v/>
      </c>
      <c r="AA176" s="33" t="str">
        <f t="shared" si="26"/>
        <v/>
      </c>
      <c r="AB176" s="33" t="str">
        <f t="shared" si="27"/>
        <v/>
      </c>
      <c r="AC176" s="33" t="str">
        <f t="shared" si="28"/>
        <v/>
      </c>
    </row>
    <row r="177" spans="1:29" x14ac:dyDescent="0.25">
      <c r="A177" s="19" t="str">
        <v>Implementation,Runtime server installation,SOAP</v>
      </c>
      <c r="B177" t="s">
        <v>377</v>
      </c>
      <c r="C177" s="19" t="str" cm="1">
        <f t="array" ref="C177:E177">_xlfn.TEXTSPLIT(A177,",")</f>
        <v>Implementation</v>
      </c>
      <c r="D177" s="19" t="str">
        <v>Runtime server installation</v>
      </c>
      <c r="E177" s="19" t="str">
        <v>SOAP</v>
      </c>
      <c r="F177" s="36" t="str" cm="1">
        <f t="array" ref="F177">_xlfn.TEXTJOIN(",",TRUE,_xlfn._xlws.FILTER(CLASSIFICATION[Keyword], ($E177=CLASSIFICATION[Keyword Aggr])*($D177=CLASSIFICATION[Functional Scope Aggr])))</f>
        <v>SOAP</v>
      </c>
      <c r="G177" s="32" t="str">
        <f t="shared" si="20"/>
        <v/>
      </c>
      <c r="H177" s="32" t="str">
        <f t="shared" si="21"/>
        <v/>
      </c>
      <c r="I177" s="32" t="str">
        <f t="shared" si="22"/>
        <v>SOAP</v>
      </c>
      <c r="J177" s="33" t="str" cm="1">
        <f t="array" aca="1" ref="J17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($E177=CLASSIFICATION[[Keyword Aggr]:[Keyword Aggr]])*($D177=CLASSIFICATION[[Functional Scope Aggr]:[Functional Scope Aggr]])),
_xlpm._platform_keywords, _xlfn.TEXTSPLIT(SUBSTITUTE(SUBSTITUTE(VLOOKUP($D177,_xlpm._platform_range,3,FALSE),"+"&amp;CHAR(34),"+"),CHAR(34),""),", "),
_xlpm._exists, SUMPRODUCT(--ISNUMBER(MATCH(_xlpm._platform_keywords,_xlpm._original_keywords,0)))&gt;0,
_xlfn.IFS(AND(_xlpm._exists,LEFT($E177,1)="+"),"+",_xlpm._exists,"*",NOT(_xlpm._exists),"")
)</f>
        <v>*</v>
      </c>
      <c r="K177" s="33" t="str" cm="1">
        <f t="array" aca="1" ref="K17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($E177=CLASSIFICATION[[Keyword Aggr]:[Keyword Aggr]])*($D177=CLASSIFICATION[[Functional Scope Aggr]:[Functional Scope Aggr]])),
_xlpm._platform_keywords, _xlfn.TEXTSPLIT(SUBSTITUTE(SUBSTITUTE(VLOOKUP($D177,_xlpm._platform_range,3,FALSE),"+"&amp;CHAR(34),"+"),CHAR(34),""),", "),
_xlpm._exists, SUMPRODUCT(--ISNUMBER(MATCH(_xlpm._platform_keywords,_xlpm._original_keywords,0)))&gt;0,
_xlfn.IFS(AND(_xlpm._exists,LEFT($E177,1)="+"),"+",_xlpm._exists,"*",NOT(_xlpm._exists),"")
)</f>
        <v/>
      </c>
      <c r="L177" s="33" t="str" cm="1">
        <f t="array" aca="1" ref="L17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($E177=CLASSIFICATION[[Keyword Aggr]:[Keyword Aggr]])*($D177=CLASSIFICATION[[Functional Scope Aggr]:[Functional Scope Aggr]])),
_xlpm._platform_keywords, _xlfn.TEXTSPLIT(SUBSTITUTE(SUBSTITUTE(VLOOKUP($D177,_xlpm._platform_range,3,FALSE),"+"&amp;CHAR(34),"+"),CHAR(34),""),", "),
_xlpm._exists, SUMPRODUCT(--ISNUMBER(MATCH(_xlpm._platform_keywords,_xlpm._original_keywords,0)))&gt;0,
_xlfn.IFS(AND(_xlpm._exists,LEFT($E177,1)="+"),"+",_xlpm._exists,"*",NOT(_xlpm._exists),"")
)</f>
        <v/>
      </c>
      <c r="M177" s="33" t="str" cm="1">
        <f t="array" aca="1" ref="M17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($E177=CLASSIFICATION[[Keyword Aggr]:[Keyword Aggr]])*($D177=CLASSIFICATION[[Functional Scope Aggr]:[Functional Scope Aggr]])),
_xlpm._platform_keywords, _xlfn.TEXTSPLIT(SUBSTITUTE(SUBSTITUTE(VLOOKUP($D177,_xlpm._platform_range,3,FALSE),"+"&amp;CHAR(34),"+"),CHAR(34),""),", "),
_xlpm._exists, SUMPRODUCT(--ISNUMBER(MATCH(_xlpm._platform_keywords,_xlpm._original_keywords,0)))&gt;0,
_xlfn.IFS(AND(_xlpm._exists,LEFT($E177,1)="+"),"+",_xlpm._exists,"*",NOT(_xlpm._exists),"")
)</f>
        <v/>
      </c>
      <c r="N177" s="33" t="str" cm="1">
        <f t="array" aca="1" ref="N17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($E177=CLASSIFICATION[[Keyword Aggr]:[Keyword Aggr]])*($D177=CLASSIFICATION[[Functional Scope Aggr]:[Functional Scope Aggr]])),
_xlpm._platform_keywords, _xlfn.TEXTSPLIT(SUBSTITUTE(SUBSTITUTE(VLOOKUP($D177,_xlpm._platform_range,3,FALSE),"+"&amp;CHAR(34),"+"),CHAR(34),""),", "),
_xlpm._exists, SUMPRODUCT(--ISNUMBER(MATCH(_xlpm._platform_keywords,_xlpm._original_keywords,0)))&gt;0,
_xlfn.IFS(AND(_xlpm._exists,LEFT($E177,1)="+"),"+",_xlpm._exists,"*",NOT(_xlpm._exists),"")
)</f>
        <v/>
      </c>
      <c r="O177" s="33" t="str" cm="1">
        <f t="array" aca="1" ref="O17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($E177=CLASSIFICATION[[Keyword Aggr]:[Keyword Aggr]])*($D177=CLASSIFICATION[[Functional Scope Aggr]:[Functional Scope Aggr]])),
_xlpm._platform_keywords, _xlfn.TEXTSPLIT(SUBSTITUTE(SUBSTITUTE(VLOOKUP($D177,_xlpm._platform_range,3,FALSE),"+"&amp;CHAR(34),"+"),CHAR(34),""),", "),
_xlpm._exists, SUMPRODUCT(--ISNUMBER(MATCH(_xlpm._platform_keywords,_xlpm._original_keywords,0)))&gt;0,
_xlfn.IFS(AND(_xlpm._exists,LEFT($E177,1)="+"),"+",_xlpm._exists,"*",NOT(_xlpm._exists),"")
)</f>
        <v/>
      </c>
      <c r="Q177" s="33" cm="1">
        <f t="array" aca="1" ref="Q17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($E177=CLASSIFICATION[[Keyword Aggr]:[Keyword Aggr]])*($D177=CLASSIFICATION[[Functional Scope Aggr]:[Functional Scope Aggr]])),
_xlpm._platform_keywords, _xlfn.TEXTSPLIT(SUBSTITUTE(SUBSTITUTE(VLOOKUP($D177,_xlpm._platform_range,3,FALSE),"+"&amp;CHAR(34),"+"),CHAR(34),""),", "),
_xlpm._exists, SUMPRODUCT(--ISNUMBER(MATCH(_xlpm._platform_keywords,_xlpm._original_keywords,0)))&gt;0,
_xlfn.IFS(_xlpm._exists,1,NOT(_xlpm._exists),"")
)</f>
        <v>1</v>
      </c>
      <c r="R177" s="33" t="str" cm="1">
        <f t="array" aca="1" ref="R17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($E177=CLASSIFICATION[[Keyword Aggr]:[Keyword Aggr]])*($D177=CLASSIFICATION[[Functional Scope Aggr]:[Functional Scope Aggr]])),
_xlpm._platform_keywords, _xlfn.TEXTSPLIT(SUBSTITUTE(SUBSTITUTE(VLOOKUP($D177,_xlpm._platform_range,3,FALSE),"+"&amp;CHAR(34),"+"),CHAR(34),""),", "),
_xlpm._exists, SUMPRODUCT(--ISNUMBER(MATCH(_xlpm._platform_keywords,_xlpm._original_keywords,0)))&gt;0,
_xlfn.IFS(_xlpm._exists,1,NOT(_xlpm._exists),"")
)</f>
        <v/>
      </c>
      <c r="S177" s="33" t="str" cm="1">
        <f t="array" aca="1" ref="S17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($E177=CLASSIFICATION[[Keyword Aggr]:[Keyword Aggr]])*($D177=CLASSIFICATION[[Functional Scope Aggr]:[Functional Scope Aggr]])),
_xlpm._platform_keywords, _xlfn.TEXTSPLIT(SUBSTITUTE(SUBSTITUTE(VLOOKUP($D177,_xlpm._platform_range,3,FALSE),"+"&amp;CHAR(34),"+"),CHAR(34),""),", "),
_xlpm._exists, SUMPRODUCT(--ISNUMBER(MATCH(_xlpm._platform_keywords,_xlpm._original_keywords,0)))&gt;0,
_xlfn.IFS(_xlpm._exists,1,NOT(_xlpm._exists),"")
)</f>
        <v/>
      </c>
      <c r="T177" s="33" t="str" cm="1">
        <f t="array" aca="1" ref="T17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($E177=CLASSIFICATION[[Keyword Aggr]:[Keyword Aggr]])*($D177=CLASSIFICATION[[Functional Scope Aggr]:[Functional Scope Aggr]])),
_xlpm._platform_keywords, _xlfn.TEXTSPLIT(SUBSTITUTE(SUBSTITUTE(VLOOKUP($D177,_xlpm._platform_range,3,FALSE),"+"&amp;CHAR(34),"+"),CHAR(34),""),", "),
_xlpm._exists, SUMPRODUCT(--ISNUMBER(MATCH(_xlpm._platform_keywords,_xlpm._original_keywords,0)))&gt;0,
_xlfn.IFS(_xlpm._exists,1,NOT(_xlpm._exists),"")
)</f>
        <v/>
      </c>
      <c r="U177" s="33" t="str" cm="1">
        <f t="array" aca="1" ref="U17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($E177=CLASSIFICATION[[Keyword Aggr]:[Keyword Aggr]])*($D177=CLASSIFICATION[[Functional Scope Aggr]:[Functional Scope Aggr]])),
_xlpm._platform_keywords, _xlfn.TEXTSPLIT(SUBSTITUTE(SUBSTITUTE(VLOOKUP($D177,_xlpm._platform_range,3,FALSE),"+"&amp;CHAR(34),"+"),CHAR(34),""),", "),
_xlpm._exists, SUMPRODUCT(--ISNUMBER(MATCH(_xlpm._platform_keywords,_xlpm._original_keywords,0)))&gt;0,
_xlfn.IFS(_xlpm._exists,1,NOT(_xlpm._exists),"")
)</f>
        <v/>
      </c>
      <c r="V177" s="33" t="str" cm="1">
        <f t="array" aca="1" ref="V17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($E177=CLASSIFICATION[[Keyword Aggr]:[Keyword Aggr]])*($D177=CLASSIFICATION[[Functional Scope Aggr]:[Functional Scope Aggr]])),
_xlpm._platform_keywords, _xlfn.TEXTSPLIT(SUBSTITUTE(SUBSTITUTE(VLOOKUP($D177,_xlpm._platform_range,3,FALSE),"+"&amp;CHAR(34),"+"),CHAR(34),""),", "),
_xlpm._exists, SUMPRODUCT(--ISNUMBER(MATCH(_xlpm._platform_keywords,_xlpm._original_keywords,0)))&gt;0,
_xlfn.IFS(_xlpm._exists,1,NOT(_xlpm._exists),"")
)</f>
        <v/>
      </c>
      <c r="X177" s="33" t="str">
        <f t="shared" si="23"/>
        <v/>
      </c>
      <c r="Y177" s="33" t="str">
        <f t="shared" si="24"/>
        <v/>
      </c>
      <c r="Z177" s="33" t="str">
        <f t="shared" si="25"/>
        <v/>
      </c>
      <c r="AA177" s="33" t="str">
        <f t="shared" si="26"/>
        <v/>
      </c>
      <c r="AB177" s="33" t="str">
        <f t="shared" si="27"/>
        <v/>
      </c>
      <c r="AC177" s="33" t="str">
        <f t="shared" si="28"/>
        <v/>
      </c>
    </row>
    <row r="178" spans="1:29" x14ac:dyDescent="0.25">
      <c r="A178" s="19" t="str">
        <v>Implementation,Runtime server installation,SSL Certificates</v>
      </c>
      <c r="B178" t="s">
        <v>377</v>
      </c>
      <c r="C178" s="19" t="str" cm="1">
        <f t="array" ref="C178:E178">_xlfn.TEXTSPLIT(A178,",")</f>
        <v>Implementation</v>
      </c>
      <c r="D178" s="19" t="str">
        <v>Runtime server installation</v>
      </c>
      <c r="E178" s="19" t="str">
        <v>SSL Certificates</v>
      </c>
      <c r="F178" s="36" t="str" cm="1">
        <f t="array" ref="F178">_xlfn.TEXTJOIN(",",TRUE,_xlfn._xlws.FILTER(CLASSIFICATION[Keyword], ($E178=CLASSIFICATION[Keyword Aggr])*($D178=CLASSIFICATION[Functional Scope Aggr])))</f>
        <v>SSL Certificates</v>
      </c>
      <c r="G178" s="32" t="str">
        <f t="shared" si="20"/>
        <v/>
      </c>
      <c r="H178" s="32" t="str">
        <f t="shared" si="21"/>
        <v/>
      </c>
      <c r="I178" s="32" t="str">
        <f t="shared" si="22"/>
        <v>SSL Certificates</v>
      </c>
      <c r="J178" s="33" t="str" cm="1">
        <f t="array" aca="1" ref="J17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($E178=CLASSIFICATION[[Keyword Aggr]:[Keyword Aggr]])*($D178=CLASSIFICATION[[Functional Scope Aggr]:[Functional Scope Aggr]])),
_xlpm._platform_keywords, _xlfn.TEXTSPLIT(SUBSTITUTE(SUBSTITUTE(VLOOKUP($D178,_xlpm._platform_range,3,FALSE),"+"&amp;CHAR(34),"+"),CHAR(34),""),", "),
_xlpm._exists, SUMPRODUCT(--ISNUMBER(MATCH(_xlpm._platform_keywords,_xlpm._original_keywords,0)))&gt;0,
_xlfn.IFS(AND(_xlpm._exists,LEFT($E178,1)="+"),"+",_xlpm._exists,"*",NOT(_xlpm._exists),"")
)</f>
        <v/>
      </c>
      <c r="K178" s="33" t="str" cm="1">
        <f t="array" aca="1" ref="K17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($E178=CLASSIFICATION[[Keyword Aggr]:[Keyword Aggr]])*($D178=CLASSIFICATION[[Functional Scope Aggr]:[Functional Scope Aggr]])),
_xlpm._platform_keywords, _xlfn.TEXTSPLIT(SUBSTITUTE(SUBSTITUTE(VLOOKUP($D178,_xlpm._platform_range,3,FALSE),"+"&amp;CHAR(34),"+"),CHAR(34),""),", "),
_xlpm._exists, SUMPRODUCT(--ISNUMBER(MATCH(_xlpm._platform_keywords,_xlpm._original_keywords,0)))&gt;0,
_xlfn.IFS(AND(_xlpm._exists,LEFT($E178,1)="+"),"+",_xlpm._exists,"*",NOT(_xlpm._exists),"")
)</f>
        <v/>
      </c>
      <c r="L178" s="33" t="str" cm="1">
        <f t="array" aca="1" ref="L17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($E178=CLASSIFICATION[[Keyword Aggr]:[Keyword Aggr]])*($D178=CLASSIFICATION[[Functional Scope Aggr]:[Functional Scope Aggr]])),
_xlpm._platform_keywords, _xlfn.TEXTSPLIT(SUBSTITUTE(SUBSTITUTE(VLOOKUP($D178,_xlpm._platform_range,3,FALSE),"+"&amp;CHAR(34),"+"),CHAR(34),""),", "),
_xlpm._exists, SUMPRODUCT(--ISNUMBER(MATCH(_xlpm._platform_keywords,_xlpm._original_keywords,0)))&gt;0,
_xlfn.IFS(AND(_xlpm._exists,LEFT($E178,1)="+"),"+",_xlpm._exists,"*",NOT(_xlpm._exists),"")
)</f>
        <v>*</v>
      </c>
      <c r="M178" s="33" t="str" cm="1">
        <f t="array" aca="1" ref="M17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($E178=CLASSIFICATION[[Keyword Aggr]:[Keyword Aggr]])*($D178=CLASSIFICATION[[Functional Scope Aggr]:[Functional Scope Aggr]])),
_xlpm._platform_keywords, _xlfn.TEXTSPLIT(SUBSTITUTE(SUBSTITUTE(VLOOKUP($D178,_xlpm._platform_range,3,FALSE),"+"&amp;CHAR(34),"+"),CHAR(34),""),", "),
_xlpm._exists, SUMPRODUCT(--ISNUMBER(MATCH(_xlpm._platform_keywords,_xlpm._original_keywords,0)))&gt;0,
_xlfn.IFS(AND(_xlpm._exists,LEFT($E178,1)="+"),"+",_xlpm._exists,"*",NOT(_xlpm._exists),"")
)</f>
        <v/>
      </c>
      <c r="N178" s="33" t="str" cm="1">
        <f t="array" aca="1" ref="N17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($E178=CLASSIFICATION[[Keyword Aggr]:[Keyword Aggr]])*($D178=CLASSIFICATION[[Functional Scope Aggr]:[Functional Scope Aggr]])),
_xlpm._platform_keywords, _xlfn.TEXTSPLIT(SUBSTITUTE(SUBSTITUTE(VLOOKUP($D178,_xlpm._platform_range,3,FALSE),"+"&amp;CHAR(34),"+"),CHAR(34),""),", "),
_xlpm._exists, SUMPRODUCT(--ISNUMBER(MATCH(_xlpm._platform_keywords,_xlpm._original_keywords,0)))&gt;0,
_xlfn.IFS(AND(_xlpm._exists,LEFT($E178,1)="+"),"+",_xlpm._exists,"*",NOT(_xlpm._exists),"")
)</f>
        <v/>
      </c>
      <c r="O178" s="33" t="str" cm="1">
        <f t="array" aca="1" ref="O17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($E178=CLASSIFICATION[[Keyword Aggr]:[Keyword Aggr]])*($D178=CLASSIFICATION[[Functional Scope Aggr]:[Functional Scope Aggr]])),
_xlpm._platform_keywords, _xlfn.TEXTSPLIT(SUBSTITUTE(SUBSTITUTE(VLOOKUP($D178,_xlpm._platform_range,3,FALSE),"+"&amp;CHAR(34),"+"),CHAR(34),""),", "),
_xlpm._exists, SUMPRODUCT(--ISNUMBER(MATCH(_xlpm._platform_keywords,_xlpm._original_keywords,0)))&gt;0,
_xlfn.IFS(AND(_xlpm._exists,LEFT($E178,1)="+"),"+",_xlpm._exists,"*",NOT(_xlpm._exists),"")
)</f>
        <v/>
      </c>
      <c r="Q178" s="33" t="str" cm="1">
        <f t="array" aca="1" ref="Q17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($E178=CLASSIFICATION[[Keyword Aggr]:[Keyword Aggr]])*($D178=CLASSIFICATION[[Functional Scope Aggr]:[Functional Scope Aggr]])),
_xlpm._platform_keywords, _xlfn.TEXTSPLIT(SUBSTITUTE(SUBSTITUTE(VLOOKUP($D178,_xlpm._platform_range,3,FALSE),"+"&amp;CHAR(34),"+"),CHAR(34),""),", "),
_xlpm._exists, SUMPRODUCT(--ISNUMBER(MATCH(_xlpm._platform_keywords,_xlpm._original_keywords,0)))&gt;0,
_xlfn.IFS(_xlpm._exists,1,NOT(_xlpm._exists),"")
)</f>
        <v/>
      </c>
      <c r="R178" s="33" t="str" cm="1">
        <f t="array" aca="1" ref="R17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($E178=CLASSIFICATION[[Keyword Aggr]:[Keyword Aggr]])*($D178=CLASSIFICATION[[Functional Scope Aggr]:[Functional Scope Aggr]])),
_xlpm._platform_keywords, _xlfn.TEXTSPLIT(SUBSTITUTE(SUBSTITUTE(VLOOKUP($D178,_xlpm._platform_range,3,FALSE),"+"&amp;CHAR(34),"+"),CHAR(34),""),", "),
_xlpm._exists, SUMPRODUCT(--ISNUMBER(MATCH(_xlpm._platform_keywords,_xlpm._original_keywords,0)))&gt;0,
_xlfn.IFS(_xlpm._exists,1,NOT(_xlpm._exists),"")
)</f>
        <v/>
      </c>
      <c r="S178" s="33" cm="1">
        <f t="array" aca="1" ref="S17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($E178=CLASSIFICATION[[Keyword Aggr]:[Keyword Aggr]])*($D178=CLASSIFICATION[[Functional Scope Aggr]:[Functional Scope Aggr]])),
_xlpm._platform_keywords, _xlfn.TEXTSPLIT(SUBSTITUTE(SUBSTITUTE(VLOOKUP($D178,_xlpm._platform_range,3,FALSE),"+"&amp;CHAR(34),"+"),CHAR(34),""),", "),
_xlpm._exists, SUMPRODUCT(--ISNUMBER(MATCH(_xlpm._platform_keywords,_xlpm._original_keywords,0)))&gt;0,
_xlfn.IFS(_xlpm._exists,1,NOT(_xlpm._exists),"")
)</f>
        <v>1</v>
      </c>
      <c r="T178" s="33" t="str" cm="1">
        <f t="array" aca="1" ref="T17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($E178=CLASSIFICATION[[Keyword Aggr]:[Keyword Aggr]])*($D178=CLASSIFICATION[[Functional Scope Aggr]:[Functional Scope Aggr]])),
_xlpm._platform_keywords, _xlfn.TEXTSPLIT(SUBSTITUTE(SUBSTITUTE(VLOOKUP($D178,_xlpm._platform_range,3,FALSE),"+"&amp;CHAR(34),"+"),CHAR(34),""),", "),
_xlpm._exists, SUMPRODUCT(--ISNUMBER(MATCH(_xlpm._platform_keywords,_xlpm._original_keywords,0)))&gt;0,
_xlfn.IFS(_xlpm._exists,1,NOT(_xlpm._exists),"")
)</f>
        <v/>
      </c>
      <c r="U178" s="33" t="str" cm="1">
        <f t="array" aca="1" ref="U17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($E178=CLASSIFICATION[[Keyword Aggr]:[Keyword Aggr]])*($D178=CLASSIFICATION[[Functional Scope Aggr]:[Functional Scope Aggr]])),
_xlpm._platform_keywords, _xlfn.TEXTSPLIT(SUBSTITUTE(SUBSTITUTE(VLOOKUP($D178,_xlpm._platform_range,3,FALSE),"+"&amp;CHAR(34),"+"),CHAR(34),""),", "),
_xlpm._exists, SUMPRODUCT(--ISNUMBER(MATCH(_xlpm._platform_keywords,_xlpm._original_keywords,0)))&gt;0,
_xlfn.IFS(_xlpm._exists,1,NOT(_xlpm._exists),"")
)</f>
        <v/>
      </c>
      <c r="V178" s="33" t="str" cm="1">
        <f t="array" aca="1" ref="V17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($E178=CLASSIFICATION[[Keyword Aggr]:[Keyword Aggr]])*($D178=CLASSIFICATION[[Functional Scope Aggr]:[Functional Scope Aggr]])),
_xlpm._platform_keywords, _xlfn.TEXTSPLIT(SUBSTITUTE(SUBSTITUTE(VLOOKUP($D178,_xlpm._platform_range,3,FALSE),"+"&amp;CHAR(34),"+"),CHAR(34),""),", "),
_xlpm._exists, SUMPRODUCT(--ISNUMBER(MATCH(_xlpm._platform_keywords,_xlpm._original_keywords,0)))&gt;0,
_xlfn.IFS(_xlpm._exists,1,NOT(_xlpm._exists),"")
)</f>
        <v/>
      </c>
      <c r="X178" s="33" t="str">
        <f t="shared" si="23"/>
        <v/>
      </c>
      <c r="Y178" s="33" t="str">
        <f t="shared" si="24"/>
        <v/>
      </c>
      <c r="Z178" s="33" t="str">
        <f t="shared" si="25"/>
        <v/>
      </c>
      <c r="AA178" s="33" t="str">
        <f t="shared" si="26"/>
        <v/>
      </c>
      <c r="AB178" s="33" t="str">
        <f t="shared" si="27"/>
        <v/>
      </c>
      <c r="AC178" s="33" t="str">
        <f t="shared" si="28"/>
        <v/>
      </c>
    </row>
    <row r="179" spans="1:29" x14ac:dyDescent="0.25">
      <c r="A179" s="19" t="str">
        <v>Implementation,Runtime server installation,Swagger</v>
      </c>
      <c r="B179" t="s">
        <v>377</v>
      </c>
      <c r="C179" s="19" t="str" cm="1">
        <f t="array" ref="C179:E179">_xlfn.TEXTSPLIT(A179,",")</f>
        <v>Implementation</v>
      </c>
      <c r="D179" s="19" t="str">
        <v>Runtime server installation</v>
      </c>
      <c r="E179" s="19" t="str">
        <v>Swagger</v>
      </c>
      <c r="F179" s="36" t="str" cm="1">
        <f t="array" ref="F179">_xlfn.TEXTJOIN(",",TRUE,_xlfn._xlws.FILTER(CLASSIFICATION[Keyword], ($E179=CLASSIFICATION[Keyword Aggr])*($D179=CLASSIFICATION[Functional Scope Aggr])))</f>
        <v>Swagger</v>
      </c>
      <c r="G179" s="32" t="str">
        <f t="shared" si="20"/>
        <v/>
      </c>
      <c r="H179" s="32" t="str">
        <f t="shared" si="21"/>
        <v/>
      </c>
      <c r="I179" s="32" t="str">
        <f t="shared" si="22"/>
        <v>Swagger</v>
      </c>
      <c r="J179" s="33" t="str" cm="1">
        <f t="array" aca="1" ref="J17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($E179=CLASSIFICATION[[Keyword Aggr]:[Keyword Aggr]])*($D179=CLASSIFICATION[[Functional Scope Aggr]:[Functional Scope Aggr]])),
_xlpm._platform_keywords, _xlfn.TEXTSPLIT(SUBSTITUTE(SUBSTITUTE(VLOOKUP($D179,_xlpm._platform_range,3,FALSE),"+"&amp;CHAR(34),"+"),CHAR(34),""),", "),
_xlpm._exists, SUMPRODUCT(--ISNUMBER(MATCH(_xlpm._platform_keywords,_xlpm._original_keywords,0)))&gt;0,
_xlfn.IFS(AND(_xlpm._exists,LEFT($E179,1)="+"),"+",_xlpm._exists,"*",NOT(_xlpm._exists),"")
)</f>
        <v>*</v>
      </c>
      <c r="K179" s="33" t="str" cm="1">
        <f t="array" aca="1" ref="K17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($E179=CLASSIFICATION[[Keyword Aggr]:[Keyword Aggr]])*($D179=CLASSIFICATION[[Functional Scope Aggr]:[Functional Scope Aggr]])),
_xlpm._platform_keywords, _xlfn.TEXTSPLIT(SUBSTITUTE(SUBSTITUTE(VLOOKUP($D179,_xlpm._platform_range,3,FALSE),"+"&amp;CHAR(34),"+"),CHAR(34),""),", "),
_xlpm._exists, SUMPRODUCT(--ISNUMBER(MATCH(_xlpm._platform_keywords,_xlpm._original_keywords,0)))&gt;0,
_xlfn.IFS(AND(_xlpm._exists,LEFT($E179,1)="+"),"+",_xlpm._exists,"*",NOT(_xlpm._exists),"")
)</f>
        <v/>
      </c>
      <c r="L179" s="33" t="str" cm="1">
        <f t="array" aca="1" ref="L17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($E179=CLASSIFICATION[[Keyword Aggr]:[Keyword Aggr]])*($D179=CLASSIFICATION[[Functional Scope Aggr]:[Functional Scope Aggr]])),
_xlpm._platform_keywords, _xlfn.TEXTSPLIT(SUBSTITUTE(SUBSTITUTE(VLOOKUP($D179,_xlpm._platform_range,3,FALSE),"+"&amp;CHAR(34),"+"),CHAR(34),""),", "),
_xlpm._exists, SUMPRODUCT(--ISNUMBER(MATCH(_xlpm._platform_keywords,_xlpm._original_keywords,0)))&gt;0,
_xlfn.IFS(AND(_xlpm._exists,LEFT($E179,1)="+"),"+",_xlpm._exists,"*",NOT(_xlpm._exists),"")
)</f>
        <v/>
      </c>
      <c r="M179" s="33" t="str" cm="1">
        <f t="array" aca="1" ref="M17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($E179=CLASSIFICATION[[Keyword Aggr]:[Keyword Aggr]])*($D179=CLASSIFICATION[[Functional Scope Aggr]:[Functional Scope Aggr]])),
_xlpm._platform_keywords, _xlfn.TEXTSPLIT(SUBSTITUTE(SUBSTITUTE(VLOOKUP($D179,_xlpm._platform_range,3,FALSE),"+"&amp;CHAR(34),"+"),CHAR(34),""),", "),
_xlpm._exists, SUMPRODUCT(--ISNUMBER(MATCH(_xlpm._platform_keywords,_xlpm._original_keywords,0)))&gt;0,
_xlfn.IFS(AND(_xlpm._exists,LEFT($E179,1)="+"),"+",_xlpm._exists,"*",NOT(_xlpm._exists),"")
)</f>
        <v/>
      </c>
      <c r="N179" s="33" t="str" cm="1">
        <f t="array" aca="1" ref="N17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($E179=CLASSIFICATION[[Keyword Aggr]:[Keyword Aggr]])*($D179=CLASSIFICATION[[Functional Scope Aggr]:[Functional Scope Aggr]])),
_xlpm._platform_keywords, _xlfn.TEXTSPLIT(SUBSTITUTE(SUBSTITUTE(VLOOKUP($D179,_xlpm._platform_range,3,FALSE),"+"&amp;CHAR(34),"+"),CHAR(34),""),", "),
_xlpm._exists, SUMPRODUCT(--ISNUMBER(MATCH(_xlpm._platform_keywords,_xlpm._original_keywords,0)))&gt;0,
_xlfn.IFS(AND(_xlpm._exists,LEFT($E179,1)="+"),"+",_xlpm._exists,"*",NOT(_xlpm._exists),"")
)</f>
        <v/>
      </c>
      <c r="O179" s="33" t="str" cm="1">
        <f t="array" aca="1" ref="O17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($E179=CLASSIFICATION[[Keyword Aggr]:[Keyword Aggr]])*($D179=CLASSIFICATION[[Functional Scope Aggr]:[Functional Scope Aggr]])),
_xlpm._platform_keywords, _xlfn.TEXTSPLIT(SUBSTITUTE(SUBSTITUTE(VLOOKUP($D179,_xlpm._platform_range,3,FALSE),"+"&amp;CHAR(34),"+"),CHAR(34),""),", "),
_xlpm._exists, SUMPRODUCT(--ISNUMBER(MATCH(_xlpm._platform_keywords,_xlpm._original_keywords,0)))&gt;0,
_xlfn.IFS(AND(_xlpm._exists,LEFT($E179,1)="+"),"+",_xlpm._exists,"*",NOT(_xlpm._exists),"")
)</f>
        <v/>
      </c>
      <c r="Q179" s="33" cm="1">
        <f t="array" aca="1" ref="Q17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($E179=CLASSIFICATION[[Keyword Aggr]:[Keyword Aggr]])*($D179=CLASSIFICATION[[Functional Scope Aggr]:[Functional Scope Aggr]])),
_xlpm._platform_keywords, _xlfn.TEXTSPLIT(SUBSTITUTE(SUBSTITUTE(VLOOKUP($D179,_xlpm._platform_range,3,FALSE),"+"&amp;CHAR(34),"+"),CHAR(34),""),", "),
_xlpm._exists, SUMPRODUCT(--ISNUMBER(MATCH(_xlpm._platform_keywords,_xlpm._original_keywords,0)))&gt;0,
_xlfn.IFS(_xlpm._exists,1,NOT(_xlpm._exists),"")
)</f>
        <v>1</v>
      </c>
      <c r="R179" s="33" t="str" cm="1">
        <f t="array" aca="1" ref="R17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($E179=CLASSIFICATION[[Keyword Aggr]:[Keyword Aggr]])*($D179=CLASSIFICATION[[Functional Scope Aggr]:[Functional Scope Aggr]])),
_xlpm._platform_keywords, _xlfn.TEXTSPLIT(SUBSTITUTE(SUBSTITUTE(VLOOKUP($D179,_xlpm._platform_range,3,FALSE),"+"&amp;CHAR(34),"+"),CHAR(34),""),", "),
_xlpm._exists, SUMPRODUCT(--ISNUMBER(MATCH(_xlpm._platform_keywords,_xlpm._original_keywords,0)))&gt;0,
_xlfn.IFS(_xlpm._exists,1,NOT(_xlpm._exists),"")
)</f>
        <v/>
      </c>
      <c r="S179" s="33" t="str" cm="1">
        <f t="array" aca="1" ref="S17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($E179=CLASSIFICATION[[Keyword Aggr]:[Keyword Aggr]])*($D179=CLASSIFICATION[[Functional Scope Aggr]:[Functional Scope Aggr]])),
_xlpm._platform_keywords, _xlfn.TEXTSPLIT(SUBSTITUTE(SUBSTITUTE(VLOOKUP($D179,_xlpm._platform_range,3,FALSE),"+"&amp;CHAR(34),"+"),CHAR(34),""),", "),
_xlpm._exists, SUMPRODUCT(--ISNUMBER(MATCH(_xlpm._platform_keywords,_xlpm._original_keywords,0)))&gt;0,
_xlfn.IFS(_xlpm._exists,1,NOT(_xlpm._exists),"")
)</f>
        <v/>
      </c>
      <c r="T179" s="33" t="str" cm="1">
        <f t="array" aca="1" ref="T17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($E179=CLASSIFICATION[[Keyword Aggr]:[Keyword Aggr]])*($D179=CLASSIFICATION[[Functional Scope Aggr]:[Functional Scope Aggr]])),
_xlpm._platform_keywords, _xlfn.TEXTSPLIT(SUBSTITUTE(SUBSTITUTE(VLOOKUP($D179,_xlpm._platform_range,3,FALSE),"+"&amp;CHAR(34),"+"),CHAR(34),""),", "),
_xlpm._exists, SUMPRODUCT(--ISNUMBER(MATCH(_xlpm._platform_keywords,_xlpm._original_keywords,0)))&gt;0,
_xlfn.IFS(_xlpm._exists,1,NOT(_xlpm._exists),"")
)</f>
        <v/>
      </c>
      <c r="U179" s="33" t="str" cm="1">
        <f t="array" aca="1" ref="U17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($E179=CLASSIFICATION[[Keyword Aggr]:[Keyword Aggr]])*($D179=CLASSIFICATION[[Functional Scope Aggr]:[Functional Scope Aggr]])),
_xlpm._platform_keywords, _xlfn.TEXTSPLIT(SUBSTITUTE(SUBSTITUTE(VLOOKUP($D179,_xlpm._platform_range,3,FALSE),"+"&amp;CHAR(34),"+"),CHAR(34),""),", "),
_xlpm._exists, SUMPRODUCT(--ISNUMBER(MATCH(_xlpm._platform_keywords,_xlpm._original_keywords,0)))&gt;0,
_xlfn.IFS(_xlpm._exists,1,NOT(_xlpm._exists),"")
)</f>
        <v/>
      </c>
      <c r="V179" s="33" t="str" cm="1">
        <f t="array" aca="1" ref="V17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($E179=CLASSIFICATION[[Keyword Aggr]:[Keyword Aggr]])*($D179=CLASSIFICATION[[Functional Scope Aggr]:[Functional Scope Aggr]])),
_xlpm._platform_keywords, _xlfn.TEXTSPLIT(SUBSTITUTE(SUBSTITUTE(VLOOKUP($D179,_xlpm._platform_range,3,FALSE),"+"&amp;CHAR(34),"+"),CHAR(34),""),", "),
_xlpm._exists, SUMPRODUCT(--ISNUMBER(MATCH(_xlpm._platform_keywords,_xlpm._original_keywords,0)))&gt;0,
_xlfn.IFS(_xlpm._exists,1,NOT(_xlpm._exists),"")
)</f>
        <v/>
      </c>
      <c r="X179" s="33" t="str">
        <f t="shared" si="23"/>
        <v/>
      </c>
      <c r="Y179" s="33" t="str">
        <f t="shared" si="24"/>
        <v/>
      </c>
      <c r="Z179" s="33" t="str">
        <f t="shared" si="25"/>
        <v/>
      </c>
      <c r="AA179" s="33" t="str">
        <f t="shared" si="26"/>
        <v/>
      </c>
      <c r="AB179" s="33" t="str">
        <f t="shared" si="27"/>
        <v/>
      </c>
      <c r="AC179" s="33" t="str">
        <f t="shared" si="28"/>
        <v/>
      </c>
    </row>
    <row r="180" spans="1:29" x14ac:dyDescent="0.25">
      <c r="A180" s="19" t="str">
        <v>Implementation,Runtime server installation,WSDL</v>
      </c>
      <c r="B180" t="s">
        <v>377</v>
      </c>
      <c r="C180" s="19" t="str" cm="1">
        <f t="array" ref="C180:E180">_xlfn.TEXTSPLIT(A180,",")</f>
        <v>Implementation</v>
      </c>
      <c r="D180" s="19" t="str">
        <v>Runtime server installation</v>
      </c>
      <c r="E180" s="19" t="str">
        <v>WSDL</v>
      </c>
      <c r="F180" s="36" t="str" cm="1">
        <f t="array" ref="F180">_xlfn.TEXTJOIN(",",TRUE,_xlfn._xlws.FILTER(CLASSIFICATION[Keyword], ($E180=CLASSIFICATION[Keyword Aggr])*($D180=CLASSIFICATION[Functional Scope Aggr])))</f>
        <v>WSDL</v>
      </c>
      <c r="G180" s="32" t="str">
        <f t="shared" si="20"/>
        <v/>
      </c>
      <c r="H180" s="32" t="str">
        <f t="shared" si="21"/>
        <v/>
      </c>
      <c r="I180" s="32" t="str">
        <f t="shared" si="22"/>
        <v>WSDL</v>
      </c>
      <c r="J180" s="33" t="str" cm="1">
        <f t="array" aca="1" ref="J18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($E180=CLASSIFICATION[[Keyword Aggr]:[Keyword Aggr]])*($D180=CLASSIFICATION[[Functional Scope Aggr]:[Functional Scope Aggr]])),
_xlpm._platform_keywords, _xlfn.TEXTSPLIT(SUBSTITUTE(SUBSTITUTE(VLOOKUP($D180,_xlpm._platform_range,3,FALSE),"+"&amp;CHAR(34),"+"),CHAR(34),""),", "),
_xlpm._exists, SUMPRODUCT(--ISNUMBER(MATCH(_xlpm._platform_keywords,_xlpm._original_keywords,0)))&gt;0,
_xlfn.IFS(AND(_xlpm._exists,LEFT($E180,1)="+"),"+",_xlpm._exists,"*",NOT(_xlpm._exists),"")
)</f>
        <v>*</v>
      </c>
      <c r="K180" s="33" t="str" cm="1">
        <f t="array" aca="1" ref="K18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($E180=CLASSIFICATION[[Keyword Aggr]:[Keyword Aggr]])*($D180=CLASSIFICATION[[Functional Scope Aggr]:[Functional Scope Aggr]])),
_xlpm._platform_keywords, _xlfn.TEXTSPLIT(SUBSTITUTE(SUBSTITUTE(VLOOKUP($D180,_xlpm._platform_range,3,FALSE),"+"&amp;CHAR(34),"+"),CHAR(34),""),", "),
_xlpm._exists, SUMPRODUCT(--ISNUMBER(MATCH(_xlpm._platform_keywords,_xlpm._original_keywords,0)))&gt;0,
_xlfn.IFS(AND(_xlpm._exists,LEFT($E180,1)="+"),"+",_xlpm._exists,"*",NOT(_xlpm._exists),"")
)</f>
        <v/>
      </c>
      <c r="L180" s="33" t="str" cm="1">
        <f t="array" aca="1" ref="L18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($E180=CLASSIFICATION[[Keyword Aggr]:[Keyword Aggr]])*($D180=CLASSIFICATION[[Functional Scope Aggr]:[Functional Scope Aggr]])),
_xlpm._platform_keywords, _xlfn.TEXTSPLIT(SUBSTITUTE(SUBSTITUTE(VLOOKUP($D180,_xlpm._platform_range,3,FALSE),"+"&amp;CHAR(34),"+"),CHAR(34),""),", "),
_xlpm._exists, SUMPRODUCT(--ISNUMBER(MATCH(_xlpm._platform_keywords,_xlpm._original_keywords,0)))&gt;0,
_xlfn.IFS(AND(_xlpm._exists,LEFT($E180,1)="+"),"+",_xlpm._exists,"*",NOT(_xlpm._exists),"")
)</f>
        <v/>
      </c>
      <c r="M180" s="33" t="str" cm="1">
        <f t="array" aca="1" ref="M18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($E180=CLASSIFICATION[[Keyword Aggr]:[Keyword Aggr]])*($D180=CLASSIFICATION[[Functional Scope Aggr]:[Functional Scope Aggr]])),
_xlpm._platform_keywords, _xlfn.TEXTSPLIT(SUBSTITUTE(SUBSTITUTE(VLOOKUP($D180,_xlpm._platform_range,3,FALSE),"+"&amp;CHAR(34),"+"),CHAR(34),""),", "),
_xlpm._exists, SUMPRODUCT(--ISNUMBER(MATCH(_xlpm._platform_keywords,_xlpm._original_keywords,0)))&gt;0,
_xlfn.IFS(AND(_xlpm._exists,LEFT($E180,1)="+"),"+",_xlpm._exists,"*",NOT(_xlpm._exists),"")
)</f>
        <v/>
      </c>
      <c r="N180" s="33" t="str" cm="1">
        <f t="array" aca="1" ref="N18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($E180=CLASSIFICATION[[Keyword Aggr]:[Keyword Aggr]])*($D180=CLASSIFICATION[[Functional Scope Aggr]:[Functional Scope Aggr]])),
_xlpm._platform_keywords, _xlfn.TEXTSPLIT(SUBSTITUTE(SUBSTITUTE(VLOOKUP($D180,_xlpm._platform_range,3,FALSE),"+"&amp;CHAR(34),"+"),CHAR(34),""),", "),
_xlpm._exists, SUMPRODUCT(--ISNUMBER(MATCH(_xlpm._platform_keywords,_xlpm._original_keywords,0)))&gt;0,
_xlfn.IFS(AND(_xlpm._exists,LEFT($E180,1)="+"),"+",_xlpm._exists,"*",NOT(_xlpm._exists),"")
)</f>
        <v/>
      </c>
      <c r="O180" s="33" t="str" cm="1">
        <f t="array" aca="1" ref="O18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($E180=CLASSIFICATION[[Keyword Aggr]:[Keyword Aggr]])*($D180=CLASSIFICATION[[Functional Scope Aggr]:[Functional Scope Aggr]])),
_xlpm._platform_keywords, _xlfn.TEXTSPLIT(SUBSTITUTE(SUBSTITUTE(VLOOKUP($D180,_xlpm._platform_range,3,FALSE),"+"&amp;CHAR(34),"+"),CHAR(34),""),", "),
_xlpm._exists, SUMPRODUCT(--ISNUMBER(MATCH(_xlpm._platform_keywords,_xlpm._original_keywords,0)))&gt;0,
_xlfn.IFS(AND(_xlpm._exists,LEFT($E180,1)="+"),"+",_xlpm._exists,"*",NOT(_xlpm._exists),"")
)</f>
        <v/>
      </c>
      <c r="Q180" s="33" cm="1">
        <f t="array" aca="1" ref="Q18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($E180=CLASSIFICATION[[Keyword Aggr]:[Keyword Aggr]])*($D180=CLASSIFICATION[[Functional Scope Aggr]:[Functional Scope Aggr]])),
_xlpm._platform_keywords, _xlfn.TEXTSPLIT(SUBSTITUTE(SUBSTITUTE(VLOOKUP($D180,_xlpm._platform_range,3,FALSE),"+"&amp;CHAR(34),"+"),CHAR(34),""),", "),
_xlpm._exists, SUMPRODUCT(--ISNUMBER(MATCH(_xlpm._platform_keywords,_xlpm._original_keywords,0)))&gt;0,
_xlfn.IFS(_xlpm._exists,1,NOT(_xlpm._exists),"")
)</f>
        <v>1</v>
      </c>
      <c r="R180" s="33" t="str" cm="1">
        <f t="array" aca="1" ref="R18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($E180=CLASSIFICATION[[Keyword Aggr]:[Keyword Aggr]])*($D180=CLASSIFICATION[[Functional Scope Aggr]:[Functional Scope Aggr]])),
_xlpm._platform_keywords, _xlfn.TEXTSPLIT(SUBSTITUTE(SUBSTITUTE(VLOOKUP($D180,_xlpm._platform_range,3,FALSE),"+"&amp;CHAR(34),"+"),CHAR(34),""),", "),
_xlpm._exists, SUMPRODUCT(--ISNUMBER(MATCH(_xlpm._platform_keywords,_xlpm._original_keywords,0)))&gt;0,
_xlfn.IFS(_xlpm._exists,1,NOT(_xlpm._exists),"")
)</f>
        <v/>
      </c>
      <c r="S180" s="33" t="str" cm="1">
        <f t="array" aca="1" ref="S18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($E180=CLASSIFICATION[[Keyword Aggr]:[Keyword Aggr]])*($D180=CLASSIFICATION[[Functional Scope Aggr]:[Functional Scope Aggr]])),
_xlpm._platform_keywords, _xlfn.TEXTSPLIT(SUBSTITUTE(SUBSTITUTE(VLOOKUP($D180,_xlpm._platform_range,3,FALSE),"+"&amp;CHAR(34),"+"),CHAR(34),""),", "),
_xlpm._exists, SUMPRODUCT(--ISNUMBER(MATCH(_xlpm._platform_keywords,_xlpm._original_keywords,0)))&gt;0,
_xlfn.IFS(_xlpm._exists,1,NOT(_xlpm._exists),"")
)</f>
        <v/>
      </c>
      <c r="T180" s="33" t="str" cm="1">
        <f t="array" aca="1" ref="T18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($E180=CLASSIFICATION[[Keyword Aggr]:[Keyword Aggr]])*($D180=CLASSIFICATION[[Functional Scope Aggr]:[Functional Scope Aggr]])),
_xlpm._platform_keywords, _xlfn.TEXTSPLIT(SUBSTITUTE(SUBSTITUTE(VLOOKUP($D180,_xlpm._platform_range,3,FALSE),"+"&amp;CHAR(34),"+"),CHAR(34),""),", "),
_xlpm._exists, SUMPRODUCT(--ISNUMBER(MATCH(_xlpm._platform_keywords,_xlpm._original_keywords,0)))&gt;0,
_xlfn.IFS(_xlpm._exists,1,NOT(_xlpm._exists),"")
)</f>
        <v/>
      </c>
      <c r="U180" s="33" t="str" cm="1">
        <f t="array" aca="1" ref="U18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($E180=CLASSIFICATION[[Keyword Aggr]:[Keyword Aggr]])*($D180=CLASSIFICATION[[Functional Scope Aggr]:[Functional Scope Aggr]])),
_xlpm._platform_keywords, _xlfn.TEXTSPLIT(SUBSTITUTE(SUBSTITUTE(VLOOKUP($D180,_xlpm._platform_range,3,FALSE),"+"&amp;CHAR(34),"+"),CHAR(34),""),", "),
_xlpm._exists, SUMPRODUCT(--ISNUMBER(MATCH(_xlpm._platform_keywords,_xlpm._original_keywords,0)))&gt;0,
_xlfn.IFS(_xlpm._exists,1,NOT(_xlpm._exists),"")
)</f>
        <v/>
      </c>
      <c r="V180" s="33" t="str" cm="1">
        <f t="array" aca="1" ref="V18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($E180=CLASSIFICATION[[Keyword Aggr]:[Keyword Aggr]])*($D180=CLASSIFICATION[[Functional Scope Aggr]:[Functional Scope Aggr]])),
_xlpm._platform_keywords, _xlfn.TEXTSPLIT(SUBSTITUTE(SUBSTITUTE(VLOOKUP($D180,_xlpm._platform_range,3,FALSE),"+"&amp;CHAR(34),"+"),CHAR(34),""),", "),
_xlpm._exists, SUMPRODUCT(--ISNUMBER(MATCH(_xlpm._platform_keywords,_xlpm._original_keywords,0)))&gt;0,
_xlfn.IFS(_xlpm._exists,1,NOT(_xlpm._exists),"")
)</f>
        <v/>
      </c>
      <c r="X180" s="33" t="str">
        <f t="shared" si="23"/>
        <v/>
      </c>
      <c r="Y180" s="33" t="str">
        <f t="shared" si="24"/>
        <v/>
      </c>
      <c r="Z180" s="33" t="str">
        <f t="shared" si="25"/>
        <v/>
      </c>
      <c r="AA180" s="33" t="str">
        <f t="shared" si="26"/>
        <v/>
      </c>
      <c r="AB180" s="33" t="str">
        <f t="shared" si="27"/>
        <v/>
      </c>
      <c r="AC180" s="33" t="str">
        <f t="shared" si="28"/>
        <v/>
      </c>
    </row>
    <row r="181" spans="1:29" x14ac:dyDescent="0.25">
      <c r="A181" s="19" t="str">
        <v>Implementation,Runtime server installation,XML/XPath</v>
      </c>
      <c r="B181" t="s">
        <v>377</v>
      </c>
      <c r="C181" s="19" t="str" cm="1">
        <f t="array" ref="C181:E181">_xlfn.TEXTSPLIT(A181,",")</f>
        <v>Implementation</v>
      </c>
      <c r="D181" s="19" t="str">
        <v>Runtime server installation</v>
      </c>
      <c r="E181" s="19" t="str">
        <v>XML/XPath</v>
      </c>
      <c r="F181" s="36" t="str" cm="1">
        <f t="array" ref="F181">_xlfn.TEXTJOIN(",",TRUE,_xlfn._xlws.FILTER(CLASSIFICATION[Keyword], ($E181=CLASSIFICATION[Keyword Aggr])*($D181=CLASSIFICATION[Functional Scope Aggr])))</f>
        <v>Xpath</v>
      </c>
      <c r="G181" s="32" t="str">
        <f t="shared" si="20"/>
        <v/>
      </c>
      <c r="H181" s="32" t="str">
        <f t="shared" si="21"/>
        <v/>
      </c>
      <c r="I181" s="32" t="str">
        <f t="shared" si="22"/>
        <v>XML/XPath</v>
      </c>
      <c r="J181" s="33" t="str" cm="1">
        <f t="array" aca="1" ref="J18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($E181=CLASSIFICATION[[Keyword Aggr]:[Keyword Aggr]])*($D181=CLASSIFICATION[[Functional Scope Aggr]:[Functional Scope Aggr]])),
_xlpm._platform_keywords, _xlfn.TEXTSPLIT(SUBSTITUTE(SUBSTITUTE(VLOOKUP($D181,_xlpm._platform_range,3,FALSE),"+"&amp;CHAR(34),"+"),CHAR(34),""),", "),
_xlpm._exists, SUMPRODUCT(--ISNUMBER(MATCH(_xlpm._platform_keywords,_xlpm._original_keywords,0)))&gt;0,
_xlfn.IFS(AND(_xlpm._exists,LEFT($E181,1)="+"),"+",_xlpm._exists,"*",NOT(_xlpm._exists),"")
)</f>
        <v>*</v>
      </c>
      <c r="K181" s="33" t="str" cm="1">
        <f t="array" aca="1" ref="K18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($E181=CLASSIFICATION[[Keyword Aggr]:[Keyword Aggr]])*($D181=CLASSIFICATION[[Functional Scope Aggr]:[Functional Scope Aggr]])),
_xlpm._platform_keywords, _xlfn.TEXTSPLIT(SUBSTITUTE(SUBSTITUTE(VLOOKUP($D181,_xlpm._platform_range,3,FALSE),"+"&amp;CHAR(34),"+"),CHAR(34),""),", "),
_xlpm._exists, SUMPRODUCT(--ISNUMBER(MATCH(_xlpm._platform_keywords,_xlpm._original_keywords,0)))&gt;0,
_xlfn.IFS(AND(_xlpm._exists,LEFT($E181,1)="+"),"+",_xlpm._exists,"*",NOT(_xlpm._exists),"")
)</f>
        <v/>
      </c>
      <c r="L181" s="33" t="str" cm="1">
        <f t="array" aca="1" ref="L18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($E181=CLASSIFICATION[[Keyword Aggr]:[Keyword Aggr]])*($D181=CLASSIFICATION[[Functional Scope Aggr]:[Functional Scope Aggr]])),
_xlpm._platform_keywords, _xlfn.TEXTSPLIT(SUBSTITUTE(SUBSTITUTE(VLOOKUP($D181,_xlpm._platform_range,3,FALSE),"+"&amp;CHAR(34),"+"),CHAR(34),""),", "),
_xlpm._exists, SUMPRODUCT(--ISNUMBER(MATCH(_xlpm._platform_keywords,_xlpm._original_keywords,0)))&gt;0,
_xlfn.IFS(AND(_xlpm._exists,LEFT($E181,1)="+"),"+",_xlpm._exists,"*",NOT(_xlpm._exists),"")
)</f>
        <v/>
      </c>
      <c r="M181" s="33" t="str" cm="1">
        <f t="array" aca="1" ref="M18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($E181=CLASSIFICATION[[Keyword Aggr]:[Keyword Aggr]])*($D181=CLASSIFICATION[[Functional Scope Aggr]:[Functional Scope Aggr]])),
_xlpm._platform_keywords, _xlfn.TEXTSPLIT(SUBSTITUTE(SUBSTITUTE(VLOOKUP($D181,_xlpm._platform_range,3,FALSE),"+"&amp;CHAR(34),"+"),CHAR(34),""),", "),
_xlpm._exists, SUMPRODUCT(--ISNUMBER(MATCH(_xlpm._platform_keywords,_xlpm._original_keywords,0)))&gt;0,
_xlfn.IFS(AND(_xlpm._exists,LEFT($E181,1)="+"),"+",_xlpm._exists,"*",NOT(_xlpm._exists),"")
)</f>
        <v/>
      </c>
      <c r="N181" s="33" t="str" cm="1">
        <f t="array" aca="1" ref="N18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($E181=CLASSIFICATION[[Keyword Aggr]:[Keyword Aggr]])*($D181=CLASSIFICATION[[Functional Scope Aggr]:[Functional Scope Aggr]])),
_xlpm._platform_keywords, _xlfn.TEXTSPLIT(SUBSTITUTE(SUBSTITUTE(VLOOKUP($D181,_xlpm._platform_range,3,FALSE),"+"&amp;CHAR(34),"+"),CHAR(34),""),", "),
_xlpm._exists, SUMPRODUCT(--ISNUMBER(MATCH(_xlpm._platform_keywords,_xlpm._original_keywords,0)))&gt;0,
_xlfn.IFS(AND(_xlpm._exists,LEFT($E181,1)="+"),"+",_xlpm._exists,"*",NOT(_xlpm._exists),"")
)</f>
        <v/>
      </c>
      <c r="O181" s="33" t="str" cm="1">
        <f t="array" aca="1" ref="O18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($E181=CLASSIFICATION[[Keyword Aggr]:[Keyword Aggr]])*($D181=CLASSIFICATION[[Functional Scope Aggr]:[Functional Scope Aggr]])),
_xlpm._platform_keywords, _xlfn.TEXTSPLIT(SUBSTITUTE(SUBSTITUTE(VLOOKUP($D181,_xlpm._platform_range,3,FALSE),"+"&amp;CHAR(34),"+"),CHAR(34),""),", "),
_xlpm._exists, SUMPRODUCT(--ISNUMBER(MATCH(_xlpm._platform_keywords,_xlpm._original_keywords,0)))&gt;0,
_xlfn.IFS(AND(_xlpm._exists,LEFT($E181,1)="+"),"+",_xlpm._exists,"*",NOT(_xlpm._exists),"")
)</f>
        <v/>
      </c>
      <c r="Q181" s="33" cm="1">
        <f t="array" aca="1" ref="Q18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($E181=CLASSIFICATION[[Keyword Aggr]:[Keyword Aggr]])*($D181=CLASSIFICATION[[Functional Scope Aggr]:[Functional Scope Aggr]])),
_xlpm._platform_keywords, _xlfn.TEXTSPLIT(SUBSTITUTE(SUBSTITUTE(VLOOKUP($D181,_xlpm._platform_range,3,FALSE),"+"&amp;CHAR(34),"+"),CHAR(34),""),", "),
_xlpm._exists, SUMPRODUCT(--ISNUMBER(MATCH(_xlpm._platform_keywords,_xlpm._original_keywords,0)))&gt;0,
_xlfn.IFS(_xlpm._exists,1,NOT(_xlpm._exists),"")
)</f>
        <v>1</v>
      </c>
      <c r="R181" s="33" t="str" cm="1">
        <f t="array" aca="1" ref="R18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($E181=CLASSIFICATION[[Keyword Aggr]:[Keyword Aggr]])*($D181=CLASSIFICATION[[Functional Scope Aggr]:[Functional Scope Aggr]])),
_xlpm._platform_keywords, _xlfn.TEXTSPLIT(SUBSTITUTE(SUBSTITUTE(VLOOKUP($D181,_xlpm._platform_range,3,FALSE),"+"&amp;CHAR(34),"+"),CHAR(34),""),", "),
_xlpm._exists, SUMPRODUCT(--ISNUMBER(MATCH(_xlpm._platform_keywords,_xlpm._original_keywords,0)))&gt;0,
_xlfn.IFS(_xlpm._exists,1,NOT(_xlpm._exists),"")
)</f>
        <v/>
      </c>
      <c r="S181" s="33" t="str" cm="1">
        <f t="array" aca="1" ref="S18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($E181=CLASSIFICATION[[Keyword Aggr]:[Keyword Aggr]])*($D181=CLASSIFICATION[[Functional Scope Aggr]:[Functional Scope Aggr]])),
_xlpm._platform_keywords, _xlfn.TEXTSPLIT(SUBSTITUTE(SUBSTITUTE(VLOOKUP($D181,_xlpm._platform_range,3,FALSE),"+"&amp;CHAR(34),"+"),CHAR(34),""),", "),
_xlpm._exists, SUMPRODUCT(--ISNUMBER(MATCH(_xlpm._platform_keywords,_xlpm._original_keywords,0)))&gt;0,
_xlfn.IFS(_xlpm._exists,1,NOT(_xlpm._exists),"")
)</f>
        <v/>
      </c>
      <c r="T181" s="33" t="str" cm="1">
        <f t="array" aca="1" ref="T18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($E181=CLASSIFICATION[[Keyword Aggr]:[Keyword Aggr]])*($D181=CLASSIFICATION[[Functional Scope Aggr]:[Functional Scope Aggr]])),
_xlpm._platform_keywords, _xlfn.TEXTSPLIT(SUBSTITUTE(SUBSTITUTE(VLOOKUP($D181,_xlpm._platform_range,3,FALSE),"+"&amp;CHAR(34),"+"),CHAR(34),""),", "),
_xlpm._exists, SUMPRODUCT(--ISNUMBER(MATCH(_xlpm._platform_keywords,_xlpm._original_keywords,0)))&gt;0,
_xlfn.IFS(_xlpm._exists,1,NOT(_xlpm._exists),"")
)</f>
        <v/>
      </c>
      <c r="U181" s="33" t="str" cm="1">
        <f t="array" aca="1" ref="U18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($E181=CLASSIFICATION[[Keyword Aggr]:[Keyword Aggr]])*($D181=CLASSIFICATION[[Functional Scope Aggr]:[Functional Scope Aggr]])),
_xlpm._platform_keywords, _xlfn.TEXTSPLIT(SUBSTITUTE(SUBSTITUTE(VLOOKUP($D181,_xlpm._platform_range,3,FALSE),"+"&amp;CHAR(34),"+"),CHAR(34),""),", "),
_xlpm._exists, SUMPRODUCT(--ISNUMBER(MATCH(_xlpm._platform_keywords,_xlpm._original_keywords,0)))&gt;0,
_xlfn.IFS(_xlpm._exists,1,NOT(_xlpm._exists),"")
)</f>
        <v/>
      </c>
      <c r="V181" s="33" t="str" cm="1">
        <f t="array" aca="1" ref="V18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($E181=CLASSIFICATION[[Keyword Aggr]:[Keyword Aggr]])*($D181=CLASSIFICATION[[Functional Scope Aggr]:[Functional Scope Aggr]])),
_xlpm._platform_keywords, _xlfn.TEXTSPLIT(SUBSTITUTE(SUBSTITUTE(VLOOKUP($D181,_xlpm._platform_range,3,FALSE),"+"&amp;CHAR(34),"+"),CHAR(34),""),", "),
_xlpm._exists, SUMPRODUCT(--ISNUMBER(MATCH(_xlpm._platform_keywords,_xlpm._original_keywords,0)))&gt;0,
_xlfn.IFS(_xlpm._exists,1,NOT(_xlpm._exists),"")
)</f>
        <v/>
      </c>
      <c r="X181" s="33" t="str">
        <f t="shared" si="23"/>
        <v/>
      </c>
      <c r="Y181" s="33" t="str">
        <f t="shared" si="24"/>
        <v/>
      </c>
      <c r="Z181" s="33" t="str">
        <f t="shared" si="25"/>
        <v/>
      </c>
      <c r="AA181" s="33" t="str">
        <f t="shared" si="26"/>
        <v/>
      </c>
      <c r="AB181" s="33" t="str">
        <f t="shared" si="27"/>
        <v/>
      </c>
      <c r="AC181" s="33" t="str">
        <f t="shared" si="28"/>
        <v/>
      </c>
    </row>
    <row r="182" spans="1:29" x14ac:dyDescent="0.25">
      <c r="A182" s="19" t="str">
        <v>Implementation,Database installation,+Embedded Database</v>
      </c>
      <c r="B182" t="s">
        <v>377</v>
      </c>
      <c r="C182" s="19" t="str" cm="1">
        <f t="array" ref="C182:E182">_xlfn.TEXTSPLIT(A182,",")</f>
        <v>Implementation</v>
      </c>
      <c r="D182" s="19" t="str">
        <v>Database installation</v>
      </c>
      <c r="E182" s="19" t="str">
        <v>+Embedded Database</v>
      </c>
      <c r="F182" s="36" t="str" cm="1">
        <f t="array" ref="F182">_xlfn.TEXTJOIN(",",TRUE,_xlfn._xlws.FILTER(CLASSIFICATION[Keyword], ($E182=CLASSIFICATION[Keyword Aggr])*($D182=CLASSIFICATION[Functional Scope Aggr])))</f>
        <v>+Embedded Database (Microsoft Dataverse),+Embedded Database (Postgres),+Embedded Database (Postgres or Oracle),+Embedded Database (Spreadsheets)</v>
      </c>
      <c r="G182" s="32" t="str">
        <f t="shared" si="20"/>
        <v/>
      </c>
      <c r="H182" s="32" t="str">
        <f t="shared" si="21"/>
        <v>Database installation</v>
      </c>
      <c r="I182" s="32" t="str">
        <f t="shared" si="22"/>
        <v>+Embedded Database</v>
      </c>
      <c r="J182" s="33" t="str" cm="1">
        <f t="array" aca="1" ref="J18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($E182=CLASSIFICATION[[Keyword Aggr]:[Keyword Aggr]])*($D182=CLASSIFICATION[[Functional Scope Aggr]:[Functional Scope Aggr]])),
_xlpm._platform_keywords, _xlfn.TEXTSPLIT(SUBSTITUTE(SUBSTITUTE(VLOOKUP($D182,_xlpm._platform_range,3,FALSE),"+"&amp;CHAR(34),"+"),CHAR(34),""),", "),
_xlpm._exists, SUMPRODUCT(--ISNUMBER(MATCH(_xlpm._platform_keywords,_xlpm._original_keywords,0)))&gt;0,
_xlfn.IFS(AND(_xlpm._exists,LEFT($E182,1)="+"),"+",_xlpm._exists,"*",NOT(_xlpm._exists),"")
)</f>
        <v/>
      </c>
      <c r="K182" s="33" t="str" cm="1">
        <f t="array" aca="1" ref="K18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($E182=CLASSIFICATION[[Keyword Aggr]:[Keyword Aggr]])*($D182=CLASSIFICATION[[Functional Scope Aggr]:[Functional Scope Aggr]])),
_xlpm._platform_keywords, _xlfn.TEXTSPLIT(SUBSTITUTE(SUBSTITUTE(VLOOKUP($D182,_xlpm._platform_range,3,FALSE),"+"&amp;CHAR(34),"+"),CHAR(34),""),", "),
_xlpm._exists, SUMPRODUCT(--ISNUMBER(MATCH(_xlpm._platform_keywords,_xlpm._original_keywords,0)))&gt;0,
_xlfn.IFS(AND(_xlpm._exists,LEFT($E182,1)="+"),"+",_xlpm._exists,"*",NOT(_xlpm._exists),"")
)</f>
        <v/>
      </c>
      <c r="L182" s="33" t="str" cm="1">
        <f t="array" aca="1" ref="L18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($E182=CLASSIFICATION[[Keyword Aggr]:[Keyword Aggr]])*($D182=CLASSIFICATION[[Functional Scope Aggr]:[Functional Scope Aggr]])),
_xlpm._platform_keywords, _xlfn.TEXTSPLIT(SUBSTITUTE(SUBSTITUTE(VLOOKUP($D182,_xlpm._platform_range,3,FALSE),"+"&amp;CHAR(34),"+"),CHAR(34),""),", "),
_xlpm._exists, SUMPRODUCT(--ISNUMBER(MATCH(_xlpm._platform_keywords,_xlpm._original_keywords,0)))&gt;0,
_xlfn.IFS(AND(_xlpm._exists,LEFT($E182,1)="+"),"+",_xlpm._exists,"*",NOT(_xlpm._exists),"")
)</f>
        <v>+</v>
      </c>
      <c r="M182" s="33" t="str" cm="1">
        <f t="array" aca="1" ref="M18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($E182=CLASSIFICATION[[Keyword Aggr]:[Keyword Aggr]])*($D182=CLASSIFICATION[[Functional Scope Aggr]:[Functional Scope Aggr]])),
_xlpm._platform_keywords, _xlfn.TEXTSPLIT(SUBSTITUTE(SUBSTITUTE(VLOOKUP($D182,_xlpm._platform_range,3,FALSE),"+"&amp;CHAR(34),"+"),CHAR(34),""),", "),
_xlpm._exists, SUMPRODUCT(--ISNUMBER(MATCH(_xlpm._platform_keywords,_xlpm._original_keywords,0)))&gt;0,
_xlfn.IFS(AND(_xlpm._exists,LEFT($E182,1)="+"),"+",_xlpm._exists,"*",NOT(_xlpm._exists),"")
)</f>
        <v>+</v>
      </c>
      <c r="N182" s="33" t="str" cm="1">
        <f t="array" aca="1" ref="N18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($E182=CLASSIFICATION[[Keyword Aggr]:[Keyword Aggr]])*($D182=CLASSIFICATION[[Functional Scope Aggr]:[Functional Scope Aggr]])),
_xlpm._platform_keywords, _xlfn.TEXTSPLIT(SUBSTITUTE(SUBSTITUTE(VLOOKUP($D182,_xlpm._platform_range,3,FALSE),"+"&amp;CHAR(34),"+"),CHAR(34),""),", "),
_xlpm._exists, SUMPRODUCT(--ISNUMBER(MATCH(_xlpm._platform_keywords,_xlpm._original_keywords,0)))&gt;0,
_xlfn.IFS(AND(_xlpm._exists,LEFT($E182,1)="+"),"+",_xlpm._exists,"*",NOT(_xlpm._exists),"")
)</f>
        <v>+</v>
      </c>
      <c r="O182" s="33" t="str" cm="1">
        <f t="array" aca="1" ref="O18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($E182=CLASSIFICATION[[Keyword Aggr]:[Keyword Aggr]])*($D182=CLASSIFICATION[[Functional Scope Aggr]:[Functional Scope Aggr]])),
_xlpm._platform_keywords, _xlfn.TEXTSPLIT(SUBSTITUTE(SUBSTITUTE(VLOOKUP($D182,_xlpm._platform_range,3,FALSE),"+"&amp;CHAR(34),"+"),CHAR(34),""),", "),
_xlpm._exists, SUMPRODUCT(--ISNUMBER(MATCH(_xlpm._platform_keywords,_xlpm._original_keywords,0)))&gt;0,
_xlfn.IFS(AND(_xlpm._exists,LEFT($E182,1)="+"),"+",_xlpm._exists,"*",NOT(_xlpm._exists),"")
)</f>
        <v>+</v>
      </c>
      <c r="Q182" s="33" t="str" cm="1">
        <f t="array" aca="1" ref="Q18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($E182=CLASSIFICATION[[Keyword Aggr]:[Keyword Aggr]])*($D182=CLASSIFICATION[[Functional Scope Aggr]:[Functional Scope Aggr]])),
_xlpm._platform_keywords, _xlfn.TEXTSPLIT(SUBSTITUTE(SUBSTITUTE(VLOOKUP($D182,_xlpm._platform_range,3,FALSE),"+"&amp;CHAR(34),"+"),CHAR(34),""),", "),
_xlpm._exists, SUMPRODUCT(--ISNUMBER(MATCH(_xlpm._platform_keywords,_xlpm._original_keywords,0)))&gt;0,
_xlfn.IFS(_xlpm._exists,1,NOT(_xlpm._exists),"")
)</f>
        <v/>
      </c>
      <c r="R182" s="33" t="str" cm="1">
        <f t="array" aca="1" ref="R18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($E182=CLASSIFICATION[[Keyword Aggr]:[Keyword Aggr]])*($D182=CLASSIFICATION[[Functional Scope Aggr]:[Functional Scope Aggr]])),
_xlpm._platform_keywords, _xlfn.TEXTSPLIT(SUBSTITUTE(SUBSTITUTE(VLOOKUP($D182,_xlpm._platform_range,3,FALSE),"+"&amp;CHAR(34),"+"),CHAR(34),""),", "),
_xlpm._exists, SUMPRODUCT(--ISNUMBER(MATCH(_xlpm._platform_keywords,_xlpm._original_keywords,0)))&gt;0,
_xlfn.IFS(_xlpm._exists,1,NOT(_xlpm._exists),"")
)</f>
        <v/>
      </c>
      <c r="S182" s="33" cm="1">
        <f t="array" aca="1" ref="S18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($E182=CLASSIFICATION[[Keyword Aggr]:[Keyword Aggr]])*($D182=CLASSIFICATION[[Functional Scope Aggr]:[Functional Scope Aggr]])),
_xlpm._platform_keywords, _xlfn.TEXTSPLIT(SUBSTITUTE(SUBSTITUTE(VLOOKUP($D182,_xlpm._platform_range,3,FALSE),"+"&amp;CHAR(34),"+"),CHAR(34),""),", "),
_xlpm._exists, SUMPRODUCT(--ISNUMBER(MATCH(_xlpm._platform_keywords,_xlpm._original_keywords,0)))&gt;0,
_xlfn.IFS(_xlpm._exists,1,NOT(_xlpm._exists),"")
)</f>
        <v>1</v>
      </c>
      <c r="T182" s="33" cm="1">
        <f t="array" aca="1" ref="T18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($E182=CLASSIFICATION[[Keyword Aggr]:[Keyword Aggr]])*($D182=CLASSIFICATION[[Functional Scope Aggr]:[Functional Scope Aggr]])),
_xlpm._platform_keywords, _xlfn.TEXTSPLIT(SUBSTITUTE(SUBSTITUTE(VLOOKUP($D182,_xlpm._platform_range,3,FALSE),"+"&amp;CHAR(34),"+"),CHAR(34),""),", "),
_xlpm._exists, SUMPRODUCT(--ISNUMBER(MATCH(_xlpm._platform_keywords,_xlpm._original_keywords,0)))&gt;0,
_xlfn.IFS(_xlpm._exists,1,NOT(_xlpm._exists),"")
)</f>
        <v>1</v>
      </c>
      <c r="U182" s="33" cm="1">
        <f t="array" aca="1" ref="U18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($E182=CLASSIFICATION[[Keyword Aggr]:[Keyword Aggr]])*($D182=CLASSIFICATION[[Functional Scope Aggr]:[Functional Scope Aggr]])),
_xlpm._platform_keywords, _xlfn.TEXTSPLIT(SUBSTITUTE(SUBSTITUTE(VLOOKUP($D182,_xlpm._platform_range,3,FALSE),"+"&amp;CHAR(34),"+"),CHAR(34),""),", "),
_xlpm._exists, SUMPRODUCT(--ISNUMBER(MATCH(_xlpm._platform_keywords,_xlpm._original_keywords,0)))&gt;0,
_xlfn.IFS(_xlpm._exists,1,NOT(_xlpm._exists),"")
)</f>
        <v>1</v>
      </c>
      <c r="V182" s="33" cm="1">
        <f t="array" aca="1" ref="V18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($E182=CLASSIFICATION[[Keyword Aggr]:[Keyword Aggr]])*($D182=CLASSIFICATION[[Functional Scope Aggr]:[Functional Scope Aggr]])),
_xlpm._platform_keywords, _xlfn.TEXTSPLIT(SUBSTITUTE(SUBSTITUTE(VLOOKUP($D182,_xlpm._platform_range,3,FALSE),"+"&amp;CHAR(34),"+"),CHAR(34),""),", "),
_xlpm._exists, SUMPRODUCT(--ISNUMBER(MATCH(_xlpm._platform_keywords,_xlpm._original_keywords,0)))&gt;0,
_xlfn.IFS(_xlpm._exists,1,NOT(_xlpm._exists),"")
)</f>
        <v>1</v>
      </c>
      <c r="X182" s="33">
        <f t="shared" ca="1" si="23"/>
        <v>2</v>
      </c>
      <c r="Y182" s="33">
        <f t="shared" ca="1" si="24"/>
        <v>2</v>
      </c>
      <c r="Z182" s="33">
        <f t="shared" ca="1" si="25"/>
        <v>1</v>
      </c>
      <c r="AA182" s="33">
        <f t="shared" ca="1" si="26"/>
        <v>1</v>
      </c>
      <c r="AB182" s="33">
        <f t="shared" ca="1" si="27"/>
        <v>2</v>
      </c>
      <c r="AC182" s="33">
        <f t="shared" ca="1" si="28"/>
        <v>1</v>
      </c>
    </row>
    <row r="183" spans="1:29" x14ac:dyDescent="0.25">
      <c r="A183" s="19" t="str">
        <v>Implementation,Database installation,File Storage</v>
      </c>
      <c r="B183" t="s">
        <v>377</v>
      </c>
      <c r="C183" s="19" t="str" cm="1">
        <f t="array" ref="C183:E183">_xlfn.TEXTSPLIT(A183,",")</f>
        <v>Implementation</v>
      </c>
      <c r="D183" s="19" t="str">
        <v>Database installation</v>
      </c>
      <c r="E183" s="19" t="str">
        <v>File Storage</v>
      </c>
      <c r="F183" s="36" t="str" cm="1">
        <f t="array" ref="F183">_xlfn.TEXTJOIN(",",TRUE,_xlfn._xlws.FILTER(CLASSIFICATION[Keyword], ($E183=CLASSIFICATION[Keyword Aggr])*($D183=CLASSIFICATION[Functional Scope Aggr])))</f>
        <v>File Storage</v>
      </c>
      <c r="G183" s="32" t="str">
        <f t="shared" si="20"/>
        <v/>
      </c>
      <c r="H183" s="32" t="str">
        <f t="shared" si="21"/>
        <v/>
      </c>
      <c r="I183" s="32" t="str">
        <f t="shared" si="22"/>
        <v>File Storage</v>
      </c>
      <c r="J183" s="33" t="str" cm="1">
        <f t="array" aca="1" ref="J18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($E183=CLASSIFICATION[[Keyword Aggr]:[Keyword Aggr]])*($D183=CLASSIFICATION[[Functional Scope Aggr]:[Functional Scope Aggr]])),
_xlpm._platform_keywords, _xlfn.TEXTSPLIT(SUBSTITUTE(SUBSTITUTE(VLOOKUP($D183,_xlpm._platform_range,3,FALSE),"+"&amp;CHAR(34),"+"),CHAR(34),""),", "),
_xlpm._exists, SUMPRODUCT(--ISNUMBER(MATCH(_xlpm._platform_keywords,_xlpm._original_keywords,0)))&gt;0,
_xlfn.IFS(AND(_xlpm._exists,LEFT($E183,1)="+"),"+",_xlpm._exists,"*",NOT(_xlpm._exists),"")
)</f>
        <v>*</v>
      </c>
      <c r="K183" s="33" t="str" cm="1">
        <f t="array" aca="1" ref="K18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($E183=CLASSIFICATION[[Keyword Aggr]:[Keyword Aggr]])*($D183=CLASSIFICATION[[Functional Scope Aggr]:[Functional Scope Aggr]])),
_xlpm._platform_keywords, _xlfn.TEXTSPLIT(SUBSTITUTE(SUBSTITUTE(VLOOKUP($D183,_xlpm._platform_range,3,FALSE),"+"&amp;CHAR(34),"+"),CHAR(34),""),", "),
_xlpm._exists, SUMPRODUCT(--ISNUMBER(MATCH(_xlpm._platform_keywords,_xlpm._original_keywords,0)))&gt;0,
_xlfn.IFS(AND(_xlpm._exists,LEFT($E183,1)="+"),"+",_xlpm._exists,"*",NOT(_xlpm._exists),"")
)</f>
        <v>*</v>
      </c>
      <c r="L183" s="33" t="str" cm="1">
        <f t="array" aca="1" ref="L18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($E183=CLASSIFICATION[[Keyword Aggr]:[Keyword Aggr]])*($D183=CLASSIFICATION[[Functional Scope Aggr]:[Functional Scope Aggr]])),
_xlpm._platform_keywords, _xlfn.TEXTSPLIT(SUBSTITUTE(SUBSTITUTE(VLOOKUP($D183,_xlpm._platform_range,3,FALSE),"+"&amp;CHAR(34),"+"),CHAR(34),""),", "),
_xlpm._exists, SUMPRODUCT(--ISNUMBER(MATCH(_xlpm._platform_keywords,_xlpm._original_keywords,0)))&gt;0,
_xlfn.IFS(AND(_xlpm._exists,LEFT($E183,1)="+"),"+",_xlpm._exists,"*",NOT(_xlpm._exists),"")
)</f>
        <v/>
      </c>
      <c r="M183" s="33" t="str" cm="1">
        <f t="array" aca="1" ref="M18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($E183=CLASSIFICATION[[Keyword Aggr]:[Keyword Aggr]])*($D183=CLASSIFICATION[[Functional Scope Aggr]:[Functional Scope Aggr]])),
_xlpm._platform_keywords, _xlfn.TEXTSPLIT(SUBSTITUTE(SUBSTITUTE(VLOOKUP($D183,_xlpm._platform_range,3,FALSE),"+"&amp;CHAR(34),"+"),CHAR(34),""),", "),
_xlpm._exists, SUMPRODUCT(--ISNUMBER(MATCH(_xlpm._platform_keywords,_xlpm._original_keywords,0)))&gt;0,
_xlfn.IFS(AND(_xlpm._exists,LEFT($E183,1)="+"),"+",_xlpm._exists,"*",NOT(_xlpm._exists),"")
)</f>
        <v/>
      </c>
      <c r="N183" s="33" t="str" cm="1">
        <f t="array" aca="1" ref="N18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($E183=CLASSIFICATION[[Keyword Aggr]:[Keyword Aggr]])*($D183=CLASSIFICATION[[Functional Scope Aggr]:[Functional Scope Aggr]])),
_xlpm._platform_keywords, _xlfn.TEXTSPLIT(SUBSTITUTE(SUBSTITUTE(VLOOKUP($D183,_xlpm._platform_range,3,FALSE),"+"&amp;CHAR(34),"+"),CHAR(34),""),", "),
_xlpm._exists, SUMPRODUCT(--ISNUMBER(MATCH(_xlpm._platform_keywords,_xlpm._original_keywords,0)))&gt;0,
_xlfn.IFS(AND(_xlpm._exists,LEFT($E183,1)="+"),"+",_xlpm._exists,"*",NOT(_xlpm._exists),"")
)</f>
        <v/>
      </c>
      <c r="O183" s="33" t="str" cm="1">
        <f t="array" aca="1" ref="O18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($E183=CLASSIFICATION[[Keyword Aggr]:[Keyword Aggr]])*($D183=CLASSIFICATION[[Functional Scope Aggr]:[Functional Scope Aggr]])),
_xlpm._platform_keywords, _xlfn.TEXTSPLIT(SUBSTITUTE(SUBSTITUTE(VLOOKUP($D183,_xlpm._platform_range,3,FALSE),"+"&amp;CHAR(34),"+"),CHAR(34),""),", "),
_xlpm._exists, SUMPRODUCT(--ISNUMBER(MATCH(_xlpm._platform_keywords,_xlpm._original_keywords,0)))&gt;0,
_xlfn.IFS(AND(_xlpm._exists,LEFT($E183,1)="+"),"+",_xlpm._exists,"*",NOT(_xlpm._exists),"")
)</f>
        <v/>
      </c>
      <c r="Q183" s="33" cm="1">
        <f t="array" aca="1" ref="Q18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($E183=CLASSIFICATION[[Keyword Aggr]:[Keyword Aggr]])*($D183=CLASSIFICATION[[Functional Scope Aggr]:[Functional Scope Aggr]])),
_xlpm._platform_keywords, _xlfn.TEXTSPLIT(SUBSTITUTE(SUBSTITUTE(VLOOKUP($D183,_xlpm._platform_range,3,FALSE),"+"&amp;CHAR(34),"+"),CHAR(34),""),", "),
_xlpm._exists, SUMPRODUCT(--ISNUMBER(MATCH(_xlpm._platform_keywords,_xlpm._original_keywords,0)))&gt;0,
_xlfn.IFS(_xlpm._exists,1,NOT(_xlpm._exists),"")
)</f>
        <v>1</v>
      </c>
      <c r="R183" s="33" cm="1">
        <f t="array" aca="1" ref="R18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($E183=CLASSIFICATION[[Keyword Aggr]:[Keyword Aggr]])*($D183=CLASSIFICATION[[Functional Scope Aggr]:[Functional Scope Aggr]])),
_xlpm._platform_keywords, _xlfn.TEXTSPLIT(SUBSTITUTE(SUBSTITUTE(VLOOKUP($D183,_xlpm._platform_range,3,FALSE),"+"&amp;CHAR(34),"+"),CHAR(34),""),", "),
_xlpm._exists, SUMPRODUCT(--ISNUMBER(MATCH(_xlpm._platform_keywords,_xlpm._original_keywords,0)))&gt;0,
_xlfn.IFS(_xlpm._exists,1,NOT(_xlpm._exists),"")
)</f>
        <v>1</v>
      </c>
      <c r="S183" s="33" t="str" cm="1">
        <f t="array" aca="1" ref="S18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($E183=CLASSIFICATION[[Keyword Aggr]:[Keyword Aggr]])*($D183=CLASSIFICATION[[Functional Scope Aggr]:[Functional Scope Aggr]])),
_xlpm._platform_keywords, _xlfn.TEXTSPLIT(SUBSTITUTE(SUBSTITUTE(VLOOKUP($D183,_xlpm._platform_range,3,FALSE),"+"&amp;CHAR(34),"+"),CHAR(34),""),", "),
_xlpm._exists, SUMPRODUCT(--ISNUMBER(MATCH(_xlpm._platform_keywords,_xlpm._original_keywords,0)))&gt;0,
_xlfn.IFS(_xlpm._exists,1,NOT(_xlpm._exists),"")
)</f>
        <v/>
      </c>
      <c r="T183" s="33" t="str" cm="1">
        <f t="array" aca="1" ref="T18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($E183=CLASSIFICATION[[Keyword Aggr]:[Keyword Aggr]])*($D183=CLASSIFICATION[[Functional Scope Aggr]:[Functional Scope Aggr]])),
_xlpm._platform_keywords, _xlfn.TEXTSPLIT(SUBSTITUTE(SUBSTITUTE(VLOOKUP($D183,_xlpm._platform_range,3,FALSE),"+"&amp;CHAR(34),"+"),CHAR(34),""),", "),
_xlpm._exists, SUMPRODUCT(--ISNUMBER(MATCH(_xlpm._platform_keywords,_xlpm._original_keywords,0)))&gt;0,
_xlfn.IFS(_xlpm._exists,1,NOT(_xlpm._exists),"")
)</f>
        <v/>
      </c>
      <c r="U183" s="33" t="str" cm="1">
        <f t="array" aca="1" ref="U18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($E183=CLASSIFICATION[[Keyword Aggr]:[Keyword Aggr]])*($D183=CLASSIFICATION[[Functional Scope Aggr]:[Functional Scope Aggr]])),
_xlpm._platform_keywords, _xlfn.TEXTSPLIT(SUBSTITUTE(SUBSTITUTE(VLOOKUP($D183,_xlpm._platform_range,3,FALSE),"+"&amp;CHAR(34),"+"),CHAR(34),""),", "),
_xlpm._exists, SUMPRODUCT(--ISNUMBER(MATCH(_xlpm._platform_keywords,_xlpm._original_keywords,0)))&gt;0,
_xlfn.IFS(_xlpm._exists,1,NOT(_xlpm._exists),"")
)</f>
        <v/>
      </c>
      <c r="V183" s="33" t="str" cm="1">
        <f t="array" aca="1" ref="V18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($E183=CLASSIFICATION[[Keyword Aggr]:[Keyword Aggr]])*($D183=CLASSIFICATION[[Functional Scope Aggr]:[Functional Scope Aggr]])),
_xlpm._platform_keywords, _xlfn.TEXTSPLIT(SUBSTITUTE(SUBSTITUTE(VLOOKUP($D183,_xlpm._platform_range,3,FALSE),"+"&amp;CHAR(34),"+"),CHAR(34),""),", "),
_xlpm._exists, SUMPRODUCT(--ISNUMBER(MATCH(_xlpm._platform_keywords,_xlpm._original_keywords,0)))&gt;0,
_xlfn.IFS(_xlpm._exists,1,NOT(_xlpm._exists),"")
)</f>
        <v/>
      </c>
      <c r="X183" s="33" t="str">
        <f t="shared" si="23"/>
        <v/>
      </c>
      <c r="Y183" s="33" t="str">
        <f t="shared" si="24"/>
        <v/>
      </c>
      <c r="Z183" s="33" t="str">
        <f t="shared" si="25"/>
        <v/>
      </c>
      <c r="AA183" s="33" t="str">
        <f t="shared" si="26"/>
        <v/>
      </c>
      <c r="AB183" s="33" t="str">
        <f t="shared" si="27"/>
        <v/>
      </c>
      <c r="AC183" s="33" t="str">
        <f t="shared" si="28"/>
        <v/>
      </c>
    </row>
    <row r="184" spans="1:29" x14ac:dyDescent="0.25">
      <c r="A184" s="19" t="str">
        <v>Implementation,Database installation,Relational Database</v>
      </c>
      <c r="B184" t="s">
        <v>377</v>
      </c>
      <c r="C184" s="19" t="str" cm="1">
        <f t="array" ref="C184:E184">_xlfn.TEXTSPLIT(A184,",")</f>
        <v>Implementation</v>
      </c>
      <c r="D184" s="19" t="str">
        <v>Database installation</v>
      </c>
      <c r="E184" s="19" t="str">
        <v>Relational Database</v>
      </c>
      <c r="F184" s="36" t="str" cm="1">
        <f t="array" ref="F184">_xlfn.TEXTJOIN(",",TRUE,_xlfn._xlws.FILTER(CLASSIFICATION[Keyword], ($E184=CLASSIFICATION[Keyword Aggr])*($D184=CLASSIFICATION[Functional Scope Aggr])))</f>
        <v>Relational Database,Relational Database (MS SQL Server)</v>
      </c>
      <c r="G184" s="32" t="str">
        <f t="shared" si="20"/>
        <v/>
      </c>
      <c r="H184" s="32" t="str">
        <f t="shared" si="21"/>
        <v/>
      </c>
      <c r="I184" s="32" t="str">
        <f t="shared" si="22"/>
        <v>Relational Database</v>
      </c>
      <c r="J184" s="33" t="str" cm="1">
        <f t="array" aca="1" ref="J18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($E184=CLASSIFICATION[[Keyword Aggr]:[Keyword Aggr]])*($D184=CLASSIFICATION[[Functional Scope Aggr]:[Functional Scope Aggr]])),
_xlpm._platform_keywords, _xlfn.TEXTSPLIT(SUBSTITUTE(SUBSTITUTE(VLOOKUP($D184,_xlpm._platform_range,3,FALSE),"+"&amp;CHAR(34),"+"),CHAR(34),""),", "),
_xlpm._exists, SUMPRODUCT(--ISNUMBER(MATCH(_xlpm._platform_keywords,_xlpm._original_keywords,0)))&gt;0,
_xlfn.IFS(AND(_xlpm._exists,LEFT($E184,1)="+"),"+",_xlpm._exists,"*",NOT(_xlpm._exists),"")
)</f>
        <v>*</v>
      </c>
      <c r="K184" s="33" t="str" cm="1">
        <f t="array" aca="1" ref="K18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($E184=CLASSIFICATION[[Keyword Aggr]:[Keyword Aggr]])*($D184=CLASSIFICATION[[Functional Scope Aggr]:[Functional Scope Aggr]])),
_xlpm._platform_keywords, _xlfn.TEXTSPLIT(SUBSTITUTE(SUBSTITUTE(VLOOKUP($D184,_xlpm._platform_range,3,FALSE),"+"&amp;CHAR(34),"+"),CHAR(34),""),", "),
_xlpm._exists, SUMPRODUCT(--ISNUMBER(MATCH(_xlpm._platform_keywords,_xlpm._original_keywords,0)))&gt;0,
_xlfn.IFS(AND(_xlpm._exists,LEFT($E184,1)="+"),"+",_xlpm._exists,"*",NOT(_xlpm._exists),"")
)</f>
        <v>*</v>
      </c>
      <c r="L184" s="33" t="str" cm="1">
        <f t="array" aca="1" ref="L18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($E184=CLASSIFICATION[[Keyword Aggr]:[Keyword Aggr]])*($D184=CLASSIFICATION[[Functional Scope Aggr]:[Functional Scope Aggr]])),
_xlpm._platform_keywords, _xlfn.TEXTSPLIT(SUBSTITUTE(SUBSTITUTE(VLOOKUP($D184,_xlpm._platform_range,3,FALSE),"+"&amp;CHAR(34),"+"),CHAR(34),""),", "),
_xlpm._exists, SUMPRODUCT(--ISNUMBER(MATCH(_xlpm._platform_keywords,_xlpm._original_keywords,0)))&gt;0,
_xlfn.IFS(AND(_xlpm._exists,LEFT($E184,1)="+"),"+",_xlpm._exists,"*",NOT(_xlpm._exists),"")
)</f>
        <v>*</v>
      </c>
      <c r="M184" s="33" t="str" cm="1">
        <f t="array" aca="1" ref="M18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($E184=CLASSIFICATION[[Keyword Aggr]:[Keyword Aggr]])*($D184=CLASSIFICATION[[Functional Scope Aggr]:[Functional Scope Aggr]])),
_xlpm._platform_keywords, _xlfn.TEXTSPLIT(SUBSTITUTE(SUBSTITUTE(VLOOKUP($D184,_xlpm._platform_range,3,FALSE),"+"&amp;CHAR(34),"+"),CHAR(34),""),", "),
_xlpm._exists, SUMPRODUCT(--ISNUMBER(MATCH(_xlpm._platform_keywords,_xlpm._original_keywords,0)))&gt;0,
_xlfn.IFS(AND(_xlpm._exists,LEFT($E184,1)="+"),"+",_xlpm._exists,"*",NOT(_xlpm._exists),"")
)</f>
        <v>*</v>
      </c>
      <c r="N184" s="33" t="str" cm="1">
        <f t="array" aca="1" ref="N18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($E184=CLASSIFICATION[[Keyword Aggr]:[Keyword Aggr]])*($D184=CLASSIFICATION[[Functional Scope Aggr]:[Functional Scope Aggr]])),
_xlpm._platform_keywords, _xlfn.TEXTSPLIT(SUBSTITUTE(SUBSTITUTE(VLOOKUP($D184,_xlpm._platform_range,3,FALSE),"+"&amp;CHAR(34),"+"),CHAR(34),""),", "),
_xlpm._exists, SUMPRODUCT(--ISNUMBER(MATCH(_xlpm._platform_keywords,_xlpm._original_keywords,0)))&gt;0,
_xlfn.IFS(AND(_xlpm._exists,LEFT($E184,1)="+"),"+",_xlpm._exists,"*",NOT(_xlpm._exists),"")
)</f>
        <v>*</v>
      </c>
      <c r="O184" s="33" t="str" cm="1">
        <f t="array" aca="1" ref="O18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($E184=CLASSIFICATION[[Keyword Aggr]:[Keyword Aggr]])*($D184=CLASSIFICATION[[Functional Scope Aggr]:[Functional Scope Aggr]])),
_xlpm._platform_keywords, _xlfn.TEXTSPLIT(SUBSTITUTE(SUBSTITUTE(VLOOKUP($D184,_xlpm._platform_range,3,FALSE),"+"&amp;CHAR(34),"+"),CHAR(34),""),", "),
_xlpm._exists, SUMPRODUCT(--ISNUMBER(MATCH(_xlpm._platform_keywords,_xlpm._original_keywords,0)))&gt;0,
_xlfn.IFS(AND(_xlpm._exists,LEFT($E184,1)="+"),"+",_xlpm._exists,"*",NOT(_xlpm._exists),"")
)</f>
        <v>*</v>
      </c>
      <c r="Q184" s="33" cm="1">
        <f t="array" aca="1" ref="Q18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($E184=CLASSIFICATION[[Keyword Aggr]:[Keyword Aggr]])*($D184=CLASSIFICATION[[Functional Scope Aggr]:[Functional Scope Aggr]])),
_xlpm._platform_keywords, _xlfn.TEXTSPLIT(SUBSTITUTE(SUBSTITUTE(VLOOKUP($D184,_xlpm._platform_range,3,FALSE),"+"&amp;CHAR(34),"+"),CHAR(34),""),", "),
_xlpm._exists, SUMPRODUCT(--ISNUMBER(MATCH(_xlpm._platform_keywords,_xlpm._original_keywords,0)))&gt;0,
_xlfn.IFS(_xlpm._exists,1,NOT(_xlpm._exists),"")
)</f>
        <v>1</v>
      </c>
      <c r="R184" s="33" cm="1">
        <f t="array" aca="1" ref="R18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($E184=CLASSIFICATION[[Keyword Aggr]:[Keyword Aggr]])*($D184=CLASSIFICATION[[Functional Scope Aggr]:[Functional Scope Aggr]])),
_xlpm._platform_keywords, _xlfn.TEXTSPLIT(SUBSTITUTE(SUBSTITUTE(VLOOKUP($D184,_xlpm._platform_range,3,FALSE),"+"&amp;CHAR(34),"+"),CHAR(34),""),", "),
_xlpm._exists, SUMPRODUCT(--ISNUMBER(MATCH(_xlpm._platform_keywords,_xlpm._original_keywords,0)))&gt;0,
_xlfn.IFS(_xlpm._exists,1,NOT(_xlpm._exists),"")
)</f>
        <v>1</v>
      </c>
      <c r="S184" s="33" cm="1">
        <f t="array" aca="1" ref="S18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($E184=CLASSIFICATION[[Keyword Aggr]:[Keyword Aggr]])*($D184=CLASSIFICATION[[Functional Scope Aggr]:[Functional Scope Aggr]])),
_xlpm._platform_keywords, _xlfn.TEXTSPLIT(SUBSTITUTE(SUBSTITUTE(VLOOKUP($D184,_xlpm._platform_range,3,FALSE),"+"&amp;CHAR(34),"+"),CHAR(34),""),", "),
_xlpm._exists, SUMPRODUCT(--ISNUMBER(MATCH(_xlpm._platform_keywords,_xlpm._original_keywords,0)))&gt;0,
_xlfn.IFS(_xlpm._exists,1,NOT(_xlpm._exists),"")
)</f>
        <v>1</v>
      </c>
      <c r="T184" s="33" cm="1">
        <f t="array" aca="1" ref="T18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($E184=CLASSIFICATION[[Keyword Aggr]:[Keyword Aggr]])*($D184=CLASSIFICATION[[Functional Scope Aggr]:[Functional Scope Aggr]])),
_xlpm._platform_keywords, _xlfn.TEXTSPLIT(SUBSTITUTE(SUBSTITUTE(VLOOKUP($D184,_xlpm._platform_range,3,FALSE),"+"&amp;CHAR(34),"+"),CHAR(34),""),", "),
_xlpm._exists, SUMPRODUCT(--ISNUMBER(MATCH(_xlpm._platform_keywords,_xlpm._original_keywords,0)))&gt;0,
_xlfn.IFS(_xlpm._exists,1,NOT(_xlpm._exists),"")
)</f>
        <v>1</v>
      </c>
      <c r="U184" s="33" cm="1">
        <f t="array" aca="1" ref="U18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($E184=CLASSIFICATION[[Keyword Aggr]:[Keyword Aggr]])*($D184=CLASSIFICATION[[Functional Scope Aggr]:[Functional Scope Aggr]])),
_xlpm._platform_keywords, _xlfn.TEXTSPLIT(SUBSTITUTE(SUBSTITUTE(VLOOKUP($D184,_xlpm._platform_range,3,FALSE),"+"&amp;CHAR(34),"+"),CHAR(34),""),", "),
_xlpm._exists, SUMPRODUCT(--ISNUMBER(MATCH(_xlpm._platform_keywords,_xlpm._original_keywords,0)))&gt;0,
_xlfn.IFS(_xlpm._exists,1,NOT(_xlpm._exists),"")
)</f>
        <v>1</v>
      </c>
      <c r="V184" s="33" cm="1">
        <f t="array" aca="1" ref="V18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($E184=CLASSIFICATION[[Keyword Aggr]:[Keyword Aggr]])*($D184=CLASSIFICATION[[Functional Scope Aggr]:[Functional Scope Aggr]])),
_xlpm._platform_keywords, _xlfn.TEXTSPLIT(SUBSTITUTE(SUBSTITUTE(VLOOKUP($D184,_xlpm._platform_range,3,FALSE),"+"&amp;CHAR(34),"+"),CHAR(34),""),", "),
_xlpm._exists, SUMPRODUCT(--ISNUMBER(MATCH(_xlpm._platform_keywords,_xlpm._original_keywords,0)))&gt;0,
_xlfn.IFS(_xlpm._exists,1,NOT(_xlpm._exists),"")
)</f>
        <v>1</v>
      </c>
      <c r="X184" s="33" t="str">
        <f t="shared" si="23"/>
        <v/>
      </c>
      <c r="Y184" s="33" t="str">
        <f t="shared" si="24"/>
        <v/>
      </c>
      <c r="Z184" s="33" t="str">
        <f t="shared" si="25"/>
        <v/>
      </c>
      <c r="AA184" s="33" t="str">
        <f t="shared" si="26"/>
        <v/>
      </c>
      <c r="AB184" s="33" t="str">
        <f t="shared" si="27"/>
        <v/>
      </c>
      <c r="AC184" s="33" t="str">
        <f t="shared" si="28"/>
        <v/>
      </c>
    </row>
    <row r="185" spans="1:29" x14ac:dyDescent="0.25">
      <c r="A185" s="19" t="str">
        <v>Implementation,Database installation,REST API</v>
      </c>
      <c r="B185" t="s">
        <v>377</v>
      </c>
      <c r="C185" s="19" t="str" cm="1">
        <f t="array" ref="C185:E185">_xlfn.TEXTSPLIT(A185,",")</f>
        <v>Implementation</v>
      </c>
      <c r="D185" s="19" t="str">
        <v>Database installation</v>
      </c>
      <c r="E185" s="19" t="str">
        <v>REST API</v>
      </c>
      <c r="F185" s="36" t="str" cm="1">
        <f t="array" ref="F185">_xlfn.TEXTJOIN(",",TRUE,_xlfn._xlws.FILTER(CLASSIFICATION[Keyword], ($E185=CLASSIFICATION[Keyword Aggr])*($D185=CLASSIFICATION[Functional Scope Aggr])))</f>
        <v>REST API</v>
      </c>
      <c r="G185" s="32" t="str">
        <f t="shared" si="20"/>
        <v/>
      </c>
      <c r="H185" s="32" t="str">
        <f t="shared" si="21"/>
        <v/>
      </c>
      <c r="I185" s="32" t="str">
        <f t="shared" si="22"/>
        <v>REST API</v>
      </c>
      <c r="J185" s="33" t="str" cm="1">
        <f t="array" aca="1" ref="J18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($E185=CLASSIFICATION[[Keyword Aggr]:[Keyword Aggr]])*($D185=CLASSIFICATION[[Functional Scope Aggr]:[Functional Scope Aggr]])),
_xlpm._platform_keywords, _xlfn.TEXTSPLIT(SUBSTITUTE(SUBSTITUTE(VLOOKUP($D185,_xlpm._platform_range,3,FALSE),"+"&amp;CHAR(34),"+"),CHAR(34),""),", "),
_xlpm._exists, SUMPRODUCT(--ISNUMBER(MATCH(_xlpm._platform_keywords,_xlpm._original_keywords,0)))&gt;0,
_xlfn.IFS(AND(_xlpm._exists,LEFT($E185,1)="+"),"+",_xlpm._exists,"*",NOT(_xlpm._exists),"")
)</f>
        <v/>
      </c>
      <c r="K185" s="33" t="str" cm="1">
        <f t="array" aca="1" ref="K18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($E185=CLASSIFICATION[[Keyword Aggr]:[Keyword Aggr]])*($D185=CLASSIFICATION[[Functional Scope Aggr]:[Functional Scope Aggr]])),
_xlpm._platform_keywords, _xlfn.TEXTSPLIT(SUBSTITUTE(SUBSTITUTE(VLOOKUP($D185,_xlpm._platform_range,3,FALSE),"+"&amp;CHAR(34),"+"),CHAR(34),""),", "),
_xlpm._exists, SUMPRODUCT(--ISNUMBER(MATCH(_xlpm._platform_keywords,_xlpm._original_keywords,0)))&gt;0,
_xlfn.IFS(AND(_xlpm._exists,LEFT($E185,1)="+"),"+",_xlpm._exists,"*",NOT(_xlpm._exists),"")
)</f>
        <v/>
      </c>
      <c r="L185" s="33" t="str" cm="1">
        <f t="array" aca="1" ref="L18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($E185=CLASSIFICATION[[Keyword Aggr]:[Keyword Aggr]])*($D185=CLASSIFICATION[[Functional Scope Aggr]:[Functional Scope Aggr]])),
_xlpm._platform_keywords, _xlfn.TEXTSPLIT(SUBSTITUTE(SUBSTITUTE(VLOOKUP($D185,_xlpm._platform_range,3,FALSE),"+"&amp;CHAR(34),"+"),CHAR(34),""),", "),
_xlpm._exists, SUMPRODUCT(--ISNUMBER(MATCH(_xlpm._platform_keywords,_xlpm._original_keywords,0)))&gt;0,
_xlfn.IFS(AND(_xlpm._exists,LEFT($E185,1)="+"),"+",_xlpm._exists,"*",NOT(_xlpm._exists),"")
)</f>
        <v/>
      </c>
      <c r="M185" s="33" t="str" cm="1">
        <f t="array" aca="1" ref="M18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($E185=CLASSIFICATION[[Keyword Aggr]:[Keyword Aggr]])*($D185=CLASSIFICATION[[Functional Scope Aggr]:[Functional Scope Aggr]])),
_xlpm._platform_keywords, _xlfn.TEXTSPLIT(SUBSTITUTE(SUBSTITUTE(VLOOKUP($D185,_xlpm._platform_range,3,FALSE),"+"&amp;CHAR(34),"+"),CHAR(34),""),", "),
_xlpm._exists, SUMPRODUCT(--ISNUMBER(MATCH(_xlpm._platform_keywords,_xlpm._original_keywords,0)))&gt;0,
_xlfn.IFS(AND(_xlpm._exists,LEFT($E185,1)="+"),"+",_xlpm._exists,"*",NOT(_xlpm._exists),"")
)</f>
        <v/>
      </c>
      <c r="N185" s="33" t="str" cm="1">
        <f t="array" aca="1" ref="N18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($E185=CLASSIFICATION[[Keyword Aggr]:[Keyword Aggr]])*($D185=CLASSIFICATION[[Functional Scope Aggr]:[Functional Scope Aggr]])),
_xlpm._platform_keywords, _xlfn.TEXTSPLIT(SUBSTITUTE(SUBSTITUTE(VLOOKUP($D185,_xlpm._platform_range,3,FALSE),"+"&amp;CHAR(34),"+"),CHAR(34),""),", "),
_xlpm._exists, SUMPRODUCT(--ISNUMBER(MATCH(_xlpm._platform_keywords,_xlpm._original_keywords,0)))&gt;0,
_xlfn.IFS(AND(_xlpm._exists,LEFT($E185,1)="+"),"+",_xlpm._exists,"*",NOT(_xlpm._exists),"")
)</f>
        <v>*</v>
      </c>
      <c r="O185" s="33" t="str" cm="1">
        <f t="array" aca="1" ref="O18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($E185=CLASSIFICATION[[Keyword Aggr]:[Keyword Aggr]])*($D185=CLASSIFICATION[[Functional Scope Aggr]:[Functional Scope Aggr]])),
_xlpm._platform_keywords, _xlfn.TEXTSPLIT(SUBSTITUTE(SUBSTITUTE(VLOOKUP($D185,_xlpm._platform_range,3,FALSE),"+"&amp;CHAR(34),"+"),CHAR(34),""),", "),
_xlpm._exists, SUMPRODUCT(--ISNUMBER(MATCH(_xlpm._platform_keywords,_xlpm._original_keywords,0)))&gt;0,
_xlfn.IFS(AND(_xlpm._exists,LEFT($E185,1)="+"),"+",_xlpm._exists,"*",NOT(_xlpm._exists),"")
)</f>
        <v/>
      </c>
      <c r="Q185" s="33" t="str" cm="1">
        <f t="array" aca="1" ref="Q18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($E185=CLASSIFICATION[[Keyword Aggr]:[Keyword Aggr]])*($D185=CLASSIFICATION[[Functional Scope Aggr]:[Functional Scope Aggr]])),
_xlpm._platform_keywords, _xlfn.TEXTSPLIT(SUBSTITUTE(SUBSTITUTE(VLOOKUP($D185,_xlpm._platform_range,3,FALSE),"+"&amp;CHAR(34),"+"),CHAR(34),""),", "),
_xlpm._exists, SUMPRODUCT(--ISNUMBER(MATCH(_xlpm._platform_keywords,_xlpm._original_keywords,0)))&gt;0,
_xlfn.IFS(_xlpm._exists,1,NOT(_xlpm._exists),"")
)</f>
        <v/>
      </c>
      <c r="R185" s="33" t="str" cm="1">
        <f t="array" aca="1" ref="R18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($E185=CLASSIFICATION[[Keyword Aggr]:[Keyword Aggr]])*($D185=CLASSIFICATION[[Functional Scope Aggr]:[Functional Scope Aggr]])),
_xlpm._platform_keywords, _xlfn.TEXTSPLIT(SUBSTITUTE(SUBSTITUTE(VLOOKUP($D185,_xlpm._platform_range,3,FALSE),"+"&amp;CHAR(34),"+"),CHAR(34),""),", "),
_xlpm._exists, SUMPRODUCT(--ISNUMBER(MATCH(_xlpm._platform_keywords,_xlpm._original_keywords,0)))&gt;0,
_xlfn.IFS(_xlpm._exists,1,NOT(_xlpm._exists),"")
)</f>
        <v/>
      </c>
      <c r="S185" s="33" t="str" cm="1">
        <f t="array" aca="1" ref="S18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($E185=CLASSIFICATION[[Keyword Aggr]:[Keyword Aggr]])*($D185=CLASSIFICATION[[Functional Scope Aggr]:[Functional Scope Aggr]])),
_xlpm._platform_keywords, _xlfn.TEXTSPLIT(SUBSTITUTE(SUBSTITUTE(VLOOKUP($D185,_xlpm._platform_range,3,FALSE),"+"&amp;CHAR(34),"+"),CHAR(34),""),", "),
_xlpm._exists, SUMPRODUCT(--ISNUMBER(MATCH(_xlpm._platform_keywords,_xlpm._original_keywords,0)))&gt;0,
_xlfn.IFS(_xlpm._exists,1,NOT(_xlpm._exists),"")
)</f>
        <v/>
      </c>
      <c r="T185" s="33" t="str" cm="1">
        <f t="array" aca="1" ref="T18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($E185=CLASSIFICATION[[Keyword Aggr]:[Keyword Aggr]])*($D185=CLASSIFICATION[[Functional Scope Aggr]:[Functional Scope Aggr]])),
_xlpm._platform_keywords, _xlfn.TEXTSPLIT(SUBSTITUTE(SUBSTITUTE(VLOOKUP($D185,_xlpm._platform_range,3,FALSE),"+"&amp;CHAR(34),"+"),CHAR(34),""),", "),
_xlpm._exists, SUMPRODUCT(--ISNUMBER(MATCH(_xlpm._platform_keywords,_xlpm._original_keywords,0)))&gt;0,
_xlfn.IFS(_xlpm._exists,1,NOT(_xlpm._exists),"")
)</f>
        <v/>
      </c>
      <c r="U185" s="33" cm="1">
        <f t="array" aca="1" ref="U18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($E185=CLASSIFICATION[[Keyword Aggr]:[Keyword Aggr]])*($D185=CLASSIFICATION[[Functional Scope Aggr]:[Functional Scope Aggr]])),
_xlpm._platform_keywords, _xlfn.TEXTSPLIT(SUBSTITUTE(SUBSTITUTE(VLOOKUP($D185,_xlpm._platform_range,3,FALSE),"+"&amp;CHAR(34),"+"),CHAR(34),""),", "),
_xlpm._exists, SUMPRODUCT(--ISNUMBER(MATCH(_xlpm._platform_keywords,_xlpm._original_keywords,0)))&gt;0,
_xlfn.IFS(_xlpm._exists,1,NOT(_xlpm._exists),"")
)</f>
        <v>1</v>
      </c>
      <c r="V185" s="33" t="str" cm="1">
        <f t="array" aca="1" ref="V18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($E185=CLASSIFICATION[[Keyword Aggr]:[Keyword Aggr]])*($D185=CLASSIFICATION[[Functional Scope Aggr]:[Functional Scope Aggr]])),
_xlpm._platform_keywords, _xlfn.TEXTSPLIT(SUBSTITUTE(SUBSTITUTE(VLOOKUP($D185,_xlpm._platform_range,3,FALSE),"+"&amp;CHAR(34),"+"),CHAR(34),""),", "),
_xlpm._exists, SUMPRODUCT(--ISNUMBER(MATCH(_xlpm._platform_keywords,_xlpm._original_keywords,0)))&gt;0,
_xlfn.IFS(_xlpm._exists,1,NOT(_xlpm._exists),"")
)</f>
        <v/>
      </c>
      <c r="X185" s="33" t="str">
        <f t="shared" si="23"/>
        <v/>
      </c>
      <c r="Y185" s="33" t="str">
        <f t="shared" si="24"/>
        <v/>
      </c>
      <c r="Z185" s="33" t="str">
        <f t="shared" si="25"/>
        <v/>
      </c>
      <c r="AA185" s="33" t="str">
        <f t="shared" si="26"/>
        <v/>
      </c>
      <c r="AB185" s="33" t="str">
        <f t="shared" si="27"/>
        <v/>
      </c>
      <c r="AC185" s="33" t="str">
        <f t="shared" si="28"/>
        <v/>
      </c>
    </row>
    <row r="186" spans="1:29" x14ac:dyDescent="0.25">
      <c r="A186" s="19" t="str">
        <v>Implementation,Client module installation,.NET Framework</v>
      </c>
      <c r="B186" t="s">
        <v>377</v>
      </c>
      <c r="C186" s="19" t="str" cm="1">
        <f t="array" ref="C186:E186">_xlfn.TEXTSPLIT(A186,",")</f>
        <v>Implementation</v>
      </c>
      <c r="D186" s="19" t="str">
        <v>Client module installation</v>
      </c>
      <c r="E186" s="19" t="str">
        <v>.NET Framework</v>
      </c>
      <c r="F186" s="36" t="str" cm="1">
        <f t="array" ref="F186">_xlfn.TEXTJOIN(",",TRUE,_xlfn._xlws.FILTER(CLASSIFICATION[Keyword], ($E186=CLASSIFICATION[Keyword Aggr])*($D186=CLASSIFICATION[Functional Scope Aggr])))</f>
        <v>.NET Framework</v>
      </c>
      <c r="G186" s="32" t="str">
        <f t="shared" si="20"/>
        <v/>
      </c>
      <c r="H186" s="32" t="str">
        <f t="shared" si="21"/>
        <v>Client module installation</v>
      </c>
      <c r="I186" s="32" t="str">
        <f t="shared" si="22"/>
        <v>.NET Framework</v>
      </c>
      <c r="J186" s="33" t="str" cm="1">
        <f t="array" aca="1" ref="J18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($E186=CLASSIFICATION[[Keyword Aggr]:[Keyword Aggr]])*($D186=CLASSIFICATION[[Functional Scope Aggr]:[Functional Scope Aggr]])),
_xlpm._platform_keywords, _xlfn.TEXTSPLIT(SUBSTITUTE(SUBSTITUTE(VLOOKUP($D186,_xlpm._platform_range,3,FALSE),"+"&amp;CHAR(34),"+"),CHAR(34),""),", "),
_xlpm._exists, SUMPRODUCT(--ISNUMBER(MATCH(_xlpm._platform_keywords,_xlpm._original_keywords,0)))&gt;0,
_xlfn.IFS(AND(_xlpm._exists,LEFT($E186,1)="+"),"+",_xlpm._exists,"*",NOT(_xlpm._exists),"")
)</f>
        <v/>
      </c>
      <c r="K186" s="33" t="str" cm="1">
        <f t="array" aca="1" ref="K18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($E186=CLASSIFICATION[[Keyword Aggr]:[Keyword Aggr]])*($D186=CLASSIFICATION[[Functional Scope Aggr]:[Functional Scope Aggr]])),
_xlpm._platform_keywords, _xlfn.TEXTSPLIT(SUBSTITUTE(SUBSTITUTE(VLOOKUP($D186,_xlpm._platform_range,3,FALSE),"+"&amp;CHAR(34),"+"),CHAR(34),""),", "),
_xlpm._exists, SUMPRODUCT(--ISNUMBER(MATCH(_xlpm._platform_keywords,_xlpm._original_keywords,0)))&gt;0,
_xlfn.IFS(AND(_xlpm._exists,LEFT($E186,1)="+"),"+",_xlpm._exists,"*",NOT(_xlpm._exists),"")
)</f>
        <v>*</v>
      </c>
      <c r="L186" s="33" t="str" cm="1">
        <f t="array" aca="1" ref="L18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($E186=CLASSIFICATION[[Keyword Aggr]:[Keyword Aggr]])*($D186=CLASSIFICATION[[Functional Scope Aggr]:[Functional Scope Aggr]])),
_xlpm._platform_keywords, _xlfn.TEXTSPLIT(SUBSTITUTE(SUBSTITUTE(VLOOKUP($D186,_xlpm._platform_range,3,FALSE),"+"&amp;CHAR(34),"+"),CHAR(34),""),", "),
_xlpm._exists, SUMPRODUCT(--ISNUMBER(MATCH(_xlpm._platform_keywords,_xlpm._original_keywords,0)))&gt;0,
_xlfn.IFS(AND(_xlpm._exists,LEFT($E186,1)="+"),"+",_xlpm._exists,"*",NOT(_xlpm._exists),"")
)</f>
        <v/>
      </c>
      <c r="M186" s="33" t="str" cm="1">
        <f t="array" aca="1" ref="M18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($E186=CLASSIFICATION[[Keyword Aggr]:[Keyword Aggr]])*($D186=CLASSIFICATION[[Functional Scope Aggr]:[Functional Scope Aggr]])),
_xlpm._platform_keywords, _xlfn.TEXTSPLIT(SUBSTITUTE(SUBSTITUTE(VLOOKUP($D186,_xlpm._platform_range,3,FALSE),"+"&amp;CHAR(34),"+"),CHAR(34),""),", "),
_xlpm._exists, SUMPRODUCT(--ISNUMBER(MATCH(_xlpm._platform_keywords,_xlpm._original_keywords,0)))&gt;0,
_xlfn.IFS(AND(_xlpm._exists,LEFT($E186,1)="+"),"+",_xlpm._exists,"*",NOT(_xlpm._exists),"")
)</f>
        <v/>
      </c>
      <c r="N186" s="33" t="str" cm="1">
        <f t="array" aca="1" ref="N18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($E186=CLASSIFICATION[[Keyword Aggr]:[Keyword Aggr]])*($D186=CLASSIFICATION[[Functional Scope Aggr]:[Functional Scope Aggr]])),
_xlpm._platform_keywords, _xlfn.TEXTSPLIT(SUBSTITUTE(SUBSTITUTE(VLOOKUP($D186,_xlpm._platform_range,3,FALSE),"+"&amp;CHAR(34),"+"),CHAR(34),""),", "),
_xlpm._exists, SUMPRODUCT(--ISNUMBER(MATCH(_xlpm._platform_keywords,_xlpm._original_keywords,0)))&gt;0,
_xlfn.IFS(AND(_xlpm._exists,LEFT($E186,1)="+"),"+",_xlpm._exists,"*",NOT(_xlpm._exists),"")
)</f>
        <v/>
      </c>
      <c r="O186" s="33" t="str" cm="1">
        <f t="array" aca="1" ref="O18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($E186=CLASSIFICATION[[Keyword Aggr]:[Keyword Aggr]])*($D186=CLASSIFICATION[[Functional Scope Aggr]:[Functional Scope Aggr]])),
_xlpm._platform_keywords, _xlfn.TEXTSPLIT(SUBSTITUTE(SUBSTITUTE(VLOOKUP($D186,_xlpm._platform_range,3,FALSE),"+"&amp;CHAR(34),"+"),CHAR(34),""),", "),
_xlpm._exists, SUMPRODUCT(--ISNUMBER(MATCH(_xlpm._platform_keywords,_xlpm._original_keywords,0)))&gt;0,
_xlfn.IFS(AND(_xlpm._exists,LEFT($E186,1)="+"),"+",_xlpm._exists,"*",NOT(_xlpm._exists),"")
)</f>
        <v/>
      </c>
      <c r="Q186" s="33" t="str" cm="1">
        <f t="array" aca="1" ref="Q18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($E186=CLASSIFICATION[[Keyword Aggr]:[Keyword Aggr]])*($D186=CLASSIFICATION[[Functional Scope Aggr]:[Functional Scope Aggr]])),
_xlpm._platform_keywords, _xlfn.TEXTSPLIT(SUBSTITUTE(SUBSTITUTE(VLOOKUP($D186,_xlpm._platform_range,3,FALSE),"+"&amp;CHAR(34),"+"),CHAR(34),""),", "),
_xlpm._exists, SUMPRODUCT(--ISNUMBER(MATCH(_xlpm._platform_keywords,_xlpm._original_keywords,0)))&gt;0,
_xlfn.IFS(_xlpm._exists,1,NOT(_xlpm._exists),"")
)</f>
        <v/>
      </c>
      <c r="R186" s="33" cm="1">
        <f t="array" aca="1" ref="R18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($E186=CLASSIFICATION[[Keyword Aggr]:[Keyword Aggr]])*($D186=CLASSIFICATION[[Functional Scope Aggr]:[Functional Scope Aggr]])),
_xlpm._platform_keywords, _xlfn.TEXTSPLIT(SUBSTITUTE(SUBSTITUTE(VLOOKUP($D186,_xlpm._platform_range,3,FALSE),"+"&amp;CHAR(34),"+"),CHAR(34),""),", "),
_xlpm._exists, SUMPRODUCT(--ISNUMBER(MATCH(_xlpm._platform_keywords,_xlpm._original_keywords,0)))&gt;0,
_xlfn.IFS(_xlpm._exists,1,NOT(_xlpm._exists),"")
)</f>
        <v>1</v>
      </c>
      <c r="S186" s="33" t="str" cm="1">
        <f t="array" aca="1" ref="S18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($E186=CLASSIFICATION[[Keyword Aggr]:[Keyword Aggr]])*($D186=CLASSIFICATION[[Functional Scope Aggr]:[Functional Scope Aggr]])),
_xlpm._platform_keywords, _xlfn.TEXTSPLIT(SUBSTITUTE(SUBSTITUTE(VLOOKUP($D186,_xlpm._platform_range,3,FALSE),"+"&amp;CHAR(34),"+"),CHAR(34),""),", "),
_xlpm._exists, SUMPRODUCT(--ISNUMBER(MATCH(_xlpm._platform_keywords,_xlpm._original_keywords,0)))&gt;0,
_xlfn.IFS(_xlpm._exists,1,NOT(_xlpm._exists),"")
)</f>
        <v/>
      </c>
      <c r="T186" s="33" t="str" cm="1">
        <f t="array" aca="1" ref="T18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($E186=CLASSIFICATION[[Keyword Aggr]:[Keyword Aggr]])*($D186=CLASSIFICATION[[Functional Scope Aggr]:[Functional Scope Aggr]])),
_xlpm._platform_keywords, _xlfn.TEXTSPLIT(SUBSTITUTE(SUBSTITUTE(VLOOKUP($D186,_xlpm._platform_range,3,FALSE),"+"&amp;CHAR(34),"+"),CHAR(34),""),", "),
_xlpm._exists, SUMPRODUCT(--ISNUMBER(MATCH(_xlpm._platform_keywords,_xlpm._original_keywords,0)))&gt;0,
_xlfn.IFS(_xlpm._exists,1,NOT(_xlpm._exists),"")
)</f>
        <v/>
      </c>
      <c r="U186" s="33" t="str" cm="1">
        <f t="array" aca="1" ref="U18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($E186=CLASSIFICATION[[Keyword Aggr]:[Keyword Aggr]])*($D186=CLASSIFICATION[[Functional Scope Aggr]:[Functional Scope Aggr]])),
_xlpm._platform_keywords, _xlfn.TEXTSPLIT(SUBSTITUTE(SUBSTITUTE(VLOOKUP($D186,_xlpm._platform_range,3,FALSE),"+"&amp;CHAR(34),"+"),CHAR(34),""),", "),
_xlpm._exists, SUMPRODUCT(--ISNUMBER(MATCH(_xlpm._platform_keywords,_xlpm._original_keywords,0)))&gt;0,
_xlfn.IFS(_xlpm._exists,1,NOT(_xlpm._exists),"")
)</f>
        <v/>
      </c>
      <c r="V186" s="33" t="str" cm="1">
        <f t="array" aca="1" ref="V18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($E186=CLASSIFICATION[[Keyword Aggr]:[Keyword Aggr]])*($D186=CLASSIFICATION[[Functional Scope Aggr]:[Functional Scope Aggr]])),
_xlpm._platform_keywords, _xlfn.TEXTSPLIT(SUBSTITUTE(SUBSTITUTE(VLOOKUP($D186,_xlpm._platform_range,3,FALSE),"+"&amp;CHAR(34),"+"),CHAR(34),""),", "),
_xlpm._exists, SUMPRODUCT(--ISNUMBER(MATCH(_xlpm._platform_keywords,_xlpm._original_keywords,0)))&gt;0,
_xlfn.IFS(_xlpm._exists,1,NOT(_xlpm._exists),"")
)</f>
        <v/>
      </c>
      <c r="X186" s="33">
        <f t="shared" ca="1" si="23"/>
        <v>2</v>
      </c>
      <c r="Y186" s="33">
        <f t="shared" ca="1" si="24"/>
        <v>2</v>
      </c>
      <c r="Z186" s="33">
        <f t="shared" ca="1" si="25"/>
        <v>2</v>
      </c>
      <c r="AA186" s="33">
        <f t="shared" ca="1" si="26"/>
        <v>1</v>
      </c>
      <c r="AB186" s="33">
        <f t="shared" ca="1" si="27"/>
        <v>0</v>
      </c>
      <c r="AC186" s="33">
        <f t="shared" ca="1" si="28"/>
        <v>0</v>
      </c>
    </row>
    <row r="187" spans="1:29" x14ac:dyDescent="0.25">
      <c r="A187" s="19" t="str">
        <v>Implementation,Client module installation,+Mobile App</v>
      </c>
      <c r="B187" t="s">
        <v>377</v>
      </c>
      <c r="C187" s="19" t="str" cm="1">
        <f t="array" ref="C187:E187">_xlfn.TEXTSPLIT(A187,",")</f>
        <v>Implementation</v>
      </c>
      <c r="D187" s="19" t="str">
        <v>Client module installation</v>
      </c>
      <c r="E187" s="19" t="str">
        <v>+Mobile App</v>
      </c>
      <c r="F187" s="36" t="str" cm="1">
        <f t="array" ref="F187">_xlfn.TEXTJOIN(",",TRUE,_xlfn._xlws.FILTER(CLASSIFICATION[Keyword], ($E187=CLASSIFICATION[Keyword Aggr])*($D187=CLASSIFICATION[Functional Scope Aggr])))</f>
        <v>+Mobile App</v>
      </c>
      <c r="G187" s="32" t="str">
        <f t="shared" si="20"/>
        <v/>
      </c>
      <c r="H187" s="32" t="str">
        <f t="shared" si="21"/>
        <v/>
      </c>
      <c r="I187" s="32" t="str">
        <f t="shared" si="22"/>
        <v>+Mobile App</v>
      </c>
      <c r="J187" s="33" t="str" cm="1">
        <f t="array" aca="1" ref="J18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($E187=CLASSIFICATION[[Keyword Aggr]:[Keyword Aggr]])*($D187=CLASSIFICATION[[Functional Scope Aggr]:[Functional Scope Aggr]])),
_xlpm._platform_keywords, _xlfn.TEXTSPLIT(SUBSTITUTE(SUBSTITUTE(VLOOKUP($D187,_xlpm._platform_range,3,FALSE),"+"&amp;CHAR(34),"+"),CHAR(34),""),", "),
_xlpm._exists, SUMPRODUCT(--ISNUMBER(MATCH(_xlpm._platform_keywords,_xlpm._original_keywords,0)))&gt;0,
_xlfn.IFS(AND(_xlpm._exists,LEFT($E187,1)="+"),"+",_xlpm._exists,"*",NOT(_xlpm._exists),"")
)</f>
        <v/>
      </c>
      <c r="K187" s="33" t="str" cm="1">
        <f t="array" aca="1" ref="K18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($E187=CLASSIFICATION[[Keyword Aggr]:[Keyword Aggr]])*($D187=CLASSIFICATION[[Functional Scope Aggr]:[Functional Scope Aggr]])),
_xlpm._platform_keywords, _xlfn.TEXTSPLIT(SUBSTITUTE(SUBSTITUTE(VLOOKUP($D187,_xlpm._platform_range,3,FALSE),"+"&amp;CHAR(34),"+"),CHAR(34),""),", "),
_xlpm._exists, SUMPRODUCT(--ISNUMBER(MATCH(_xlpm._platform_keywords,_xlpm._original_keywords,0)))&gt;0,
_xlfn.IFS(AND(_xlpm._exists,LEFT($E187,1)="+"),"+",_xlpm._exists,"*",NOT(_xlpm._exists),"")
)</f>
        <v/>
      </c>
      <c r="L187" s="33" t="str" cm="1">
        <f t="array" aca="1" ref="L18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($E187=CLASSIFICATION[[Keyword Aggr]:[Keyword Aggr]])*($D187=CLASSIFICATION[[Functional Scope Aggr]:[Functional Scope Aggr]])),
_xlpm._platform_keywords, _xlfn.TEXTSPLIT(SUBSTITUTE(SUBSTITUTE(VLOOKUP($D187,_xlpm._platform_range,3,FALSE),"+"&amp;CHAR(34),"+"),CHAR(34),""),", "),
_xlpm._exists, SUMPRODUCT(--ISNUMBER(MATCH(_xlpm._platform_keywords,_xlpm._original_keywords,0)))&gt;0,
_xlfn.IFS(AND(_xlpm._exists,LEFT($E187,1)="+"),"+",_xlpm._exists,"*",NOT(_xlpm._exists),"")
)</f>
        <v/>
      </c>
      <c r="M187" s="33" t="str" cm="1">
        <f t="array" aca="1" ref="M18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($E187=CLASSIFICATION[[Keyword Aggr]:[Keyword Aggr]])*($D187=CLASSIFICATION[[Functional Scope Aggr]:[Functional Scope Aggr]])),
_xlpm._platform_keywords, _xlfn.TEXTSPLIT(SUBSTITUTE(SUBSTITUTE(VLOOKUP($D187,_xlpm._platform_range,3,FALSE),"+"&amp;CHAR(34),"+"),CHAR(34),""),", "),
_xlpm._exists, SUMPRODUCT(--ISNUMBER(MATCH(_xlpm._platform_keywords,_xlpm._original_keywords,0)))&gt;0,
_xlfn.IFS(AND(_xlpm._exists,LEFT($E187,1)="+"),"+",_xlpm._exists,"*",NOT(_xlpm._exists),"")
)</f>
        <v>+</v>
      </c>
      <c r="N187" s="33" t="str" cm="1">
        <f t="array" aca="1" ref="N18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($E187=CLASSIFICATION[[Keyword Aggr]:[Keyword Aggr]])*($D187=CLASSIFICATION[[Functional Scope Aggr]:[Functional Scope Aggr]])),
_xlpm._platform_keywords, _xlfn.TEXTSPLIT(SUBSTITUTE(SUBSTITUTE(VLOOKUP($D187,_xlpm._platform_range,3,FALSE),"+"&amp;CHAR(34),"+"),CHAR(34),""),", "),
_xlpm._exists, SUMPRODUCT(--ISNUMBER(MATCH(_xlpm._platform_keywords,_xlpm._original_keywords,0)))&gt;0,
_xlfn.IFS(AND(_xlpm._exists,LEFT($E187,1)="+"),"+",_xlpm._exists,"*",NOT(_xlpm._exists),"")
)</f>
        <v>+</v>
      </c>
      <c r="O187" s="33" t="str" cm="1">
        <f t="array" aca="1" ref="O18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($E187=CLASSIFICATION[[Keyword Aggr]:[Keyword Aggr]])*($D187=CLASSIFICATION[[Functional Scope Aggr]:[Functional Scope Aggr]])),
_xlpm._platform_keywords, _xlfn.TEXTSPLIT(SUBSTITUTE(SUBSTITUTE(VLOOKUP($D187,_xlpm._platform_range,3,FALSE),"+"&amp;CHAR(34),"+"),CHAR(34),""),", "),
_xlpm._exists, SUMPRODUCT(--ISNUMBER(MATCH(_xlpm._platform_keywords,_xlpm._original_keywords,0)))&gt;0,
_xlfn.IFS(AND(_xlpm._exists,LEFT($E187,1)="+"),"+",_xlpm._exists,"*",NOT(_xlpm._exists),"")
)</f>
        <v/>
      </c>
      <c r="Q187" s="33" t="str" cm="1">
        <f t="array" aca="1" ref="Q18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($E187=CLASSIFICATION[[Keyword Aggr]:[Keyword Aggr]])*($D187=CLASSIFICATION[[Functional Scope Aggr]:[Functional Scope Aggr]])),
_xlpm._platform_keywords, _xlfn.TEXTSPLIT(SUBSTITUTE(SUBSTITUTE(VLOOKUP($D187,_xlpm._platform_range,3,FALSE),"+"&amp;CHAR(34),"+"),CHAR(34),""),", "),
_xlpm._exists, SUMPRODUCT(--ISNUMBER(MATCH(_xlpm._platform_keywords,_xlpm._original_keywords,0)))&gt;0,
_xlfn.IFS(_xlpm._exists,1,NOT(_xlpm._exists),"")
)</f>
        <v/>
      </c>
      <c r="R187" s="33" t="str" cm="1">
        <f t="array" aca="1" ref="R18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($E187=CLASSIFICATION[[Keyword Aggr]:[Keyword Aggr]])*($D187=CLASSIFICATION[[Functional Scope Aggr]:[Functional Scope Aggr]])),
_xlpm._platform_keywords, _xlfn.TEXTSPLIT(SUBSTITUTE(SUBSTITUTE(VLOOKUP($D187,_xlpm._platform_range,3,FALSE),"+"&amp;CHAR(34),"+"),CHAR(34),""),", "),
_xlpm._exists, SUMPRODUCT(--ISNUMBER(MATCH(_xlpm._platform_keywords,_xlpm._original_keywords,0)))&gt;0,
_xlfn.IFS(_xlpm._exists,1,NOT(_xlpm._exists),"")
)</f>
        <v/>
      </c>
      <c r="S187" s="33" t="str" cm="1">
        <f t="array" aca="1" ref="S18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($E187=CLASSIFICATION[[Keyword Aggr]:[Keyword Aggr]])*($D187=CLASSIFICATION[[Functional Scope Aggr]:[Functional Scope Aggr]])),
_xlpm._platform_keywords, _xlfn.TEXTSPLIT(SUBSTITUTE(SUBSTITUTE(VLOOKUP($D187,_xlpm._platform_range,3,FALSE),"+"&amp;CHAR(34),"+"),CHAR(34),""),", "),
_xlpm._exists, SUMPRODUCT(--ISNUMBER(MATCH(_xlpm._platform_keywords,_xlpm._original_keywords,0)))&gt;0,
_xlfn.IFS(_xlpm._exists,1,NOT(_xlpm._exists),"")
)</f>
        <v/>
      </c>
      <c r="T187" s="33" cm="1">
        <f t="array" aca="1" ref="T18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($E187=CLASSIFICATION[[Keyword Aggr]:[Keyword Aggr]])*($D187=CLASSIFICATION[[Functional Scope Aggr]:[Functional Scope Aggr]])),
_xlpm._platform_keywords, _xlfn.TEXTSPLIT(SUBSTITUTE(SUBSTITUTE(VLOOKUP($D187,_xlpm._platform_range,3,FALSE),"+"&amp;CHAR(34),"+"),CHAR(34),""),", "),
_xlpm._exists, SUMPRODUCT(--ISNUMBER(MATCH(_xlpm._platform_keywords,_xlpm._original_keywords,0)))&gt;0,
_xlfn.IFS(_xlpm._exists,1,NOT(_xlpm._exists),"")
)</f>
        <v>1</v>
      </c>
      <c r="U187" s="33" cm="1">
        <f t="array" aca="1" ref="U18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($E187=CLASSIFICATION[[Keyword Aggr]:[Keyword Aggr]])*($D187=CLASSIFICATION[[Functional Scope Aggr]:[Functional Scope Aggr]])),
_xlpm._platform_keywords, _xlfn.TEXTSPLIT(SUBSTITUTE(SUBSTITUTE(VLOOKUP($D187,_xlpm._platform_range,3,FALSE),"+"&amp;CHAR(34),"+"),CHAR(34),""),", "),
_xlpm._exists, SUMPRODUCT(--ISNUMBER(MATCH(_xlpm._platform_keywords,_xlpm._original_keywords,0)))&gt;0,
_xlfn.IFS(_xlpm._exists,1,NOT(_xlpm._exists),"")
)</f>
        <v>1</v>
      </c>
      <c r="V187" s="33" t="str" cm="1">
        <f t="array" aca="1" ref="V18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($E187=CLASSIFICATION[[Keyword Aggr]:[Keyword Aggr]])*($D187=CLASSIFICATION[[Functional Scope Aggr]:[Functional Scope Aggr]])),
_xlpm._platform_keywords, _xlfn.TEXTSPLIT(SUBSTITUTE(SUBSTITUTE(VLOOKUP($D187,_xlpm._platform_range,3,FALSE),"+"&amp;CHAR(34),"+"),CHAR(34),""),", "),
_xlpm._exists, SUMPRODUCT(--ISNUMBER(MATCH(_xlpm._platform_keywords,_xlpm._original_keywords,0)))&gt;0,
_xlfn.IFS(_xlpm._exists,1,NOT(_xlpm._exists),"")
)</f>
        <v/>
      </c>
      <c r="X187" s="33" t="str">
        <f t="shared" si="23"/>
        <v/>
      </c>
      <c r="Y187" s="33" t="str">
        <f t="shared" si="24"/>
        <v/>
      </c>
      <c r="Z187" s="33" t="str">
        <f t="shared" si="25"/>
        <v/>
      </c>
      <c r="AA187" s="33" t="str">
        <f t="shared" si="26"/>
        <v/>
      </c>
      <c r="AB187" s="33" t="str">
        <f t="shared" si="27"/>
        <v/>
      </c>
      <c r="AC187" s="33" t="str">
        <f t="shared" si="28"/>
        <v/>
      </c>
    </row>
    <row r="188" spans="1:29" x14ac:dyDescent="0.25">
      <c r="A188" s="19" t="str">
        <v>Implementation,Client module installation,+Web Browser</v>
      </c>
      <c r="B188" t="s">
        <v>377</v>
      </c>
      <c r="C188" s="19" t="str" cm="1">
        <f t="array" ref="C188:E188">_xlfn.TEXTSPLIT(A188,",")</f>
        <v>Implementation</v>
      </c>
      <c r="D188" s="19" t="str">
        <v>Client module installation</v>
      </c>
      <c r="E188" s="19" t="str">
        <v>+Web Browser</v>
      </c>
      <c r="F188" s="36" t="str" cm="1">
        <f t="array" ref="F188">_xlfn.TEXTJOIN(",",TRUE,_xlfn._xlws.FILTER(CLASSIFICATION[Keyword], ($E188=CLASSIFICATION[Keyword Aggr])*($D188=CLASSIFICATION[Functional Scope Aggr])))</f>
        <v>+Web Browser</v>
      </c>
      <c r="G188" s="32" t="str">
        <f t="shared" si="20"/>
        <v/>
      </c>
      <c r="H188" s="32" t="str">
        <f t="shared" si="21"/>
        <v/>
      </c>
      <c r="I188" s="32" t="str">
        <f t="shared" si="22"/>
        <v>+Web Browser</v>
      </c>
      <c r="J188" s="33" t="str" cm="1">
        <f t="array" aca="1" ref="J18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($E188=CLASSIFICATION[[Keyword Aggr]:[Keyword Aggr]])*($D188=CLASSIFICATION[[Functional Scope Aggr]:[Functional Scope Aggr]])),
_xlpm._platform_keywords, _xlfn.TEXTSPLIT(SUBSTITUTE(SUBSTITUTE(VLOOKUP($D188,_xlpm._platform_range,3,FALSE),"+"&amp;CHAR(34),"+"),CHAR(34),""),", "),
_xlpm._exists, SUMPRODUCT(--ISNUMBER(MATCH(_xlpm._platform_keywords,_xlpm._original_keywords,0)))&gt;0,
_xlfn.IFS(AND(_xlpm._exists,LEFT($E188,1)="+"),"+",_xlpm._exists,"*",NOT(_xlpm._exists),"")
)</f>
        <v/>
      </c>
      <c r="K188" s="33" t="str" cm="1">
        <f t="array" aca="1" ref="K18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($E188=CLASSIFICATION[[Keyword Aggr]:[Keyword Aggr]])*($D188=CLASSIFICATION[[Functional Scope Aggr]:[Functional Scope Aggr]])),
_xlpm._platform_keywords, _xlfn.TEXTSPLIT(SUBSTITUTE(SUBSTITUTE(VLOOKUP($D188,_xlpm._platform_range,3,FALSE),"+"&amp;CHAR(34),"+"),CHAR(34),""),", "),
_xlpm._exists, SUMPRODUCT(--ISNUMBER(MATCH(_xlpm._platform_keywords,_xlpm._original_keywords,0)))&gt;0,
_xlfn.IFS(AND(_xlpm._exists,LEFT($E188,1)="+"),"+",_xlpm._exists,"*",NOT(_xlpm._exists),"")
)</f>
        <v/>
      </c>
      <c r="L188" s="33" t="str" cm="1">
        <f t="array" aca="1" ref="L18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($E188=CLASSIFICATION[[Keyword Aggr]:[Keyword Aggr]])*($D188=CLASSIFICATION[[Functional Scope Aggr]:[Functional Scope Aggr]])),
_xlpm._platform_keywords, _xlfn.TEXTSPLIT(SUBSTITUTE(SUBSTITUTE(VLOOKUP($D188,_xlpm._platform_range,3,FALSE),"+"&amp;CHAR(34),"+"),CHAR(34),""),", "),
_xlpm._exists, SUMPRODUCT(--ISNUMBER(MATCH(_xlpm._platform_keywords,_xlpm._original_keywords,0)))&gt;0,
_xlfn.IFS(AND(_xlpm._exists,LEFT($E188,1)="+"),"+",_xlpm._exists,"*",NOT(_xlpm._exists),"")
)</f>
        <v/>
      </c>
      <c r="M188" s="33" t="str" cm="1">
        <f t="array" aca="1" ref="M18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($E188=CLASSIFICATION[[Keyword Aggr]:[Keyword Aggr]])*($D188=CLASSIFICATION[[Functional Scope Aggr]:[Functional Scope Aggr]])),
_xlpm._platform_keywords, _xlfn.TEXTSPLIT(SUBSTITUTE(SUBSTITUTE(VLOOKUP($D188,_xlpm._platform_range,3,FALSE),"+"&amp;CHAR(34),"+"),CHAR(34),""),", "),
_xlpm._exists, SUMPRODUCT(--ISNUMBER(MATCH(_xlpm._platform_keywords,_xlpm._original_keywords,0)))&gt;0,
_xlfn.IFS(AND(_xlpm._exists,LEFT($E188,1)="+"),"+",_xlpm._exists,"*",NOT(_xlpm._exists),"")
)</f>
        <v>+</v>
      </c>
      <c r="N188" s="33" t="str" cm="1">
        <f t="array" aca="1" ref="N18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($E188=CLASSIFICATION[[Keyword Aggr]:[Keyword Aggr]])*($D188=CLASSIFICATION[[Functional Scope Aggr]:[Functional Scope Aggr]])),
_xlpm._platform_keywords, _xlfn.TEXTSPLIT(SUBSTITUTE(SUBSTITUTE(VLOOKUP($D188,_xlpm._platform_range,3,FALSE),"+"&amp;CHAR(34),"+"),CHAR(34),""),", "),
_xlpm._exists, SUMPRODUCT(--ISNUMBER(MATCH(_xlpm._platform_keywords,_xlpm._original_keywords,0)))&gt;0,
_xlfn.IFS(AND(_xlpm._exists,LEFT($E188,1)="+"),"+",_xlpm._exists,"*",NOT(_xlpm._exists),"")
)</f>
        <v>+</v>
      </c>
      <c r="O188" s="33" t="str" cm="1">
        <f t="array" aca="1" ref="O18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($E188=CLASSIFICATION[[Keyword Aggr]:[Keyword Aggr]])*($D188=CLASSIFICATION[[Functional Scope Aggr]:[Functional Scope Aggr]])),
_xlpm._platform_keywords, _xlfn.TEXTSPLIT(SUBSTITUTE(SUBSTITUTE(VLOOKUP($D188,_xlpm._platform_range,3,FALSE),"+"&amp;CHAR(34),"+"),CHAR(34),""),", "),
_xlpm._exists, SUMPRODUCT(--ISNUMBER(MATCH(_xlpm._platform_keywords,_xlpm._original_keywords,0)))&gt;0,
_xlfn.IFS(AND(_xlpm._exists,LEFT($E188,1)="+"),"+",_xlpm._exists,"*",NOT(_xlpm._exists),"")
)</f>
        <v>+</v>
      </c>
      <c r="Q188" s="33" t="str" cm="1">
        <f t="array" aca="1" ref="Q18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($E188=CLASSIFICATION[[Keyword Aggr]:[Keyword Aggr]])*($D188=CLASSIFICATION[[Functional Scope Aggr]:[Functional Scope Aggr]])),
_xlpm._platform_keywords, _xlfn.TEXTSPLIT(SUBSTITUTE(SUBSTITUTE(VLOOKUP($D188,_xlpm._platform_range,3,FALSE),"+"&amp;CHAR(34),"+"),CHAR(34),""),", "),
_xlpm._exists, SUMPRODUCT(--ISNUMBER(MATCH(_xlpm._platform_keywords,_xlpm._original_keywords,0)))&gt;0,
_xlfn.IFS(_xlpm._exists,1,NOT(_xlpm._exists),"")
)</f>
        <v/>
      </c>
      <c r="R188" s="33" t="str" cm="1">
        <f t="array" aca="1" ref="R18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($E188=CLASSIFICATION[[Keyword Aggr]:[Keyword Aggr]])*($D188=CLASSIFICATION[[Functional Scope Aggr]:[Functional Scope Aggr]])),
_xlpm._platform_keywords, _xlfn.TEXTSPLIT(SUBSTITUTE(SUBSTITUTE(VLOOKUP($D188,_xlpm._platform_range,3,FALSE),"+"&amp;CHAR(34),"+"),CHAR(34),""),", "),
_xlpm._exists, SUMPRODUCT(--ISNUMBER(MATCH(_xlpm._platform_keywords,_xlpm._original_keywords,0)))&gt;0,
_xlfn.IFS(_xlpm._exists,1,NOT(_xlpm._exists),"")
)</f>
        <v/>
      </c>
      <c r="S188" s="33" t="str" cm="1">
        <f t="array" aca="1" ref="S18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($E188=CLASSIFICATION[[Keyword Aggr]:[Keyword Aggr]])*($D188=CLASSIFICATION[[Functional Scope Aggr]:[Functional Scope Aggr]])),
_xlpm._platform_keywords, _xlfn.TEXTSPLIT(SUBSTITUTE(SUBSTITUTE(VLOOKUP($D188,_xlpm._platform_range,3,FALSE),"+"&amp;CHAR(34),"+"),CHAR(34),""),", "),
_xlpm._exists, SUMPRODUCT(--ISNUMBER(MATCH(_xlpm._platform_keywords,_xlpm._original_keywords,0)))&gt;0,
_xlfn.IFS(_xlpm._exists,1,NOT(_xlpm._exists),"")
)</f>
        <v/>
      </c>
      <c r="T188" s="33" cm="1">
        <f t="array" aca="1" ref="T18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($E188=CLASSIFICATION[[Keyword Aggr]:[Keyword Aggr]])*($D188=CLASSIFICATION[[Functional Scope Aggr]:[Functional Scope Aggr]])),
_xlpm._platform_keywords, _xlfn.TEXTSPLIT(SUBSTITUTE(SUBSTITUTE(VLOOKUP($D188,_xlpm._platform_range,3,FALSE),"+"&amp;CHAR(34),"+"),CHAR(34),""),", "),
_xlpm._exists, SUMPRODUCT(--ISNUMBER(MATCH(_xlpm._platform_keywords,_xlpm._original_keywords,0)))&gt;0,
_xlfn.IFS(_xlpm._exists,1,NOT(_xlpm._exists),"")
)</f>
        <v>1</v>
      </c>
      <c r="U188" s="33" cm="1">
        <f t="array" aca="1" ref="U18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($E188=CLASSIFICATION[[Keyword Aggr]:[Keyword Aggr]])*($D188=CLASSIFICATION[[Functional Scope Aggr]:[Functional Scope Aggr]])),
_xlpm._platform_keywords, _xlfn.TEXTSPLIT(SUBSTITUTE(SUBSTITUTE(VLOOKUP($D188,_xlpm._platform_range,3,FALSE),"+"&amp;CHAR(34),"+"),CHAR(34),""),", "),
_xlpm._exists, SUMPRODUCT(--ISNUMBER(MATCH(_xlpm._platform_keywords,_xlpm._original_keywords,0)))&gt;0,
_xlfn.IFS(_xlpm._exists,1,NOT(_xlpm._exists),"")
)</f>
        <v>1</v>
      </c>
      <c r="V188" s="33" cm="1">
        <f t="array" aca="1" ref="V18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($E188=CLASSIFICATION[[Keyword Aggr]:[Keyword Aggr]])*($D188=CLASSIFICATION[[Functional Scope Aggr]:[Functional Scope Aggr]])),
_xlpm._platform_keywords, _xlfn.TEXTSPLIT(SUBSTITUTE(SUBSTITUTE(VLOOKUP($D188,_xlpm._platform_range,3,FALSE),"+"&amp;CHAR(34),"+"),CHAR(34),""),", "),
_xlpm._exists, SUMPRODUCT(--ISNUMBER(MATCH(_xlpm._platform_keywords,_xlpm._original_keywords,0)))&gt;0,
_xlfn.IFS(_xlpm._exists,1,NOT(_xlpm._exists),"")
)</f>
        <v>1</v>
      </c>
      <c r="X188" s="33" t="str">
        <f t="shared" si="23"/>
        <v/>
      </c>
      <c r="Y188" s="33" t="str">
        <f t="shared" si="24"/>
        <v/>
      </c>
      <c r="Z188" s="33" t="str">
        <f t="shared" si="25"/>
        <v/>
      </c>
      <c r="AA188" s="33" t="str">
        <f t="shared" si="26"/>
        <v/>
      </c>
      <c r="AB188" s="33" t="str">
        <f t="shared" si="27"/>
        <v/>
      </c>
      <c r="AC188" s="33" t="str">
        <f t="shared" si="28"/>
        <v/>
      </c>
    </row>
    <row r="189" spans="1:29" x14ac:dyDescent="0.25">
      <c r="A189" s="19" t="str">
        <v>Implementation,Client module installation,API</v>
      </c>
      <c r="B189" t="s">
        <v>377</v>
      </c>
      <c r="C189" s="19" t="str" cm="1">
        <f t="array" ref="C189:E189">_xlfn.TEXTSPLIT(A189,",")</f>
        <v>Implementation</v>
      </c>
      <c r="D189" s="19" t="str">
        <v>Client module installation</v>
      </c>
      <c r="E189" s="19" t="str">
        <v>API</v>
      </c>
      <c r="F189" s="36" t="str" cm="1">
        <f t="array" ref="F189">_xlfn.TEXTJOIN(",",TRUE,_xlfn._xlws.FILTER(CLASSIFICATION[Keyword], ($E189=CLASSIFICATION[Keyword Aggr])*($D189=CLASSIFICATION[Functional Scope Aggr])))</f>
        <v>API</v>
      </c>
      <c r="G189" s="32" t="str">
        <f t="shared" si="20"/>
        <v/>
      </c>
      <c r="H189" s="32" t="str">
        <f t="shared" si="21"/>
        <v/>
      </c>
      <c r="I189" s="32" t="str">
        <f t="shared" si="22"/>
        <v>API</v>
      </c>
      <c r="J189" s="33" t="str" cm="1">
        <f t="array" aca="1" ref="J18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($E189=CLASSIFICATION[[Keyword Aggr]:[Keyword Aggr]])*($D189=CLASSIFICATION[[Functional Scope Aggr]:[Functional Scope Aggr]])),
_xlpm._platform_keywords, _xlfn.TEXTSPLIT(SUBSTITUTE(SUBSTITUTE(VLOOKUP($D189,_xlpm._platform_range,3,FALSE),"+"&amp;CHAR(34),"+"),CHAR(34),""),", "),
_xlpm._exists, SUMPRODUCT(--ISNUMBER(MATCH(_xlpm._platform_keywords,_xlpm._original_keywords,0)))&gt;0,
_xlfn.IFS(AND(_xlpm._exists,LEFT($E189,1)="+"),"+",_xlpm._exists,"*",NOT(_xlpm._exists),"")
)</f>
        <v>*</v>
      </c>
      <c r="K189" s="33" t="str" cm="1">
        <f t="array" aca="1" ref="K18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($E189=CLASSIFICATION[[Keyword Aggr]:[Keyword Aggr]])*($D189=CLASSIFICATION[[Functional Scope Aggr]:[Functional Scope Aggr]])),
_xlpm._platform_keywords, _xlfn.TEXTSPLIT(SUBSTITUTE(SUBSTITUTE(VLOOKUP($D189,_xlpm._platform_range,3,FALSE),"+"&amp;CHAR(34),"+"),CHAR(34),""),", "),
_xlpm._exists, SUMPRODUCT(--ISNUMBER(MATCH(_xlpm._platform_keywords,_xlpm._original_keywords,0)))&gt;0,
_xlfn.IFS(AND(_xlpm._exists,LEFT($E189,1)="+"),"+",_xlpm._exists,"*",NOT(_xlpm._exists),"")
)</f>
        <v/>
      </c>
      <c r="L189" s="33" t="str" cm="1">
        <f t="array" aca="1" ref="L18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($E189=CLASSIFICATION[[Keyword Aggr]:[Keyword Aggr]])*($D189=CLASSIFICATION[[Functional Scope Aggr]:[Functional Scope Aggr]])),
_xlpm._platform_keywords, _xlfn.TEXTSPLIT(SUBSTITUTE(SUBSTITUTE(VLOOKUP($D189,_xlpm._platform_range,3,FALSE),"+"&amp;CHAR(34),"+"),CHAR(34),""),", "),
_xlpm._exists, SUMPRODUCT(--ISNUMBER(MATCH(_xlpm._platform_keywords,_xlpm._original_keywords,0)))&gt;0,
_xlfn.IFS(AND(_xlpm._exists,LEFT($E189,1)="+"),"+",_xlpm._exists,"*",NOT(_xlpm._exists),"")
)</f>
        <v/>
      </c>
      <c r="M189" s="33" t="str" cm="1">
        <f t="array" aca="1" ref="M18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($E189=CLASSIFICATION[[Keyword Aggr]:[Keyword Aggr]])*($D189=CLASSIFICATION[[Functional Scope Aggr]:[Functional Scope Aggr]])),
_xlpm._platform_keywords, _xlfn.TEXTSPLIT(SUBSTITUTE(SUBSTITUTE(VLOOKUP($D189,_xlpm._platform_range,3,FALSE),"+"&amp;CHAR(34),"+"),CHAR(34),""),", "),
_xlpm._exists, SUMPRODUCT(--ISNUMBER(MATCH(_xlpm._platform_keywords,_xlpm._original_keywords,0)))&gt;0,
_xlfn.IFS(AND(_xlpm._exists,LEFT($E189,1)="+"),"+",_xlpm._exists,"*",NOT(_xlpm._exists),"")
)</f>
        <v/>
      </c>
      <c r="N189" s="33" t="str" cm="1">
        <f t="array" aca="1" ref="N18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($E189=CLASSIFICATION[[Keyword Aggr]:[Keyword Aggr]])*($D189=CLASSIFICATION[[Functional Scope Aggr]:[Functional Scope Aggr]])),
_xlpm._platform_keywords, _xlfn.TEXTSPLIT(SUBSTITUTE(SUBSTITUTE(VLOOKUP($D189,_xlpm._platform_range,3,FALSE),"+"&amp;CHAR(34),"+"),CHAR(34),""),", "),
_xlpm._exists, SUMPRODUCT(--ISNUMBER(MATCH(_xlpm._platform_keywords,_xlpm._original_keywords,0)))&gt;0,
_xlfn.IFS(AND(_xlpm._exists,LEFT($E189,1)="+"),"+",_xlpm._exists,"*",NOT(_xlpm._exists),"")
)</f>
        <v/>
      </c>
      <c r="O189" s="33" t="str" cm="1">
        <f t="array" aca="1" ref="O18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($E189=CLASSIFICATION[[Keyword Aggr]:[Keyword Aggr]])*($D189=CLASSIFICATION[[Functional Scope Aggr]:[Functional Scope Aggr]])),
_xlpm._platform_keywords, _xlfn.TEXTSPLIT(SUBSTITUTE(SUBSTITUTE(VLOOKUP($D189,_xlpm._platform_range,3,FALSE),"+"&amp;CHAR(34),"+"),CHAR(34),""),", "),
_xlpm._exists, SUMPRODUCT(--ISNUMBER(MATCH(_xlpm._platform_keywords,_xlpm._original_keywords,0)))&gt;0,
_xlfn.IFS(AND(_xlpm._exists,LEFT($E189,1)="+"),"+",_xlpm._exists,"*",NOT(_xlpm._exists),"")
)</f>
        <v/>
      </c>
      <c r="Q189" s="33" cm="1">
        <f t="array" aca="1" ref="Q18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($E189=CLASSIFICATION[[Keyword Aggr]:[Keyword Aggr]])*($D189=CLASSIFICATION[[Functional Scope Aggr]:[Functional Scope Aggr]])),
_xlpm._platform_keywords, _xlfn.TEXTSPLIT(SUBSTITUTE(SUBSTITUTE(VLOOKUP($D189,_xlpm._platform_range,3,FALSE),"+"&amp;CHAR(34),"+"),CHAR(34),""),", "),
_xlpm._exists, SUMPRODUCT(--ISNUMBER(MATCH(_xlpm._platform_keywords,_xlpm._original_keywords,0)))&gt;0,
_xlfn.IFS(_xlpm._exists,1,NOT(_xlpm._exists),"")
)</f>
        <v>1</v>
      </c>
      <c r="R189" s="33" t="str" cm="1">
        <f t="array" aca="1" ref="R18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($E189=CLASSIFICATION[[Keyword Aggr]:[Keyword Aggr]])*($D189=CLASSIFICATION[[Functional Scope Aggr]:[Functional Scope Aggr]])),
_xlpm._platform_keywords, _xlfn.TEXTSPLIT(SUBSTITUTE(SUBSTITUTE(VLOOKUP($D189,_xlpm._platform_range,3,FALSE),"+"&amp;CHAR(34),"+"),CHAR(34),""),", "),
_xlpm._exists, SUMPRODUCT(--ISNUMBER(MATCH(_xlpm._platform_keywords,_xlpm._original_keywords,0)))&gt;0,
_xlfn.IFS(_xlpm._exists,1,NOT(_xlpm._exists),"")
)</f>
        <v/>
      </c>
      <c r="S189" s="33" t="str" cm="1">
        <f t="array" aca="1" ref="S18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($E189=CLASSIFICATION[[Keyword Aggr]:[Keyword Aggr]])*($D189=CLASSIFICATION[[Functional Scope Aggr]:[Functional Scope Aggr]])),
_xlpm._platform_keywords, _xlfn.TEXTSPLIT(SUBSTITUTE(SUBSTITUTE(VLOOKUP($D189,_xlpm._platform_range,3,FALSE),"+"&amp;CHAR(34),"+"),CHAR(34),""),", "),
_xlpm._exists, SUMPRODUCT(--ISNUMBER(MATCH(_xlpm._platform_keywords,_xlpm._original_keywords,0)))&gt;0,
_xlfn.IFS(_xlpm._exists,1,NOT(_xlpm._exists),"")
)</f>
        <v/>
      </c>
      <c r="T189" s="33" t="str" cm="1">
        <f t="array" aca="1" ref="T18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($E189=CLASSIFICATION[[Keyword Aggr]:[Keyword Aggr]])*($D189=CLASSIFICATION[[Functional Scope Aggr]:[Functional Scope Aggr]])),
_xlpm._platform_keywords, _xlfn.TEXTSPLIT(SUBSTITUTE(SUBSTITUTE(VLOOKUP($D189,_xlpm._platform_range,3,FALSE),"+"&amp;CHAR(34),"+"),CHAR(34),""),", "),
_xlpm._exists, SUMPRODUCT(--ISNUMBER(MATCH(_xlpm._platform_keywords,_xlpm._original_keywords,0)))&gt;0,
_xlfn.IFS(_xlpm._exists,1,NOT(_xlpm._exists),"")
)</f>
        <v/>
      </c>
      <c r="U189" s="33" t="str" cm="1">
        <f t="array" aca="1" ref="U18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($E189=CLASSIFICATION[[Keyword Aggr]:[Keyword Aggr]])*($D189=CLASSIFICATION[[Functional Scope Aggr]:[Functional Scope Aggr]])),
_xlpm._platform_keywords, _xlfn.TEXTSPLIT(SUBSTITUTE(SUBSTITUTE(VLOOKUP($D189,_xlpm._platform_range,3,FALSE),"+"&amp;CHAR(34),"+"),CHAR(34),""),", "),
_xlpm._exists, SUMPRODUCT(--ISNUMBER(MATCH(_xlpm._platform_keywords,_xlpm._original_keywords,0)))&gt;0,
_xlfn.IFS(_xlpm._exists,1,NOT(_xlpm._exists),"")
)</f>
        <v/>
      </c>
      <c r="V189" s="33" t="str" cm="1">
        <f t="array" aca="1" ref="V18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($E189=CLASSIFICATION[[Keyword Aggr]:[Keyword Aggr]])*($D189=CLASSIFICATION[[Functional Scope Aggr]:[Functional Scope Aggr]])),
_xlpm._platform_keywords, _xlfn.TEXTSPLIT(SUBSTITUTE(SUBSTITUTE(VLOOKUP($D189,_xlpm._platform_range,3,FALSE),"+"&amp;CHAR(34),"+"),CHAR(34),""),", "),
_xlpm._exists, SUMPRODUCT(--ISNUMBER(MATCH(_xlpm._platform_keywords,_xlpm._original_keywords,0)))&gt;0,
_xlfn.IFS(_xlpm._exists,1,NOT(_xlpm._exists),"")
)</f>
        <v/>
      </c>
      <c r="X189" s="33" t="str">
        <f t="shared" si="23"/>
        <v/>
      </c>
      <c r="Y189" s="33" t="str">
        <f t="shared" si="24"/>
        <v/>
      </c>
      <c r="Z189" s="33" t="str">
        <f t="shared" si="25"/>
        <v/>
      </c>
      <c r="AA189" s="33" t="str">
        <f t="shared" si="26"/>
        <v/>
      </c>
      <c r="AB189" s="33" t="str">
        <f t="shared" si="27"/>
        <v/>
      </c>
      <c r="AC189" s="33" t="str">
        <f t="shared" si="28"/>
        <v/>
      </c>
    </row>
    <row r="190" spans="1:29" x14ac:dyDescent="0.25">
      <c r="A190" s="19" t="str">
        <v>Implementation,Client module installation,Binaries</v>
      </c>
      <c r="B190" t="s">
        <v>377</v>
      </c>
      <c r="C190" s="19" t="str" cm="1">
        <f t="array" ref="C190:E190">_xlfn.TEXTSPLIT(A190,",")</f>
        <v>Implementation</v>
      </c>
      <c r="D190" s="19" t="str">
        <v>Client module installation</v>
      </c>
      <c r="E190" s="19" t="str">
        <v>Binaries</v>
      </c>
      <c r="F190" s="36" t="str" cm="1">
        <f t="array" ref="F190">_xlfn.TEXTJOIN(",",TRUE,_xlfn._xlws.FILTER(CLASSIFICATION[Keyword], ($E190=CLASSIFICATION[Keyword Aggr])*($D190=CLASSIFICATION[Functional Scope Aggr])))</f>
        <v>Binaries</v>
      </c>
      <c r="G190" s="32" t="str">
        <f t="shared" si="20"/>
        <v/>
      </c>
      <c r="H190" s="32" t="str">
        <f t="shared" si="21"/>
        <v/>
      </c>
      <c r="I190" s="32" t="str">
        <f t="shared" si="22"/>
        <v>Binaries</v>
      </c>
      <c r="J190" s="33" t="str" cm="1">
        <f t="array" aca="1" ref="J19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($E190=CLASSIFICATION[[Keyword Aggr]:[Keyword Aggr]])*($D190=CLASSIFICATION[[Functional Scope Aggr]:[Functional Scope Aggr]])),
_xlpm._platform_keywords, _xlfn.TEXTSPLIT(SUBSTITUTE(SUBSTITUTE(VLOOKUP($D190,_xlpm._platform_range,3,FALSE),"+"&amp;CHAR(34),"+"),CHAR(34),""),", "),
_xlpm._exists, SUMPRODUCT(--ISNUMBER(MATCH(_xlpm._platform_keywords,_xlpm._original_keywords,0)))&gt;0,
_xlfn.IFS(AND(_xlpm._exists,LEFT($E190,1)="+"),"+",_xlpm._exists,"*",NOT(_xlpm._exists),"")
)</f>
        <v/>
      </c>
      <c r="K190" s="33" t="str" cm="1">
        <f t="array" aca="1" ref="K19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($E190=CLASSIFICATION[[Keyword Aggr]:[Keyword Aggr]])*($D190=CLASSIFICATION[[Functional Scope Aggr]:[Functional Scope Aggr]])),
_xlpm._platform_keywords, _xlfn.TEXTSPLIT(SUBSTITUTE(SUBSTITUTE(VLOOKUP($D190,_xlpm._platform_range,3,FALSE),"+"&amp;CHAR(34),"+"),CHAR(34),""),", "),
_xlpm._exists, SUMPRODUCT(--ISNUMBER(MATCH(_xlpm._platform_keywords,_xlpm._original_keywords,0)))&gt;0,
_xlfn.IFS(AND(_xlpm._exists,LEFT($E190,1)="+"),"+",_xlpm._exists,"*",NOT(_xlpm._exists),"")
)</f>
        <v>*</v>
      </c>
      <c r="L190" s="33" t="str" cm="1">
        <f t="array" aca="1" ref="L19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($E190=CLASSIFICATION[[Keyword Aggr]:[Keyword Aggr]])*($D190=CLASSIFICATION[[Functional Scope Aggr]:[Functional Scope Aggr]])),
_xlpm._platform_keywords, _xlfn.TEXTSPLIT(SUBSTITUTE(SUBSTITUTE(VLOOKUP($D190,_xlpm._platform_range,3,FALSE),"+"&amp;CHAR(34),"+"),CHAR(34),""),", "),
_xlpm._exists, SUMPRODUCT(--ISNUMBER(MATCH(_xlpm._platform_keywords,_xlpm._original_keywords,0)))&gt;0,
_xlfn.IFS(AND(_xlpm._exists,LEFT($E190,1)="+"),"+",_xlpm._exists,"*",NOT(_xlpm._exists),"")
)</f>
        <v>*</v>
      </c>
      <c r="M190" s="33" t="str" cm="1">
        <f t="array" aca="1" ref="M19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($E190=CLASSIFICATION[[Keyword Aggr]:[Keyword Aggr]])*($D190=CLASSIFICATION[[Functional Scope Aggr]:[Functional Scope Aggr]])),
_xlpm._platform_keywords, _xlfn.TEXTSPLIT(SUBSTITUTE(SUBSTITUTE(VLOOKUP($D190,_xlpm._platform_range,3,FALSE),"+"&amp;CHAR(34),"+"),CHAR(34),""),", "),
_xlpm._exists, SUMPRODUCT(--ISNUMBER(MATCH(_xlpm._platform_keywords,_xlpm._original_keywords,0)))&gt;0,
_xlfn.IFS(AND(_xlpm._exists,LEFT($E190,1)="+"),"+",_xlpm._exists,"*",NOT(_xlpm._exists),"")
)</f>
        <v/>
      </c>
      <c r="N190" s="33" t="str" cm="1">
        <f t="array" aca="1" ref="N19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($E190=CLASSIFICATION[[Keyword Aggr]:[Keyword Aggr]])*($D190=CLASSIFICATION[[Functional Scope Aggr]:[Functional Scope Aggr]])),
_xlpm._platform_keywords, _xlfn.TEXTSPLIT(SUBSTITUTE(SUBSTITUTE(VLOOKUP($D190,_xlpm._platform_range,3,FALSE),"+"&amp;CHAR(34),"+"),CHAR(34),""),", "),
_xlpm._exists, SUMPRODUCT(--ISNUMBER(MATCH(_xlpm._platform_keywords,_xlpm._original_keywords,0)))&gt;0,
_xlfn.IFS(AND(_xlpm._exists,LEFT($E190,1)="+"),"+",_xlpm._exists,"*",NOT(_xlpm._exists),"")
)</f>
        <v/>
      </c>
      <c r="O190" s="33" t="str" cm="1">
        <f t="array" aca="1" ref="O19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($E190=CLASSIFICATION[[Keyword Aggr]:[Keyword Aggr]])*($D190=CLASSIFICATION[[Functional Scope Aggr]:[Functional Scope Aggr]])),
_xlpm._platform_keywords, _xlfn.TEXTSPLIT(SUBSTITUTE(SUBSTITUTE(VLOOKUP($D190,_xlpm._platform_range,3,FALSE),"+"&amp;CHAR(34),"+"),CHAR(34),""),", "),
_xlpm._exists, SUMPRODUCT(--ISNUMBER(MATCH(_xlpm._platform_keywords,_xlpm._original_keywords,0)))&gt;0,
_xlfn.IFS(AND(_xlpm._exists,LEFT($E190,1)="+"),"+",_xlpm._exists,"*",NOT(_xlpm._exists),"")
)</f>
        <v/>
      </c>
      <c r="Q190" s="33" t="str" cm="1">
        <f t="array" aca="1" ref="Q19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($E190=CLASSIFICATION[[Keyword Aggr]:[Keyword Aggr]])*($D190=CLASSIFICATION[[Functional Scope Aggr]:[Functional Scope Aggr]])),
_xlpm._platform_keywords, _xlfn.TEXTSPLIT(SUBSTITUTE(SUBSTITUTE(VLOOKUP($D190,_xlpm._platform_range,3,FALSE),"+"&amp;CHAR(34),"+"),CHAR(34),""),", "),
_xlpm._exists, SUMPRODUCT(--ISNUMBER(MATCH(_xlpm._platform_keywords,_xlpm._original_keywords,0)))&gt;0,
_xlfn.IFS(_xlpm._exists,1,NOT(_xlpm._exists),"")
)</f>
        <v/>
      </c>
      <c r="R190" s="33" cm="1">
        <f t="array" aca="1" ref="R19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($E190=CLASSIFICATION[[Keyword Aggr]:[Keyword Aggr]])*($D190=CLASSIFICATION[[Functional Scope Aggr]:[Functional Scope Aggr]])),
_xlpm._platform_keywords, _xlfn.TEXTSPLIT(SUBSTITUTE(SUBSTITUTE(VLOOKUP($D190,_xlpm._platform_range,3,FALSE),"+"&amp;CHAR(34),"+"),CHAR(34),""),", "),
_xlpm._exists, SUMPRODUCT(--ISNUMBER(MATCH(_xlpm._platform_keywords,_xlpm._original_keywords,0)))&gt;0,
_xlfn.IFS(_xlpm._exists,1,NOT(_xlpm._exists),"")
)</f>
        <v>1</v>
      </c>
      <c r="S190" s="33" cm="1">
        <f t="array" aca="1" ref="S19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($E190=CLASSIFICATION[[Keyword Aggr]:[Keyword Aggr]])*($D190=CLASSIFICATION[[Functional Scope Aggr]:[Functional Scope Aggr]])),
_xlpm._platform_keywords, _xlfn.TEXTSPLIT(SUBSTITUTE(SUBSTITUTE(VLOOKUP($D190,_xlpm._platform_range,3,FALSE),"+"&amp;CHAR(34),"+"),CHAR(34),""),", "),
_xlpm._exists, SUMPRODUCT(--ISNUMBER(MATCH(_xlpm._platform_keywords,_xlpm._original_keywords,0)))&gt;0,
_xlfn.IFS(_xlpm._exists,1,NOT(_xlpm._exists),"")
)</f>
        <v>1</v>
      </c>
      <c r="T190" s="33" t="str" cm="1">
        <f t="array" aca="1" ref="T19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($E190=CLASSIFICATION[[Keyword Aggr]:[Keyword Aggr]])*($D190=CLASSIFICATION[[Functional Scope Aggr]:[Functional Scope Aggr]])),
_xlpm._platform_keywords, _xlfn.TEXTSPLIT(SUBSTITUTE(SUBSTITUTE(VLOOKUP($D190,_xlpm._platform_range,3,FALSE),"+"&amp;CHAR(34),"+"),CHAR(34),""),", "),
_xlpm._exists, SUMPRODUCT(--ISNUMBER(MATCH(_xlpm._platform_keywords,_xlpm._original_keywords,0)))&gt;0,
_xlfn.IFS(_xlpm._exists,1,NOT(_xlpm._exists),"")
)</f>
        <v/>
      </c>
      <c r="U190" s="33" t="str" cm="1">
        <f t="array" aca="1" ref="U19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($E190=CLASSIFICATION[[Keyword Aggr]:[Keyword Aggr]])*($D190=CLASSIFICATION[[Functional Scope Aggr]:[Functional Scope Aggr]])),
_xlpm._platform_keywords, _xlfn.TEXTSPLIT(SUBSTITUTE(SUBSTITUTE(VLOOKUP($D190,_xlpm._platform_range,3,FALSE),"+"&amp;CHAR(34),"+"),CHAR(34),""),", "),
_xlpm._exists, SUMPRODUCT(--ISNUMBER(MATCH(_xlpm._platform_keywords,_xlpm._original_keywords,0)))&gt;0,
_xlfn.IFS(_xlpm._exists,1,NOT(_xlpm._exists),"")
)</f>
        <v/>
      </c>
      <c r="V190" s="33" t="str" cm="1">
        <f t="array" aca="1" ref="V19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($E190=CLASSIFICATION[[Keyword Aggr]:[Keyword Aggr]])*($D190=CLASSIFICATION[[Functional Scope Aggr]:[Functional Scope Aggr]])),
_xlpm._platform_keywords, _xlfn.TEXTSPLIT(SUBSTITUTE(SUBSTITUTE(VLOOKUP($D190,_xlpm._platform_range,3,FALSE),"+"&amp;CHAR(34),"+"),CHAR(34),""),", "),
_xlpm._exists, SUMPRODUCT(--ISNUMBER(MATCH(_xlpm._platform_keywords,_xlpm._original_keywords,0)))&gt;0,
_xlfn.IFS(_xlpm._exists,1,NOT(_xlpm._exists),"")
)</f>
        <v/>
      </c>
      <c r="X190" s="33" t="str">
        <f t="shared" si="23"/>
        <v/>
      </c>
      <c r="Y190" s="33" t="str">
        <f t="shared" si="24"/>
        <v/>
      </c>
      <c r="Z190" s="33" t="str">
        <f t="shared" si="25"/>
        <v/>
      </c>
      <c r="AA190" s="33" t="str">
        <f t="shared" si="26"/>
        <v/>
      </c>
      <c r="AB190" s="33" t="str">
        <f t="shared" si="27"/>
        <v/>
      </c>
      <c r="AC190" s="33" t="str">
        <f t="shared" si="28"/>
        <v/>
      </c>
    </row>
    <row r="191" spans="1:29" x14ac:dyDescent="0.25">
      <c r="A191" s="19" t="str">
        <v>Implementation,Client module installation,HTTPS Server</v>
      </c>
      <c r="B191" t="s">
        <v>377</v>
      </c>
      <c r="C191" s="19" t="str" cm="1">
        <f t="array" ref="C191:E191">_xlfn.TEXTSPLIT(A191,",")</f>
        <v>Implementation</v>
      </c>
      <c r="D191" s="19" t="str">
        <v>Client module installation</v>
      </c>
      <c r="E191" s="19" t="str">
        <v>HTTPS Server</v>
      </c>
      <c r="F191" s="36" t="str" cm="1">
        <f t="array" ref="F191">_xlfn.TEXTJOIN(",",TRUE,_xlfn._xlws.FILTER(CLASSIFICATION[Keyword], ($E191=CLASSIFICATION[Keyword Aggr])*($D191=CLASSIFICATION[Functional Scope Aggr])))</f>
        <v>HTTPS Server</v>
      </c>
      <c r="G191" s="32" t="str">
        <f t="shared" si="20"/>
        <v/>
      </c>
      <c r="H191" s="32" t="str">
        <f t="shared" si="21"/>
        <v/>
      </c>
      <c r="I191" s="32" t="str">
        <f t="shared" si="22"/>
        <v>HTTPS Server</v>
      </c>
      <c r="J191" s="33" t="str" cm="1">
        <f t="array" aca="1" ref="J19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($E191=CLASSIFICATION[[Keyword Aggr]:[Keyword Aggr]])*($D191=CLASSIFICATION[[Functional Scope Aggr]:[Functional Scope Aggr]])),
_xlpm._platform_keywords, _xlfn.TEXTSPLIT(SUBSTITUTE(SUBSTITUTE(VLOOKUP($D191,_xlpm._platform_range,3,FALSE),"+"&amp;CHAR(34),"+"),CHAR(34),""),", "),
_xlpm._exists, SUMPRODUCT(--ISNUMBER(MATCH(_xlpm._platform_keywords,_xlpm._original_keywords,0)))&gt;0,
_xlfn.IFS(AND(_xlpm._exists,LEFT($E191,1)="+"),"+",_xlpm._exists,"*",NOT(_xlpm._exists),"")
)</f>
        <v>*</v>
      </c>
      <c r="K191" s="33" t="str" cm="1">
        <f t="array" aca="1" ref="K19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($E191=CLASSIFICATION[[Keyword Aggr]:[Keyword Aggr]])*($D191=CLASSIFICATION[[Functional Scope Aggr]:[Functional Scope Aggr]])),
_xlpm._platform_keywords, _xlfn.TEXTSPLIT(SUBSTITUTE(SUBSTITUTE(VLOOKUP($D191,_xlpm._platform_range,3,FALSE),"+"&amp;CHAR(34),"+"),CHAR(34),""),", "),
_xlpm._exists, SUMPRODUCT(--ISNUMBER(MATCH(_xlpm._platform_keywords,_xlpm._original_keywords,0)))&gt;0,
_xlfn.IFS(AND(_xlpm._exists,LEFT($E191,1)="+"),"+",_xlpm._exists,"*",NOT(_xlpm._exists),"")
)</f>
        <v/>
      </c>
      <c r="L191" s="33" t="str" cm="1">
        <f t="array" aca="1" ref="L19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($E191=CLASSIFICATION[[Keyword Aggr]:[Keyword Aggr]])*($D191=CLASSIFICATION[[Functional Scope Aggr]:[Functional Scope Aggr]])),
_xlpm._platform_keywords, _xlfn.TEXTSPLIT(SUBSTITUTE(SUBSTITUTE(VLOOKUP($D191,_xlpm._platform_range,3,FALSE),"+"&amp;CHAR(34),"+"),CHAR(34),""),", "),
_xlpm._exists, SUMPRODUCT(--ISNUMBER(MATCH(_xlpm._platform_keywords,_xlpm._original_keywords,0)))&gt;0,
_xlfn.IFS(AND(_xlpm._exists,LEFT($E191,1)="+"),"+",_xlpm._exists,"*",NOT(_xlpm._exists),"")
)</f>
        <v/>
      </c>
      <c r="M191" s="33" t="str" cm="1">
        <f t="array" aca="1" ref="M19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($E191=CLASSIFICATION[[Keyword Aggr]:[Keyword Aggr]])*($D191=CLASSIFICATION[[Functional Scope Aggr]:[Functional Scope Aggr]])),
_xlpm._platform_keywords, _xlfn.TEXTSPLIT(SUBSTITUTE(SUBSTITUTE(VLOOKUP($D191,_xlpm._platform_range,3,FALSE),"+"&amp;CHAR(34),"+"),CHAR(34),""),", "),
_xlpm._exists, SUMPRODUCT(--ISNUMBER(MATCH(_xlpm._platform_keywords,_xlpm._original_keywords,0)))&gt;0,
_xlfn.IFS(AND(_xlpm._exists,LEFT($E191,1)="+"),"+",_xlpm._exists,"*",NOT(_xlpm._exists),"")
)</f>
        <v/>
      </c>
      <c r="N191" s="33" t="str" cm="1">
        <f t="array" aca="1" ref="N19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($E191=CLASSIFICATION[[Keyword Aggr]:[Keyword Aggr]])*($D191=CLASSIFICATION[[Functional Scope Aggr]:[Functional Scope Aggr]])),
_xlpm._platform_keywords, _xlfn.TEXTSPLIT(SUBSTITUTE(SUBSTITUTE(VLOOKUP($D191,_xlpm._platform_range,3,FALSE),"+"&amp;CHAR(34),"+"),CHAR(34),""),", "),
_xlpm._exists, SUMPRODUCT(--ISNUMBER(MATCH(_xlpm._platform_keywords,_xlpm._original_keywords,0)))&gt;0,
_xlfn.IFS(AND(_xlpm._exists,LEFT($E191,1)="+"),"+",_xlpm._exists,"*",NOT(_xlpm._exists),"")
)</f>
        <v/>
      </c>
      <c r="O191" s="33" t="str" cm="1">
        <f t="array" aca="1" ref="O19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($E191=CLASSIFICATION[[Keyword Aggr]:[Keyword Aggr]])*($D191=CLASSIFICATION[[Functional Scope Aggr]:[Functional Scope Aggr]])),
_xlpm._platform_keywords, _xlfn.TEXTSPLIT(SUBSTITUTE(SUBSTITUTE(VLOOKUP($D191,_xlpm._platform_range,3,FALSE),"+"&amp;CHAR(34),"+"),CHAR(34),""),", "),
_xlpm._exists, SUMPRODUCT(--ISNUMBER(MATCH(_xlpm._platform_keywords,_xlpm._original_keywords,0)))&gt;0,
_xlfn.IFS(AND(_xlpm._exists,LEFT($E191,1)="+"),"+",_xlpm._exists,"*",NOT(_xlpm._exists),"")
)</f>
        <v/>
      </c>
      <c r="Q191" s="33" cm="1">
        <f t="array" aca="1" ref="Q19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($E191=CLASSIFICATION[[Keyword Aggr]:[Keyword Aggr]])*($D191=CLASSIFICATION[[Functional Scope Aggr]:[Functional Scope Aggr]])),
_xlpm._platform_keywords, _xlfn.TEXTSPLIT(SUBSTITUTE(SUBSTITUTE(VLOOKUP($D191,_xlpm._platform_range,3,FALSE),"+"&amp;CHAR(34),"+"),CHAR(34),""),", "),
_xlpm._exists, SUMPRODUCT(--ISNUMBER(MATCH(_xlpm._platform_keywords,_xlpm._original_keywords,0)))&gt;0,
_xlfn.IFS(_xlpm._exists,1,NOT(_xlpm._exists),"")
)</f>
        <v>1</v>
      </c>
      <c r="R191" s="33" t="str" cm="1">
        <f t="array" aca="1" ref="R19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($E191=CLASSIFICATION[[Keyword Aggr]:[Keyword Aggr]])*($D191=CLASSIFICATION[[Functional Scope Aggr]:[Functional Scope Aggr]])),
_xlpm._platform_keywords, _xlfn.TEXTSPLIT(SUBSTITUTE(SUBSTITUTE(VLOOKUP($D191,_xlpm._platform_range,3,FALSE),"+"&amp;CHAR(34),"+"),CHAR(34),""),", "),
_xlpm._exists, SUMPRODUCT(--ISNUMBER(MATCH(_xlpm._platform_keywords,_xlpm._original_keywords,0)))&gt;0,
_xlfn.IFS(_xlpm._exists,1,NOT(_xlpm._exists),"")
)</f>
        <v/>
      </c>
      <c r="S191" s="33" t="str" cm="1">
        <f t="array" aca="1" ref="S19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($E191=CLASSIFICATION[[Keyword Aggr]:[Keyword Aggr]])*($D191=CLASSIFICATION[[Functional Scope Aggr]:[Functional Scope Aggr]])),
_xlpm._platform_keywords, _xlfn.TEXTSPLIT(SUBSTITUTE(SUBSTITUTE(VLOOKUP($D191,_xlpm._platform_range,3,FALSE),"+"&amp;CHAR(34),"+"),CHAR(34),""),", "),
_xlpm._exists, SUMPRODUCT(--ISNUMBER(MATCH(_xlpm._platform_keywords,_xlpm._original_keywords,0)))&gt;0,
_xlfn.IFS(_xlpm._exists,1,NOT(_xlpm._exists),"")
)</f>
        <v/>
      </c>
      <c r="T191" s="33" t="str" cm="1">
        <f t="array" aca="1" ref="T19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($E191=CLASSIFICATION[[Keyword Aggr]:[Keyword Aggr]])*($D191=CLASSIFICATION[[Functional Scope Aggr]:[Functional Scope Aggr]])),
_xlpm._platform_keywords, _xlfn.TEXTSPLIT(SUBSTITUTE(SUBSTITUTE(VLOOKUP($D191,_xlpm._platform_range,3,FALSE),"+"&amp;CHAR(34),"+"),CHAR(34),""),", "),
_xlpm._exists, SUMPRODUCT(--ISNUMBER(MATCH(_xlpm._platform_keywords,_xlpm._original_keywords,0)))&gt;0,
_xlfn.IFS(_xlpm._exists,1,NOT(_xlpm._exists),"")
)</f>
        <v/>
      </c>
      <c r="U191" s="33" t="str" cm="1">
        <f t="array" aca="1" ref="U19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($E191=CLASSIFICATION[[Keyword Aggr]:[Keyword Aggr]])*($D191=CLASSIFICATION[[Functional Scope Aggr]:[Functional Scope Aggr]])),
_xlpm._platform_keywords, _xlfn.TEXTSPLIT(SUBSTITUTE(SUBSTITUTE(VLOOKUP($D191,_xlpm._platform_range,3,FALSE),"+"&amp;CHAR(34),"+"),CHAR(34),""),", "),
_xlpm._exists, SUMPRODUCT(--ISNUMBER(MATCH(_xlpm._platform_keywords,_xlpm._original_keywords,0)))&gt;0,
_xlfn.IFS(_xlpm._exists,1,NOT(_xlpm._exists),"")
)</f>
        <v/>
      </c>
      <c r="V191" s="33" t="str" cm="1">
        <f t="array" aca="1" ref="V19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($E191=CLASSIFICATION[[Keyword Aggr]:[Keyword Aggr]])*($D191=CLASSIFICATION[[Functional Scope Aggr]:[Functional Scope Aggr]])),
_xlpm._platform_keywords, _xlfn.TEXTSPLIT(SUBSTITUTE(SUBSTITUTE(VLOOKUP($D191,_xlpm._platform_range,3,FALSE),"+"&amp;CHAR(34),"+"),CHAR(34),""),", "),
_xlpm._exists, SUMPRODUCT(--ISNUMBER(MATCH(_xlpm._platform_keywords,_xlpm._original_keywords,0)))&gt;0,
_xlfn.IFS(_xlpm._exists,1,NOT(_xlpm._exists),"")
)</f>
        <v/>
      </c>
      <c r="X191" s="33" t="str">
        <f t="shared" si="23"/>
        <v/>
      </c>
      <c r="Y191" s="33" t="str">
        <f t="shared" si="24"/>
        <v/>
      </c>
      <c r="Z191" s="33" t="str">
        <f t="shared" si="25"/>
        <v/>
      </c>
      <c r="AA191" s="33" t="str">
        <f t="shared" si="26"/>
        <v/>
      </c>
      <c r="AB191" s="33" t="str">
        <f t="shared" si="27"/>
        <v/>
      </c>
      <c r="AC191" s="33" t="str">
        <f t="shared" si="28"/>
        <v/>
      </c>
    </row>
    <row r="192" spans="1:29" x14ac:dyDescent="0.25">
      <c r="A192" s="19" t="str">
        <v>Implementation,Client module installation,URL Configuration</v>
      </c>
      <c r="B192" t="s">
        <v>377</v>
      </c>
      <c r="C192" s="19" t="str" cm="1">
        <f t="array" ref="C192:E192">_xlfn.TEXTSPLIT(A192,",")</f>
        <v>Implementation</v>
      </c>
      <c r="D192" s="19" t="str">
        <v>Client module installation</v>
      </c>
      <c r="E192" s="19" t="str">
        <v>URL Configuration</v>
      </c>
      <c r="F192" s="36" t="str" cm="1">
        <f t="array" ref="F192">_xlfn.TEXTJOIN(",",TRUE,_xlfn._xlws.FILTER(CLASSIFICATION[Keyword], ($E192=CLASSIFICATION[Keyword Aggr])*($D192=CLASSIFICATION[Functional Scope Aggr])))</f>
        <v>URL Configuration</v>
      </c>
      <c r="G192" s="32" t="str">
        <f t="shared" si="20"/>
        <v/>
      </c>
      <c r="H192" s="32" t="str">
        <f t="shared" si="21"/>
        <v/>
      </c>
      <c r="I192" s="32" t="str">
        <f t="shared" si="22"/>
        <v>URL Configuration</v>
      </c>
      <c r="J192" s="33" t="str" cm="1">
        <f t="array" aca="1" ref="J19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($E192=CLASSIFICATION[[Keyword Aggr]:[Keyword Aggr]])*($D192=CLASSIFICATION[[Functional Scope Aggr]:[Functional Scope Aggr]])),
_xlpm._platform_keywords, _xlfn.TEXTSPLIT(SUBSTITUTE(SUBSTITUTE(VLOOKUP($D192,_xlpm._platform_range,3,FALSE),"+"&amp;CHAR(34),"+"),CHAR(34),""),", "),
_xlpm._exists, SUMPRODUCT(--ISNUMBER(MATCH(_xlpm._platform_keywords,_xlpm._original_keywords,0)))&gt;0,
_xlfn.IFS(AND(_xlpm._exists,LEFT($E192,1)="+"),"+",_xlpm._exists,"*",NOT(_xlpm._exists),"")
)</f>
        <v/>
      </c>
      <c r="K192" s="33" t="str" cm="1">
        <f t="array" aca="1" ref="K19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($E192=CLASSIFICATION[[Keyword Aggr]:[Keyword Aggr]])*($D192=CLASSIFICATION[[Functional Scope Aggr]:[Functional Scope Aggr]])),
_xlpm._platform_keywords, _xlfn.TEXTSPLIT(SUBSTITUTE(SUBSTITUTE(VLOOKUP($D192,_xlpm._platform_range,3,FALSE),"+"&amp;CHAR(34),"+"),CHAR(34),""),", "),
_xlpm._exists, SUMPRODUCT(--ISNUMBER(MATCH(_xlpm._platform_keywords,_xlpm._original_keywords,0)))&gt;0,
_xlfn.IFS(AND(_xlpm._exists,LEFT($E192,1)="+"),"+",_xlpm._exists,"*",NOT(_xlpm._exists),"")
)</f>
        <v/>
      </c>
      <c r="L192" s="33" t="str" cm="1">
        <f t="array" aca="1" ref="L19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($E192=CLASSIFICATION[[Keyword Aggr]:[Keyword Aggr]])*($D192=CLASSIFICATION[[Functional Scope Aggr]:[Functional Scope Aggr]])),
_xlpm._platform_keywords, _xlfn.TEXTSPLIT(SUBSTITUTE(SUBSTITUTE(VLOOKUP($D192,_xlpm._platform_range,3,FALSE),"+"&amp;CHAR(34),"+"),CHAR(34),""),", "),
_xlpm._exists, SUMPRODUCT(--ISNUMBER(MATCH(_xlpm._platform_keywords,_xlpm._original_keywords,0)))&gt;0,
_xlfn.IFS(AND(_xlpm._exists,LEFT($E192,1)="+"),"+",_xlpm._exists,"*",NOT(_xlpm._exists),"")
)</f>
        <v>*</v>
      </c>
      <c r="M192" s="33" t="str" cm="1">
        <f t="array" aca="1" ref="M19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($E192=CLASSIFICATION[[Keyword Aggr]:[Keyword Aggr]])*($D192=CLASSIFICATION[[Functional Scope Aggr]:[Functional Scope Aggr]])),
_xlpm._platform_keywords, _xlfn.TEXTSPLIT(SUBSTITUTE(SUBSTITUTE(VLOOKUP($D192,_xlpm._platform_range,3,FALSE),"+"&amp;CHAR(34),"+"),CHAR(34),""),", "),
_xlpm._exists, SUMPRODUCT(--ISNUMBER(MATCH(_xlpm._platform_keywords,_xlpm._original_keywords,0)))&gt;0,
_xlfn.IFS(AND(_xlpm._exists,LEFT($E192,1)="+"),"+",_xlpm._exists,"*",NOT(_xlpm._exists),"")
)</f>
        <v/>
      </c>
      <c r="N192" s="33" t="str" cm="1">
        <f t="array" aca="1" ref="N19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($E192=CLASSIFICATION[[Keyword Aggr]:[Keyword Aggr]])*($D192=CLASSIFICATION[[Functional Scope Aggr]:[Functional Scope Aggr]])),
_xlpm._platform_keywords, _xlfn.TEXTSPLIT(SUBSTITUTE(SUBSTITUTE(VLOOKUP($D192,_xlpm._platform_range,3,FALSE),"+"&amp;CHAR(34),"+"),CHAR(34),""),", "),
_xlpm._exists, SUMPRODUCT(--ISNUMBER(MATCH(_xlpm._platform_keywords,_xlpm._original_keywords,0)))&gt;0,
_xlfn.IFS(AND(_xlpm._exists,LEFT($E192,1)="+"),"+",_xlpm._exists,"*",NOT(_xlpm._exists),"")
)</f>
        <v/>
      </c>
      <c r="O192" s="33" t="str" cm="1">
        <f t="array" aca="1" ref="O19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($E192=CLASSIFICATION[[Keyword Aggr]:[Keyword Aggr]])*($D192=CLASSIFICATION[[Functional Scope Aggr]:[Functional Scope Aggr]])),
_xlpm._platform_keywords, _xlfn.TEXTSPLIT(SUBSTITUTE(SUBSTITUTE(VLOOKUP($D192,_xlpm._platform_range,3,FALSE),"+"&amp;CHAR(34),"+"),CHAR(34),""),", "),
_xlpm._exists, SUMPRODUCT(--ISNUMBER(MATCH(_xlpm._platform_keywords,_xlpm._original_keywords,0)))&gt;0,
_xlfn.IFS(AND(_xlpm._exists,LEFT($E192,1)="+"),"+",_xlpm._exists,"*",NOT(_xlpm._exists),"")
)</f>
        <v/>
      </c>
      <c r="Q192" s="33" t="str" cm="1">
        <f t="array" aca="1" ref="Q19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($E192=CLASSIFICATION[[Keyword Aggr]:[Keyword Aggr]])*($D192=CLASSIFICATION[[Functional Scope Aggr]:[Functional Scope Aggr]])),
_xlpm._platform_keywords, _xlfn.TEXTSPLIT(SUBSTITUTE(SUBSTITUTE(VLOOKUP($D192,_xlpm._platform_range,3,FALSE),"+"&amp;CHAR(34),"+"),CHAR(34),""),", "),
_xlpm._exists, SUMPRODUCT(--ISNUMBER(MATCH(_xlpm._platform_keywords,_xlpm._original_keywords,0)))&gt;0,
_xlfn.IFS(_xlpm._exists,1,NOT(_xlpm._exists),"")
)</f>
        <v/>
      </c>
      <c r="R192" s="33" t="str" cm="1">
        <f t="array" aca="1" ref="R19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($E192=CLASSIFICATION[[Keyword Aggr]:[Keyword Aggr]])*($D192=CLASSIFICATION[[Functional Scope Aggr]:[Functional Scope Aggr]])),
_xlpm._platform_keywords, _xlfn.TEXTSPLIT(SUBSTITUTE(SUBSTITUTE(VLOOKUP($D192,_xlpm._platform_range,3,FALSE),"+"&amp;CHAR(34),"+"),CHAR(34),""),", "),
_xlpm._exists, SUMPRODUCT(--ISNUMBER(MATCH(_xlpm._platform_keywords,_xlpm._original_keywords,0)))&gt;0,
_xlfn.IFS(_xlpm._exists,1,NOT(_xlpm._exists),"")
)</f>
        <v/>
      </c>
      <c r="S192" s="33" cm="1">
        <f t="array" aca="1" ref="S19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($E192=CLASSIFICATION[[Keyword Aggr]:[Keyword Aggr]])*($D192=CLASSIFICATION[[Functional Scope Aggr]:[Functional Scope Aggr]])),
_xlpm._platform_keywords, _xlfn.TEXTSPLIT(SUBSTITUTE(SUBSTITUTE(VLOOKUP($D192,_xlpm._platform_range,3,FALSE),"+"&amp;CHAR(34),"+"),CHAR(34),""),", "),
_xlpm._exists, SUMPRODUCT(--ISNUMBER(MATCH(_xlpm._platform_keywords,_xlpm._original_keywords,0)))&gt;0,
_xlfn.IFS(_xlpm._exists,1,NOT(_xlpm._exists),"")
)</f>
        <v>1</v>
      </c>
      <c r="T192" s="33" t="str" cm="1">
        <f t="array" aca="1" ref="T19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($E192=CLASSIFICATION[[Keyword Aggr]:[Keyword Aggr]])*($D192=CLASSIFICATION[[Functional Scope Aggr]:[Functional Scope Aggr]])),
_xlpm._platform_keywords, _xlfn.TEXTSPLIT(SUBSTITUTE(SUBSTITUTE(VLOOKUP($D192,_xlpm._platform_range,3,FALSE),"+"&amp;CHAR(34),"+"),CHAR(34),""),", "),
_xlpm._exists, SUMPRODUCT(--ISNUMBER(MATCH(_xlpm._platform_keywords,_xlpm._original_keywords,0)))&gt;0,
_xlfn.IFS(_xlpm._exists,1,NOT(_xlpm._exists),"")
)</f>
        <v/>
      </c>
      <c r="U192" s="33" t="str" cm="1">
        <f t="array" aca="1" ref="U19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($E192=CLASSIFICATION[[Keyword Aggr]:[Keyword Aggr]])*($D192=CLASSIFICATION[[Functional Scope Aggr]:[Functional Scope Aggr]])),
_xlpm._platform_keywords, _xlfn.TEXTSPLIT(SUBSTITUTE(SUBSTITUTE(VLOOKUP($D192,_xlpm._platform_range,3,FALSE),"+"&amp;CHAR(34),"+"),CHAR(34),""),", "),
_xlpm._exists, SUMPRODUCT(--ISNUMBER(MATCH(_xlpm._platform_keywords,_xlpm._original_keywords,0)))&gt;0,
_xlfn.IFS(_xlpm._exists,1,NOT(_xlpm._exists),"")
)</f>
        <v/>
      </c>
      <c r="V192" s="33" t="str" cm="1">
        <f t="array" aca="1" ref="V19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($E192=CLASSIFICATION[[Keyword Aggr]:[Keyword Aggr]])*($D192=CLASSIFICATION[[Functional Scope Aggr]:[Functional Scope Aggr]])),
_xlpm._platform_keywords, _xlfn.TEXTSPLIT(SUBSTITUTE(SUBSTITUTE(VLOOKUP($D192,_xlpm._platform_range,3,FALSE),"+"&amp;CHAR(34),"+"),CHAR(34),""),", "),
_xlpm._exists, SUMPRODUCT(--ISNUMBER(MATCH(_xlpm._platform_keywords,_xlpm._original_keywords,0)))&gt;0,
_xlfn.IFS(_xlpm._exists,1,NOT(_xlpm._exists),"")
)</f>
        <v/>
      </c>
      <c r="X192" s="33" t="str">
        <f t="shared" si="23"/>
        <v/>
      </c>
      <c r="Y192" s="33" t="str">
        <f t="shared" si="24"/>
        <v/>
      </c>
      <c r="Z192" s="33" t="str">
        <f t="shared" si="25"/>
        <v/>
      </c>
      <c r="AA192" s="33" t="str">
        <f t="shared" si="26"/>
        <v/>
      </c>
      <c r="AB192" s="33" t="str">
        <f t="shared" si="27"/>
        <v/>
      </c>
      <c r="AC192" s="33" t="str">
        <f t="shared" si="28"/>
        <v/>
      </c>
    </row>
    <row r="193" spans="1:29" x14ac:dyDescent="0.25">
      <c r="A193" s="19" t="str">
        <v>Implementation,Client module installation,Web Services</v>
      </c>
      <c r="B193" t="s">
        <v>377</v>
      </c>
      <c r="C193" s="19" t="str" cm="1">
        <f t="array" ref="C193:E193">_xlfn.TEXTSPLIT(A193,",")</f>
        <v>Implementation</v>
      </c>
      <c r="D193" s="19" t="str">
        <v>Client module installation</v>
      </c>
      <c r="E193" s="19" t="str">
        <v>Web Services</v>
      </c>
      <c r="F193" s="36" t="str" cm="1">
        <f t="array" ref="F193">_xlfn.TEXTJOIN(",",TRUE,_xlfn._xlws.FILTER(CLASSIFICATION[Keyword], ($E193=CLASSIFICATION[Keyword Aggr])*($D193=CLASSIFICATION[Functional Scope Aggr])))</f>
        <v>Web Services</v>
      </c>
      <c r="G193" s="32" t="str">
        <f t="shared" si="20"/>
        <v/>
      </c>
      <c r="H193" s="32" t="str">
        <f t="shared" si="21"/>
        <v/>
      </c>
      <c r="I193" s="32" t="str">
        <f t="shared" si="22"/>
        <v>Web Services</v>
      </c>
      <c r="J193" s="33" t="str" cm="1">
        <f t="array" aca="1" ref="J19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($E193=CLASSIFICATION[[Keyword Aggr]:[Keyword Aggr]])*($D193=CLASSIFICATION[[Functional Scope Aggr]:[Functional Scope Aggr]])),
_xlpm._platform_keywords, _xlfn.TEXTSPLIT(SUBSTITUTE(SUBSTITUTE(VLOOKUP($D193,_xlpm._platform_range,3,FALSE),"+"&amp;CHAR(34),"+"),CHAR(34),""),", "),
_xlpm._exists, SUMPRODUCT(--ISNUMBER(MATCH(_xlpm._platform_keywords,_xlpm._original_keywords,0)))&gt;0,
_xlfn.IFS(AND(_xlpm._exists,LEFT($E193,1)="+"),"+",_xlpm._exists,"*",NOT(_xlpm._exists),"")
)</f>
        <v/>
      </c>
      <c r="K193" s="33" t="str" cm="1">
        <f t="array" aca="1" ref="K19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($E193=CLASSIFICATION[[Keyword Aggr]:[Keyword Aggr]])*($D193=CLASSIFICATION[[Functional Scope Aggr]:[Functional Scope Aggr]])),
_xlpm._platform_keywords, _xlfn.TEXTSPLIT(SUBSTITUTE(SUBSTITUTE(VLOOKUP($D193,_xlpm._platform_range,3,FALSE),"+"&amp;CHAR(34),"+"),CHAR(34),""),", "),
_xlpm._exists, SUMPRODUCT(--ISNUMBER(MATCH(_xlpm._platform_keywords,_xlpm._original_keywords,0)))&gt;0,
_xlfn.IFS(AND(_xlpm._exists,LEFT($E193,1)="+"),"+",_xlpm._exists,"*",NOT(_xlpm._exists),"")
)</f>
        <v/>
      </c>
      <c r="L193" s="33" t="str" cm="1">
        <f t="array" aca="1" ref="L19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($E193=CLASSIFICATION[[Keyword Aggr]:[Keyword Aggr]])*($D193=CLASSIFICATION[[Functional Scope Aggr]:[Functional Scope Aggr]])),
_xlpm._platform_keywords, _xlfn.TEXTSPLIT(SUBSTITUTE(SUBSTITUTE(VLOOKUP($D193,_xlpm._platform_range,3,FALSE),"+"&amp;CHAR(34),"+"),CHAR(34),""),", "),
_xlpm._exists, SUMPRODUCT(--ISNUMBER(MATCH(_xlpm._platform_keywords,_xlpm._original_keywords,0)))&gt;0,
_xlfn.IFS(AND(_xlpm._exists,LEFT($E193,1)="+"),"+",_xlpm._exists,"*",NOT(_xlpm._exists),"")
)</f>
        <v/>
      </c>
      <c r="M193" s="33" t="str" cm="1">
        <f t="array" aca="1" ref="M19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($E193=CLASSIFICATION[[Keyword Aggr]:[Keyword Aggr]])*($D193=CLASSIFICATION[[Functional Scope Aggr]:[Functional Scope Aggr]])),
_xlpm._platform_keywords, _xlfn.TEXTSPLIT(SUBSTITUTE(SUBSTITUTE(VLOOKUP($D193,_xlpm._platform_range,3,FALSE),"+"&amp;CHAR(34),"+"),CHAR(34),""),", "),
_xlpm._exists, SUMPRODUCT(--ISNUMBER(MATCH(_xlpm._platform_keywords,_xlpm._original_keywords,0)))&gt;0,
_xlfn.IFS(AND(_xlpm._exists,LEFT($E193,1)="+"),"+",_xlpm._exists,"*",NOT(_xlpm._exists),"")
)</f>
        <v>*</v>
      </c>
      <c r="N193" s="33" t="str" cm="1">
        <f t="array" aca="1" ref="N19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($E193=CLASSIFICATION[[Keyword Aggr]:[Keyword Aggr]])*($D193=CLASSIFICATION[[Functional Scope Aggr]:[Functional Scope Aggr]])),
_xlpm._platform_keywords, _xlfn.TEXTSPLIT(SUBSTITUTE(SUBSTITUTE(VLOOKUP($D193,_xlpm._platform_range,3,FALSE),"+"&amp;CHAR(34),"+"),CHAR(34),""),", "),
_xlpm._exists, SUMPRODUCT(--ISNUMBER(MATCH(_xlpm._platform_keywords,_xlpm._original_keywords,0)))&gt;0,
_xlfn.IFS(AND(_xlpm._exists,LEFT($E193,1)="+"),"+",_xlpm._exists,"*",NOT(_xlpm._exists),"")
)</f>
        <v/>
      </c>
      <c r="O193" s="33" t="str" cm="1">
        <f t="array" aca="1" ref="O19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($E193=CLASSIFICATION[[Keyword Aggr]:[Keyword Aggr]])*($D193=CLASSIFICATION[[Functional Scope Aggr]:[Functional Scope Aggr]])),
_xlpm._platform_keywords, _xlfn.TEXTSPLIT(SUBSTITUTE(SUBSTITUTE(VLOOKUP($D193,_xlpm._platform_range,3,FALSE),"+"&amp;CHAR(34),"+"),CHAR(34),""),", "),
_xlpm._exists, SUMPRODUCT(--ISNUMBER(MATCH(_xlpm._platform_keywords,_xlpm._original_keywords,0)))&gt;0,
_xlfn.IFS(AND(_xlpm._exists,LEFT($E193,1)="+"),"+",_xlpm._exists,"*",NOT(_xlpm._exists),"")
)</f>
        <v/>
      </c>
      <c r="Q193" s="33" t="str" cm="1">
        <f t="array" aca="1" ref="Q19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($E193=CLASSIFICATION[[Keyword Aggr]:[Keyword Aggr]])*($D193=CLASSIFICATION[[Functional Scope Aggr]:[Functional Scope Aggr]])),
_xlpm._platform_keywords, _xlfn.TEXTSPLIT(SUBSTITUTE(SUBSTITUTE(VLOOKUP($D193,_xlpm._platform_range,3,FALSE),"+"&amp;CHAR(34),"+"),CHAR(34),""),", "),
_xlpm._exists, SUMPRODUCT(--ISNUMBER(MATCH(_xlpm._platform_keywords,_xlpm._original_keywords,0)))&gt;0,
_xlfn.IFS(_xlpm._exists,1,NOT(_xlpm._exists),"")
)</f>
        <v/>
      </c>
      <c r="R193" s="33" t="str" cm="1">
        <f t="array" aca="1" ref="R19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($E193=CLASSIFICATION[[Keyword Aggr]:[Keyword Aggr]])*($D193=CLASSIFICATION[[Functional Scope Aggr]:[Functional Scope Aggr]])),
_xlpm._platform_keywords, _xlfn.TEXTSPLIT(SUBSTITUTE(SUBSTITUTE(VLOOKUP($D193,_xlpm._platform_range,3,FALSE),"+"&amp;CHAR(34),"+"),CHAR(34),""),", "),
_xlpm._exists, SUMPRODUCT(--ISNUMBER(MATCH(_xlpm._platform_keywords,_xlpm._original_keywords,0)))&gt;0,
_xlfn.IFS(_xlpm._exists,1,NOT(_xlpm._exists),"")
)</f>
        <v/>
      </c>
      <c r="S193" s="33" t="str" cm="1">
        <f t="array" aca="1" ref="S19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($E193=CLASSIFICATION[[Keyword Aggr]:[Keyword Aggr]])*($D193=CLASSIFICATION[[Functional Scope Aggr]:[Functional Scope Aggr]])),
_xlpm._platform_keywords, _xlfn.TEXTSPLIT(SUBSTITUTE(SUBSTITUTE(VLOOKUP($D193,_xlpm._platform_range,3,FALSE),"+"&amp;CHAR(34),"+"),CHAR(34),""),", "),
_xlpm._exists, SUMPRODUCT(--ISNUMBER(MATCH(_xlpm._platform_keywords,_xlpm._original_keywords,0)))&gt;0,
_xlfn.IFS(_xlpm._exists,1,NOT(_xlpm._exists),"")
)</f>
        <v/>
      </c>
      <c r="T193" s="33" cm="1">
        <f t="array" aca="1" ref="T19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($E193=CLASSIFICATION[[Keyword Aggr]:[Keyword Aggr]])*($D193=CLASSIFICATION[[Functional Scope Aggr]:[Functional Scope Aggr]])),
_xlpm._platform_keywords, _xlfn.TEXTSPLIT(SUBSTITUTE(SUBSTITUTE(VLOOKUP($D193,_xlpm._platform_range,3,FALSE),"+"&amp;CHAR(34),"+"),CHAR(34),""),", "),
_xlpm._exists, SUMPRODUCT(--ISNUMBER(MATCH(_xlpm._platform_keywords,_xlpm._original_keywords,0)))&gt;0,
_xlfn.IFS(_xlpm._exists,1,NOT(_xlpm._exists),"")
)</f>
        <v>1</v>
      </c>
      <c r="U193" s="33" t="str" cm="1">
        <f t="array" aca="1" ref="U19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($E193=CLASSIFICATION[[Keyword Aggr]:[Keyword Aggr]])*($D193=CLASSIFICATION[[Functional Scope Aggr]:[Functional Scope Aggr]])),
_xlpm._platform_keywords, _xlfn.TEXTSPLIT(SUBSTITUTE(SUBSTITUTE(VLOOKUP($D193,_xlpm._platform_range,3,FALSE),"+"&amp;CHAR(34),"+"),CHAR(34),""),", "),
_xlpm._exists, SUMPRODUCT(--ISNUMBER(MATCH(_xlpm._platform_keywords,_xlpm._original_keywords,0)))&gt;0,
_xlfn.IFS(_xlpm._exists,1,NOT(_xlpm._exists),"")
)</f>
        <v/>
      </c>
      <c r="V193" s="33" t="str" cm="1">
        <f t="array" aca="1" ref="V19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($E193=CLASSIFICATION[[Keyword Aggr]:[Keyword Aggr]])*($D193=CLASSIFICATION[[Functional Scope Aggr]:[Functional Scope Aggr]])),
_xlpm._platform_keywords, _xlfn.TEXTSPLIT(SUBSTITUTE(SUBSTITUTE(VLOOKUP($D193,_xlpm._platform_range,3,FALSE),"+"&amp;CHAR(34),"+"),CHAR(34),""),", "),
_xlpm._exists, SUMPRODUCT(--ISNUMBER(MATCH(_xlpm._platform_keywords,_xlpm._original_keywords,0)))&gt;0,
_xlfn.IFS(_xlpm._exists,1,NOT(_xlpm._exists),"")
)</f>
        <v/>
      </c>
      <c r="X193" s="33" t="str">
        <f t="shared" si="23"/>
        <v/>
      </c>
      <c r="Y193" s="33" t="str">
        <f t="shared" si="24"/>
        <v/>
      </c>
      <c r="Z193" s="33" t="str">
        <f t="shared" si="25"/>
        <v/>
      </c>
      <c r="AA193" s="33" t="str">
        <f t="shared" si="26"/>
        <v/>
      </c>
      <c r="AB193" s="33" t="str">
        <f t="shared" si="27"/>
        <v/>
      </c>
      <c r="AC193" s="33" t="str">
        <f t="shared" si="28"/>
        <v/>
      </c>
    </row>
    <row r="194" spans="1:29" x14ac:dyDescent="0.25">
      <c r="A194" s="19" t="str">
        <v>Implementation,Deployment,+App Gallery</v>
      </c>
      <c r="B194" t="s">
        <v>377</v>
      </c>
      <c r="C194" s="19" t="str" cm="1">
        <f t="array" ref="C194:E194">_xlfn.TEXTSPLIT(A194,",")</f>
        <v>Implementation</v>
      </c>
      <c r="D194" s="19" t="str">
        <v>Deployment</v>
      </c>
      <c r="E194" s="19" t="str">
        <v>+App Gallery</v>
      </c>
      <c r="F194" s="36" t="str" cm="1">
        <f t="array" ref="F194">_xlfn.TEXTJOIN(",",TRUE,_xlfn._xlws.FILTER(CLASSIFICATION[Keyword], ($E194=CLASSIFICATION[Keyword Aggr])*($D194=CLASSIFICATION[Functional Scope Aggr])))</f>
        <v>+App Gallery</v>
      </c>
      <c r="G194" s="32" t="str">
        <f t="shared" si="20"/>
        <v/>
      </c>
      <c r="H194" s="32" t="str">
        <f t="shared" si="21"/>
        <v>Deployment</v>
      </c>
      <c r="I194" s="32" t="str">
        <f t="shared" si="22"/>
        <v>+App Gallery</v>
      </c>
      <c r="J194" s="33" t="str" cm="1">
        <f t="array" aca="1" ref="J19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($E194=CLASSIFICATION[[Keyword Aggr]:[Keyword Aggr]])*($D194=CLASSIFICATION[[Functional Scope Aggr]:[Functional Scope Aggr]])),
_xlpm._platform_keywords, _xlfn.TEXTSPLIT(SUBSTITUTE(SUBSTITUTE(VLOOKUP($D194,_xlpm._platform_range,3,FALSE),"+"&amp;CHAR(34),"+"),CHAR(34),""),", "),
_xlpm._exists, SUMPRODUCT(--ISNUMBER(MATCH(_xlpm._platform_keywords,_xlpm._original_keywords,0)))&gt;0,
_xlfn.IFS(AND(_xlpm._exists,LEFT($E194,1)="+"),"+",_xlpm._exists,"*",NOT(_xlpm._exists),"")
)</f>
        <v/>
      </c>
      <c r="K194" s="33" t="str" cm="1">
        <f t="array" aca="1" ref="K19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($E194=CLASSIFICATION[[Keyword Aggr]:[Keyword Aggr]])*($D194=CLASSIFICATION[[Functional Scope Aggr]:[Functional Scope Aggr]])),
_xlpm._platform_keywords, _xlfn.TEXTSPLIT(SUBSTITUTE(SUBSTITUTE(VLOOKUP($D194,_xlpm._platform_range,3,FALSE),"+"&amp;CHAR(34),"+"),CHAR(34),""),", "),
_xlpm._exists, SUMPRODUCT(--ISNUMBER(MATCH(_xlpm._platform_keywords,_xlpm._original_keywords,0)))&gt;0,
_xlfn.IFS(AND(_xlpm._exists,LEFT($E194,1)="+"),"+",_xlpm._exists,"*",NOT(_xlpm._exists),"")
)</f>
        <v/>
      </c>
      <c r="L194" s="33" t="str" cm="1">
        <f t="array" aca="1" ref="L19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($E194=CLASSIFICATION[[Keyword Aggr]:[Keyword Aggr]])*($D194=CLASSIFICATION[[Functional Scope Aggr]:[Functional Scope Aggr]])),
_xlpm._platform_keywords, _xlfn.TEXTSPLIT(SUBSTITUTE(SUBSTITUTE(VLOOKUP($D194,_xlpm._platform_range,3,FALSE),"+"&amp;CHAR(34),"+"),CHAR(34),""),", "),
_xlpm._exists, SUMPRODUCT(--ISNUMBER(MATCH(_xlpm._platform_keywords,_xlpm._original_keywords,0)))&gt;0,
_xlfn.IFS(AND(_xlpm._exists,LEFT($E194,1)="+"),"+",_xlpm._exists,"*",NOT(_xlpm._exists),"")
)</f>
        <v/>
      </c>
      <c r="M194" s="33" t="str" cm="1">
        <f t="array" aca="1" ref="M19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($E194=CLASSIFICATION[[Keyword Aggr]:[Keyword Aggr]])*($D194=CLASSIFICATION[[Functional Scope Aggr]:[Functional Scope Aggr]])),
_xlpm._platform_keywords, _xlfn.TEXTSPLIT(SUBSTITUTE(SUBSTITUTE(VLOOKUP($D194,_xlpm._platform_range,3,FALSE),"+"&amp;CHAR(34),"+"),CHAR(34),""),", "),
_xlpm._exists, SUMPRODUCT(--ISNUMBER(MATCH(_xlpm._platform_keywords,_xlpm._original_keywords,0)))&gt;0,
_xlfn.IFS(AND(_xlpm._exists,LEFT($E194,1)="+"),"+",_xlpm._exists,"*",NOT(_xlpm._exists),"")
)</f>
        <v/>
      </c>
      <c r="N194" s="33" t="str" cm="1">
        <f t="array" aca="1" ref="N19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($E194=CLASSIFICATION[[Keyword Aggr]:[Keyword Aggr]])*($D194=CLASSIFICATION[[Functional Scope Aggr]:[Functional Scope Aggr]])),
_xlpm._platform_keywords, _xlfn.TEXTSPLIT(SUBSTITUTE(SUBSTITUTE(VLOOKUP($D194,_xlpm._platform_range,3,FALSE),"+"&amp;CHAR(34),"+"),CHAR(34),""),", "),
_xlpm._exists, SUMPRODUCT(--ISNUMBER(MATCH(_xlpm._platform_keywords,_xlpm._original_keywords,0)))&gt;0,
_xlfn.IFS(AND(_xlpm._exists,LEFT($E194,1)="+"),"+",_xlpm._exists,"*",NOT(_xlpm._exists),"")
)</f>
        <v>+</v>
      </c>
      <c r="O194" s="33" t="str" cm="1">
        <f t="array" aca="1" ref="O19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($E194=CLASSIFICATION[[Keyword Aggr]:[Keyword Aggr]])*($D194=CLASSIFICATION[[Functional Scope Aggr]:[Functional Scope Aggr]])),
_xlpm._platform_keywords, _xlfn.TEXTSPLIT(SUBSTITUTE(SUBSTITUTE(VLOOKUP($D194,_xlpm._platform_range,3,FALSE),"+"&amp;CHAR(34),"+"),CHAR(34),""),", "),
_xlpm._exists, SUMPRODUCT(--ISNUMBER(MATCH(_xlpm._platform_keywords,_xlpm._original_keywords,0)))&gt;0,
_xlfn.IFS(AND(_xlpm._exists,LEFT($E194,1)="+"),"+",_xlpm._exists,"*",NOT(_xlpm._exists),"")
)</f>
        <v/>
      </c>
      <c r="Q194" s="33" t="str" cm="1">
        <f t="array" aca="1" ref="Q19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($E194=CLASSIFICATION[[Keyword Aggr]:[Keyword Aggr]])*($D194=CLASSIFICATION[[Functional Scope Aggr]:[Functional Scope Aggr]])),
_xlpm._platform_keywords, _xlfn.TEXTSPLIT(SUBSTITUTE(SUBSTITUTE(VLOOKUP($D194,_xlpm._platform_range,3,FALSE),"+"&amp;CHAR(34),"+"),CHAR(34),""),", "),
_xlpm._exists, SUMPRODUCT(--ISNUMBER(MATCH(_xlpm._platform_keywords,_xlpm._original_keywords,0)))&gt;0,
_xlfn.IFS(_xlpm._exists,1,NOT(_xlpm._exists),"")
)</f>
        <v/>
      </c>
      <c r="R194" s="33" t="str" cm="1">
        <f t="array" aca="1" ref="R19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($E194=CLASSIFICATION[[Keyword Aggr]:[Keyword Aggr]])*($D194=CLASSIFICATION[[Functional Scope Aggr]:[Functional Scope Aggr]])),
_xlpm._platform_keywords, _xlfn.TEXTSPLIT(SUBSTITUTE(SUBSTITUTE(VLOOKUP($D194,_xlpm._platform_range,3,FALSE),"+"&amp;CHAR(34),"+"),CHAR(34),""),", "),
_xlpm._exists, SUMPRODUCT(--ISNUMBER(MATCH(_xlpm._platform_keywords,_xlpm._original_keywords,0)))&gt;0,
_xlfn.IFS(_xlpm._exists,1,NOT(_xlpm._exists),"")
)</f>
        <v/>
      </c>
      <c r="S194" s="33" t="str" cm="1">
        <f t="array" aca="1" ref="S19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($E194=CLASSIFICATION[[Keyword Aggr]:[Keyword Aggr]])*($D194=CLASSIFICATION[[Functional Scope Aggr]:[Functional Scope Aggr]])),
_xlpm._platform_keywords, _xlfn.TEXTSPLIT(SUBSTITUTE(SUBSTITUTE(VLOOKUP($D194,_xlpm._platform_range,3,FALSE),"+"&amp;CHAR(34),"+"),CHAR(34),""),", "),
_xlpm._exists, SUMPRODUCT(--ISNUMBER(MATCH(_xlpm._platform_keywords,_xlpm._original_keywords,0)))&gt;0,
_xlfn.IFS(_xlpm._exists,1,NOT(_xlpm._exists),"")
)</f>
        <v/>
      </c>
      <c r="T194" s="33" t="str" cm="1">
        <f t="array" aca="1" ref="T19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($E194=CLASSIFICATION[[Keyword Aggr]:[Keyword Aggr]])*($D194=CLASSIFICATION[[Functional Scope Aggr]:[Functional Scope Aggr]])),
_xlpm._platform_keywords, _xlfn.TEXTSPLIT(SUBSTITUTE(SUBSTITUTE(VLOOKUP($D194,_xlpm._platform_range,3,FALSE),"+"&amp;CHAR(34),"+"),CHAR(34),""),", "),
_xlpm._exists, SUMPRODUCT(--ISNUMBER(MATCH(_xlpm._platform_keywords,_xlpm._original_keywords,0)))&gt;0,
_xlfn.IFS(_xlpm._exists,1,NOT(_xlpm._exists),"")
)</f>
        <v/>
      </c>
      <c r="U194" s="33" cm="1">
        <f t="array" aca="1" ref="U19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($E194=CLASSIFICATION[[Keyword Aggr]:[Keyword Aggr]])*($D194=CLASSIFICATION[[Functional Scope Aggr]:[Functional Scope Aggr]])),
_xlpm._platform_keywords, _xlfn.TEXTSPLIT(SUBSTITUTE(SUBSTITUTE(VLOOKUP($D194,_xlpm._platform_range,3,FALSE),"+"&amp;CHAR(34),"+"),CHAR(34),""),", "),
_xlpm._exists, SUMPRODUCT(--ISNUMBER(MATCH(_xlpm._platform_keywords,_xlpm._original_keywords,0)))&gt;0,
_xlfn.IFS(_xlpm._exists,1,NOT(_xlpm._exists),"")
)</f>
        <v>1</v>
      </c>
      <c r="V194" s="33" t="str" cm="1">
        <f t="array" aca="1" ref="V19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($E194=CLASSIFICATION[[Keyword Aggr]:[Keyword Aggr]])*($D194=CLASSIFICATION[[Functional Scope Aggr]:[Functional Scope Aggr]])),
_xlpm._platform_keywords, _xlfn.TEXTSPLIT(SUBSTITUTE(SUBSTITUTE(VLOOKUP($D194,_xlpm._platform_range,3,FALSE),"+"&amp;CHAR(34),"+"),CHAR(34),""),", "),
_xlpm._exists, SUMPRODUCT(--ISNUMBER(MATCH(_xlpm._platform_keywords,_xlpm._original_keywords,0)))&gt;0,
_xlfn.IFS(_xlpm._exists,1,NOT(_xlpm._exists),"")
)</f>
        <v/>
      </c>
      <c r="X194" s="33">
        <f t="shared" ca="1" si="23"/>
        <v>4</v>
      </c>
      <c r="Y194" s="33">
        <f t="shared" ca="1" si="24"/>
        <v>4</v>
      </c>
      <c r="Z194" s="33">
        <f t="shared" ca="1" si="25"/>
        <v>5</v>
      </c>
      <c r="AA194" s="33">
        <f t="shared" ca="1" si="26"/>
        <v>1</v>
      </c>
      <c r="AB194" s="33">
        <f t="shared" ca="1" si="27"/>
        <v>1</v>
      </c>
      <c r="AC194" s="33">
        <f t="shared" ca="1" si="28"/>
        <v>0</v>
      </c>
    </row>
    <row r="195" spans="1:29" x14ac:dyDescent="0.25">
      <c r="A195" s="19" t="str">
        <v>Implementation,Deployment,+Software as a Service</v>
      </c>
      <c r="B195" t="s">
        <v>377</v>
      </c>
      <c r="C195" s="19" t="str" cm="1">
        <f t="array" ref="C195:E195">_xlfn.TEXTSPLIT(A195,",")</f>
        <v>Implementation</v>
      </c>
      <c r="D195" s="19" t="str">
        <v>Deployment</v>
      </c>
      <c r="E195" s="19" t="str">
        <v>+Software as a Service</v>
      </c>
      <c r="F195" s="36" t="str" cm="1">
        <f t="array" ref="F195">_xlfn.TEXTJOIN(",",TRUE,_xlfn._xlws.FILTER(CLASSIFICATION[Keyword], ($E195=CLASSIFICATION[Keyword Aggr])*($D195=CLASSIFICATION[Functional Scope Aggr])))</f>
        <v>+Software as a Service</v>
      </c>
      <c r="G195" s="32" t="str">
        <f t="shared" ref="G195:G212" si="29">IF(C195&lt;&gt;C194,C195,"")</f>
        <v/>
      </c>
      <c r="H195" s="32" t="str">
        <f t="shared" ref="H195:H212" si="30">IF(D195&lt;&gt;D194,D195,"")</f>
        <v/>
      </c>
      <c r="I195" s="32" t="str">
        <f t="shared" ref="I195:I212" si="31">E195</f>
        <v>+Software as a Service</v>
      </c>
      <c r="J195" s="33" t="str" cm="1">
        <f t="array" aca="1" ref="J19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($E195=CLASSIFICATION[[Keyword Aggr]:[Keyword Aggr]])*($D195=CLASSIFICATION[[Functional Scope Aggr]:[Functional Scope Aggr]])),
_xlpm._platform_keywords, _xlfn.TEXTSPLIT(SUBSTITUTE(SUBSTITUTE(VLOOKUP($D195,_xlpm._platform_range,3,FALSE),"+"&amp;CHAR(34),"+"),CHAR(34),""),", "),
_xlpm._exists, SUMPRODUCT(--ISNUMBER(MATCH(_xlpm._platform_keywords,_xlpm._original_keywords,0)))&gt;0,
_xlfn.IFS(AND(_xlpm._exists,LEFT($E195,1)="+"),"+",_xlpm._exists,"*",NOT(_xlpm._exists),"")
)</f>
        <v/>
      </c>
      <c r="K195" s="33" t="str" cm="1">
        <f t="array" aca="1" ref="K19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($E195=CLASSIFICATION[[Keyword Aggr]:[Keyword Aggr]])*($D195=CLASSIFICATION[[Functional Scope Aggr]:[Functional Scope Aggr]])),
_xlpm._platform_keywords, _xlfn.TEXTSPLIT(SUBSTITUTE(SUBSTITUTE(VLOOKUP($D195,_xlpm._platform_range,3,FALSE),"+"&amp;CHAR(34),"+"),CHAR(34),""),", "),
_xlpm._exists, SUMPRODUCT(--ISNUMBER(MATCH(_xlpm._platform_keywords,_xlpm._original_keywords,0)))&gt;0,
_xlfn.IFS(AND(_xlpm._exists,LEFT($E195,1)="+"),"+",_xlpm._exists,"*",NOT(_xlpm._exists),"")
)</f>
        <v/>
      </c>
      <c r="L195" s="33" t="str" cm="1">
        <f t="array" aca="1" ref="L19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($E195=CLASSIFICATION[[Keyword Aggr]:[Keyword Aggr]])*($D195=CLASSIFICATION[[Functional Scope Aggr]:[Functional Scope Aggr]])),
_xlpm._platform_keywords, _xlfn.TEXTSPLIT(SUBSTITUTE(SUBSTITUTE(VLOOKUP($D195,_xlpm._platform_range,3,FALSE),"+"&amp;CHAR(34),"+"),CHAR(34),""),", "),
_xlpm._exists, SUMPRODUCT(--ISNUMBER(MATCH(_xlpm._platform_keywords,_xlpm._original_keywords,0)))&gt;0,
_xlfn.IFS(AND(_xlpm._exists,LEFT($E195,1)="+"),"+",_xlpm._exists,"*",NOT(_xlpm._exists),"")
)</f>
        <v/>
      </c>
      <c r="M195" s="33" t="str" cm="1">
        <f t="array" aca="1" ref="M19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($E195=CLASSIFICATION[[Keyword Aggr]:[Keyword Aggr]])*($D195=CLASSIFICATION[[Functional Scope Aggr]:[Functional Scope Aggr]])),
_xlpm._platform_keywords, _xlfn.TEXTSPLIT(SUBSTITUTE(SUBSTITUTE(VLOOKUP($D195,_xlpm._platform_range,3,FALSE),"+"&amp;CHAR(34),"+"),CHAR(34),""),", "),
_xlpm._exists, SUMPRODUCT(--ISNUMBER(MATCH(_xlpm._platform_keywords,_xlpm._original_keywords,0)))&gt;0,
_xlfn.IFS(AND(_xlpm._exists,LEFT($E195,1)="+"),"+",_xlpm._exists,"*",NOT(_xlpm._exists),"")
)</f>
        <v>+</v>
      </c>
      <c r="N195" s="33" t="str" cm="1">
        <f t="array" aca="1" ref="N19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($E195=CLASSIFICATION[[Keyword Aggr]:[Keyword Aggr]])*($D195=CLASSIFICATION[[Functional Scope Aggr]:[Functional Scope Aggr]])),
_xlpm._platform_keywords, _xlfn.TEXTSPLIT(SUBSTITUTE(SUBSTITUTE(VLOOKUP($D195,_xlpm._platform_range,3,FALSE),"+"&amp;CHAR(34),"+"),CHAR(34),""),", "),
_xlpm._exists, SUMPRODUCT(--ISNUMBER(MATCH(_xlpm._platform_keywords,_xlpm._original_keywords,0)))&gt;0,
_xlfn.IFS(AND(_xlpm._exists,LEFT($E195,1)="+"),"+",_xlpm._exists,"*",NOT(_xlpm._exists),"")
)</f>
        <v>+</v>
      </c>
      <c r="O195" s="33" t="str" cm="1">
        <f t="array" aca="1" ref="O19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($E195=CLASSIFICATION[[Keyword Aggr]:[Keyword Aggr]])*($D195=CLASSIFICATION[[Functional Scope Aggr]:[Functional Scope Aggr]])),
_xlpm._platform_keywords, _xlfn.TEXTSPLIT(SUBSTITUTE(SUBSTITUTE(VLOOKUP($D195,_xlpm._platform_range,3,FALSE),"+"&amp;CHAR(34),"+"),CHAR(34),""),", "),
_xlpm._exists, SUMPRODUCT(--ISNUMBER(MATCH(_xlpm._platform_keywords,_xlpm._original_keywords,0)))&gt;0,
_xlfn.IFS(AND(_xlpm._exists,LEFT($E195,1)="+"),"+",_xlpm._exists,"*",NOT(_xlpm._exists),"")
)</f>
        <v>+</v>
      </c>
      <c r="Q195" s="33" t="str" cm="1">
        <f t="array" aca="1" ref="Q19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($E195=CLASSIFICATION[[Keyword Aggr]:[Keyword Aggr]])*($D195=CLASSIFICATION[[Functional Scope Aggr]:[Functional Scope Aggr]])),
_xlpm._platform_keywords, _xlfn.TEXTSPLIT(SUBSTITUTE(SUBSTITUTE(VLOOKUP($D195,_xlpm._platform_range,3,FALSE),"+"&amp;CHAR(34),"+"),CHAR(34),""),", "),
_xlpm._exists, SUMPRODUCT(--ISNUMBER(MATCH(_xlpm._platform_keywords,_xlpm._original_keywords,0)))&gt;0,
_xlfn.IFS(_xlpm._exists,1,NOT(_xlpm._exists),"")
)</f>
        <v/>
      </c>
      <c r="R195" s="33" t="str" cm="1">
        <f t="array" aca="1" ref="R19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($E195=CLASSIFICATION[[Keyword Aggr]:[Keyword Aggr]])*($D195=CLASSIFICATION[[Functional Scope Aggr]:[Functional Scope Aggr]])),
_xlpm._platform_keywords, _xlfn.TEXTSPLIT(SUBSTITUTE(SUBSTITUTE(VLOOKUP($D195,_xlpm._platform_range,3,FALSE),"+"&amp;CHAR(34),"+"),CHAR(34),""),", "),
_xlpm._exists, SUMPRODUCT(--ISNUMBER(MATCH(_xlpm._platform_keywords,_xlpm._original_keywords,0)))&gt;0,
_xlfn.IFS(_xlpm._exists,1,NOT(_xlpm._exists),"")
)</f>
        <v/>
      </c>
      <c r="S195" s="33" t="str" cm="1">
        <f t="array" aca="1" ref="S19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($E195=CLASSIFICATION[[Keyword Aggr]:[Keyword Aggr]])*($D195=CLASSIFICATION[[Functional Scope Aggr]:[Functional Scope Aggr]])),
_xlpm._platform_keywords, _xlfn.TEXTSPLIT(SUBSTITUTE(SUBSTITUTE(VLOOKUP($D195,_xlpm._platform_range,3,FALSE),"+"&amp;CHAR(34),"+"),CHAR(34),""),", "),
_xlpm._exists, SUMPRODUCT(--ISNUMBER(MATCH(_xlpm._platform_keywords,_xlpm._original_keywords,0)))&gt;0,
_xlfn.IFS(_xlpm._exists,1,NOT(_xlpm._exists),"")
)</f>
        <v/>
      </c>
      <c r="T195" s="33" cm="1">
        <f t="array" aca="1" ref="T19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($E195=CLASSIFICATION[[Keyword Aggr]:[Keyword Aggr]])*($D195=CLASSIFICATION[[Functional Scope Aggr]:[Functional Scope Aggr]])),
_xlpm._platform_keywords, _xlfn.TEXTSPLIT(SUBSTITUTE(SUBSTITUTE(VLOOKUP($D195,_xlpm._platform_range,3,FALSE),"+"&amp;CHAR(34),"+"),CHAR(34),""),", "),
_xlpm._exists, SUMPRODUCT(--ISNUMBER(MATCH(_xlpm._platform_keywords,_xlpm._original_keywords,0)))&gt;0,
_xlfn.IFS(_xlpm._exists,1,NOT(_xlpm._exists),"")
)</f>
        <v>1</v>
      </c>
      <c r="U195" s="33" cm="1">
        <f t="array" aca="1" ref="U19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($E195=CLASSIFICATION[[Keyword Aggr]:[Keyword Aggr]])*($D195=CLASSIFICATION[[Functional Scope Aggr]:[Functional Scope Aggr]])),
_xlpm._platform_keywords, _xlfn.TEXTSPLIT(SUBSTITUTE(SUBSTITUTE(VLOOKUP($D195,_xlpm._platform_range,3,FALSE),"+"&amp;CHAR(34),"+"),CHAR(34),""),", "),
_xlpm._exists, SUMPRODUCT(--ISNUMBER(MATCH(_xlpm._platform_keywords,_xlpm._original_keywords,0)))&gt;0,
_xlfn.IFS(_xlpm._exists,1,NOT(_xlpm._exists),"")
)</f>
        <v>1</v>
      </c>
      <c r="V195" s="33" cm="1">
        <f t="array" aca="1" ref="V19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($E195=CLASSIFICATION[[Keyword Aggr]:[Keyword Aggr]])*($D195=CLASSIFICATION[[Functional Scope Aggr]:[Functional Scope Aggr]])),
_xlpm._platform_keywords, _xlfn.TEXTSPLIT(SUBSTITUTE(SUBSTITUTE(VLOOKUP($D195,_xlpm._platform_range,3,FALSE),"+"&amp;CHAR(34),"+"),CHAR(34),""),", "),
_xlpm._exists, SUMPRODUCT(--ISNUMBER(MATCH(_xlpm._platform_keywords,_xlpm._original_keywords,0)))&gt;0,
_xlfn.IFS(_xlpm._exists,1,NOT(_xlpm._exists),"")
)</f>
        <v>1</v>
      </c>
      <c r="X195" s="33" t="str">
        <f t="shared" ref="X195:X211" si="32">IF($H195&lt;&gt;"",COUNTIFS(J$2:J$500,"~*",$D$2:$D$500,$H195),"")</f>
        <v/>
      </c>
      <c r="Y195" s="33" t="str">
        <f t="shared" ref="Y195:Y211" si="33">IF($H195&lt;&gt;"",COUNTIFS(K$2:K$500,"~*",$D$2:$D$500,$H195),"")</f>
        <v/>
      </c>
      <c r="Z195" s="33" t="str">
        <f t="shared" ref="Z195:Z211" si="34">IF($H195&lt;&gt;"",COUNTIFS(L$2:L$500,"~*",$D$2:$D$500,$H195),"")</f>
        <v/>
      </c>
      <c r="AA195" s="33" t="str">
        <f t="shared" ref="AA195:AA211" si="35">IF($H195&lt;&gt;"",COUNTIFS(M$2:M$500,"~*",$D$2:$D$500,$H195),"")</f>
        <v/>
      </c>
      <c r="AB195" s="33" t="str">
        <f t="shared" ref="AB195:AB211" si="36">IF($H195&lt;&gt;"",COUNTIFS(N$2:N$500,"~*",$D$2:$D$500,$H195),"")</f>
        <v/>
      </c>
      <c r="AC195" s="33" t="str">
        <f t="shared" ref="AC195:AC211" si="37">IF($H195&lt;&gt;"",COUNTIFS(O$2:O$500,"~*",$D$2:$D$500,$H195),"")</f>
        <v/>
      </c>
    </row>
    <row r="196" spans="1:29" x14ac:dyDescent="0.25">
      <c r="A196" s="19" t="str">
        <v>Implementation,Deployment,Application IDE</v>
      </c>
      <c r="B196" t="s">
        <v>377</v>
      </c>
      <c r="C196" s="19" t="str" cm="1">
        <f t="array" ref="C196:E196">_xlfn.TEXTSPLIT(A196,",")</f>
        <v>Implementation</v>
      </c>
      <c r="D196" s="19" t="str">
        <v>Deployment</v>
      </c>
      <c r="E196" s="19" t="str">
        <v>Application IDE</v>
      </c>
      <c r="F196" s="36" t="str" cm="1">
        <f t="array" ref="F196">_xlfn.TEXTJOIN(",",TRUE,_xlfn._xlws.FILTER(CLASSIFICATION[Keyword], ($E196=CLASSIFICATION[Keyword Aggr])*($D196=CLASSIFICATION[Functional Scope Aggr])))</f>
        <v>Application IDE</v>
      </c>
      <c r="G196" s="32" t="str">
        <f t="shared" si="29"/>
        <v/>
      </c>
      <c r="H196" s="32" t="str">
        <f t="shared" si="30"/>
        <v/>
      </c>
      <c r="I196" s="32" t="str">
        <f t="shared" si="31"/>
        <v>Application IDE</v>
      </c>
      <c r="J196" s="33" t="str" cm="1">
        <f t="array" aca="1" ref="J19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($E196=CLASSIFICATION[[Keyword Aggr]:[Keyword Aggr]])*($D196=CLASSIFICATION[[Functional Scope Aggr]:[Functional Scope Aggr]])),
_xlpm._platform_keywords, _xlfn.TEXTSPLIT(SUBSTITUTE(SUBSTITUTE(VLOOKUP($D196,_xlpm._platform_range,3,FALSE),"+"&amp;CHAR(34),"+"),CHAR(34),""),", "),
_xlpm._exists, SUMPRODUCT(--ISNUMBER(MATCH(_xlpm._platform_keywords,_xlpm._original_keywords,0)))&gt;0,
_xlfn.IFS(AND(_xlpm._exists,LEFT($E196,1)="+"),"+",_xlpm._exists,"*",NOT(_xlpm._exists),"")
)</f>
        <v/>
      </c>
      <c r="K196" s="33" t="str" cm="1">
        <f t="array" aca="1" ref="K19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($E196=CLASSIFICATION[[Keyword Aggr]:[Keyword Aggr]])*($D196=CLASSIFICATION[[Functional Scope Aggr]:[Functional Scope Aggr]])),
_xlpm._platform_keywords, _xlfn.TEXTSPLIT(SUBSTITUTE(SUBSTITUTE(VLOOKUP($D196,_xlpm._platform_range,3,FALSE),"+"&amp;CHAR(34),"+"),CHAR(34),""),", "),
_xlpm._exists, SUMPRODUCT(--ISNUMBER(MATCH(_xlpm._platform_keywords,_xlpm._original_keywords,0)))&gt;0,
_xlfn.IFS(AND(_xlpm._exists,LEFT($E196,1)="+"),"+",_xlpm._exists,"*",NOT(_xlpm._exists),"")
)</f>
        <v/>
      </c>
      <c r="L196" s="33" t="str" cm="1">
        <f t="array" aca="1" ref="L19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($E196=CLASSIFICATION[[Keyword Aggr]:[Keyword Aggr]])*($D196=CLASSIFICATION[[Functional Scope Aggr]:[Functional Scope Aggr]])),
_xlpm._platform_keywords, _xlfn.TEXTSPLIT(SUBSTITUTE(SUBSTITUTE(VLOOKUP($D196,_xlpm._platform_range,3,FALSE),"+"&amp;CHAR(34),"+"),CHAR(34),""),", "),
_xlpm._exists, SUMPRODUCT(--ISNUMBER(MATCH(_xlpm._platform_keywords,_xlpm._original_keywords,0)))&gt;0,
_xlfn.IFS(AND(_xlpm._exists,LEFT($E196,1)="+"),"+",_xlpm._exists,"*",NOT(_xlpm._exists),"")
)</f>
        <v>*</v>
      </c>
      <c r="M196" s="33" t="str" cm="1">
        <f t="array" aca="1" ref="M19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($E196=CLASSIFICATION[[Keyword Aggr]:[Keyword Aggr]])*($D196=CLASSIFICATION[[Functional Scope Aggr]:[Functional Scope Aggr]])),
_xlpm._platform_keywords, _xlfn.TEXTSPLIT(SUBSTITUTE(SUBSTITUTE(VLOOKUP($D196,_xlpm._platform_range,3,FALSE),"+"&amp;CHAR(34),"+"),CHAR(34),""),", "),
_xlpm._exists, SUMPRODUCT(--ISNUMBER(MATCH(_xlpm._platform_keywords,_xlpm._original_keywords,0)))&gt;0,
_xlfn.IFS(AND(_xlpm._exists,LEFT($E196,1)="+"),"+",_xlpm._exists,"*",NOT(_xlpm._exists),"")
)</f>
        <v/>
      </c>
      <c r="N196" s="33" t="str" cm="1">
        <f t="array" aca="1" ref="N19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($E196=CLASSIFICATION[[Keyword Aggr]:[Keyword Aggr]])*($D196=CLASSIFICATION[[Functional Scope Aggr]:[Functional Scope Aggr]])),
_xlpm._platform_keywords, _xlfn.TEXTSPLIT(SUBSTITUTE(SUBSTITUTE(VLOOKUP($D196,_xlpm._platform_range,3,FALSE),"+"&amp;CHAR(34),"+"),CHAR(34),""),", "),
_xlpm._exists, SUMPRODUCT(--ISNUMBER(MATCH(_xlpm._platform_keywords,_xlpm._original_keywords,0)))&gt;0,
_xlfn.IFS(AND(_xlpm._exists,LEFT($E196,1)="+"),"+",_xlpm._exists,"*",NOT(_xlpm._exists),"")
)</f>
        <v/>
      </c>
      <c r="O196" s="33" t="str" cm="1">
        <f t="array" aca="1" ref="O19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($E196=CLASSIFICATION[[Keyword Aggr]:[Keyword Aggr]])*($D196=CLASSIFICATION[[Functional Scope Aggr]:[Functional Scope Aggr]])),
_xlpm._platform_keywords, _xlfn.TEXTSPLIT(SUBSTITUTE(SUBSTITUTE(VLOOKUP($D196,_xlpm._platform_range,3,FALSE),"+"&amp;CHAR(34),"+"),CHAR(34),""),", "),
_xlpm._exists, SUMPRODUCT(--ISNUMBER(MATCH(_xlpm._platform_keywords,_xlpm._original_keywords,0)))&gt;0,
_xlfn.IFS(AND(_xlpm._exists,LEFT($E196,1)="+"),"+",_xlpm._exists,"*",NOT(_xlpm._exists),"")
)</f>
        <v/>
      </c>
      <c r="Q196" s="33" t="str" cm="1">
        <f t="array" aca="1" ref="Q19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($E196=CLASSIFICATION[[Keyword Aggr]:[Keyword Aggr]])*($D196=CLASSIFICATION[[Functional Scope Aggr]:[Functional Scope Aggr]])),
_xlpm._platform_keywords, _xlfn.TEXTSPLIT(SUBSTITUTE(SUBSTITUTE(VLOOKUP($D196,_xlpm._platform_range,3,FALSE),"+"&amp;CHAR(34),"+"),CHAR(34),""),", "),
_xlpm._exists, SUMPRODUCT(--ISNUMBER(MATCH(_xlpm._platform_keywords,_xlpm._original_keywords,0)))&gt;0,
_xlfn.IFS(_xlpm._exists,1,NOT(_xlpm._exists),"")
)</f>
        <v/>
      </c>
      <c r="R196" s="33" t="str" cm="1">
        <f t="array" aca="1" ref="R19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($E196=CLASSIFICATION[[Keyword Aggr]:[Keyword Aggr]])*($D196=CLASSIFICATION[[Functional Scope Aggr]:[Functional Scope Aggr]])),
_xlpm._platform_keywords, _xlfn.TEXTSPLIT(SUBSTITUTE(SUBSTITUTE(VLOOKUP($D196,_xlpm._platform_range,3,FALSE),"+"&amp;CHAR(34),"+"),CHAR(34),""),", "),
_xlpm._exists, SUMPRODUCT(--ISNUMBER(MATCH(_xlpm._platform_keywords,_xlpm._original_keywords,0)))&gt;0,
_xlfn.IFS(_xlpm._exists,1,NOT(_xlpm._exists),"")
)</f>
        <v/>
      </c>
      <c r="S196" s="33" cm="1">
        <f t="array" aca="1" ref="S19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($E196=CLASSIFICATION[[Keyword Aggr]:[Keyword Aggr]])*($D196=CLASSIFICATION[[Functional Scope Aggr]:[Functional Scope Aggr]])),
_xlpm._platform_keywords, _xlfn.TEXTSPLIT(SUBSTITUTE(SUBSTITUTE(VLOOKUP($D196,_xlpm._platform_range,3,FALSE),"+"&amp;CHAR(34),"+"),CHAR(34),""),", "),
_xlpm._exists, SUMPRODUCT(--ISNUMBER(MATCH(_xlpm._platform_keywords,_xlpm._original_keywords,0)))&gt;0,
_xlfn.IFS(_xlpm._exists,1,NOT(_xlpm._exists),"")
)</f>
        <v>1</v>
      </c>
      <c r="T196" s="33" t="str" cm="1">
        <f t="array" aca="1" ref="T19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($E196=CLASSIFICATION[[Keyword Aggr]:[Keyword Aggr]])*($D196=CLASSIFICATION[[Functional Scope Aggr]:[Functional Scope Aggr]])),
_xlpm._platform_keywords, _xlfn.TEXTSPLIT(SUBSTITUTE(SUBSTITUTE(VLOOKUP($D196,_xlpm._platform_range,3,FALSE),"+"&amp;CHAR(34),"+"),CHAR(34),""),", "),
_xlpm._exists, SUMPRODUCT(--ISNUMBER(MATCH(_xlpm._platform_keywords,_xlpm._original_keywords,0)))&gt;0,
_xlfn.IFS(_xlpm._exists,1,NOT(_xlpm._exists),"")
)</f>
        <v/>
      </c>
      <c r="U196" s="33" t="str" cm="1">
        <f t="array" aca="1" ref="U19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($E196=CLASSIFICATION[[Keyword Aggr]:[Keyword Aggr]])*($D196=CLASSIFICATION[[Functional Scope Aggr]:[Functional Scope Aggr]])),
_xlpm._platform_keywords, _xlfn.TEXTSPLIT(SUBSTITUTE(SUBSTITUTE(VLOOKUP($D196,_xlpm._platform_range,3,FALSE),"+"&amp;CHAR(34),"+"),CHAR(34),""),", "),
_xlpm._exists, SUMPRODUCT(--ISNUMBER(MATCH(_xlpm._platform_keywords,_xlpm._original_keywords,0)))&gt;0,
_xlfn.IFS(_xlpm._exists,1,NOT(_xlpm._exists),"")
)</f>
        <v/>
      </c>
      <c r="V196" s="33" t="str" cm="1">
        <f t="array" aca="1" ref="V19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($E196=CLASSIFICATION[[Keyword Aggr]:[Keyword Aggr]])*($D196=CLASSIFICATION[[Functional Scope Aggr]:[Functional Scope Aggr]])),
_xlpm._platform_keywords, _xlfn.TEXTSPLIT(SUBSTITUTE(SUBSTITUTE(VLOOKUP($D196,_xlpm._platform_range,3,FALSE),"+"&amp;CHAR(34),"+"),CHAR(34),""),", "),
_xlpm._exists, SUMPRODUCT(--ISNUMBER(MATCH(_xlpm._platform_keywords,_xlpm._original_keywords,0)))&gt;0,
_xlfn.IFS(_xlpm._exists,1,NOT(_xlpm._exists),"")
)</f>
        <v/>
      </c>
      <c r="X196" s="33" t="str">
        <f t="shared" si="32"/>
        <v/>
      </c>
      <c r="Y196" s="33" t="str">
        <f t="shared" si="33"/>
        <v/>
      </c>
      <c r="Z196" s="33" t="str">
        <f t="shared" si="34"/>
        <v/>
      </c>
      <c r="AA196" s="33" t="str">
        <f t="shared" si="35"/>
        <v/>
      </c>
      <c r="AB196" s="33" t="str">
        <f t="shared" si="36"/>
        <v/>
      </c>
      <c r="AC196" s="33" t="str">
        <f t="shared" si="37"/>
        <v/>
      </c>
    </row>
    <row r="197" spans="1:29" x14ac:dyDescent="0.25">
      <c r="A197" s="19" t="str">
        <v>Implementation,Deployment,CI/CD</v>
      </c>
      <c r="B197" t="s">
        <v>377</v>
      </c>
      <c r="C197" s="19" t="str" cm="1">
        <f t="array" ref="C197:E197">_xlfn.TEXTSPLIT(A197,",")</f>
        <v>Implementation</v>
      </c>
      <c r="D197" s="19" t="str">
        <v>Deployment</v>
      </c>
      <c r="E197" s="19" t="str">
        <v>CI/CD</v>
      </c>
      <c r="F197" s="36" t="str" cm="1">
        <f t="array" ref="F197">_xlfn.TEXTJOIN(",",TRUE,_xlfn._xlws.FILTER(CLASSIFICATION[Keyword], ($E197=CLASSIFICATION[Keyword Aggr])*($D197=CLASSIFICATION[Functional Scope Aggr])))</f>
        <v>CI/CD</v>
      </c>
      <c r="G197" s="32" t="str">
        <f t="shared" si="29"/>
        <v/>
      </c>
      <c r="H197" s="32" t="str">
        <f t="shared" si="30"/>
        <v/>
      </c>
      <c r="I197" s="32" t="str">
        <f t="shared" si="31"/>
        <v>CI/CD</v>
      </c>
      <c r="J197" s="33" t="str" cm="1">
        <f t="array" aca="1" ref="J19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($E197=CLASSIFICATION[[Keyword Aggr]:[Keyword Aggr]])*($D197=CLASSIFICATION[[Functional Scope Aggr]:[Functional Scope Aggr]])),
_xlpm._platform_keywords, _xlfn.TEXTSPLIT(SUBSTITUTE(SUBSTITUTE(VLOOKUP($D197,_xlpm._platform_range,3,FALSE),"+"&amp;CHAR(34),"+"),CHAR(34),""),", "),
_xlpm._exists, SUMPRODUCT(--ISNUMBER(MATCH(_xlpm._platform_keywords,_xlpm._original_keywords,0)))&gt;0,
_xlfn.IFS(AND(_xlpm._exists,LEFT($E197,1)="+"),"+",_xlpm._exists,"*",NOT(_xlpm._exists),"")
)</f>
        <v>*</v>
      </c>
      <c r="K197" s="33" t="str" cm="1">
        <f t="array" aca="1" ref="K19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($E197=CLASSIFICATION[[Keyword Aggr]:[Keyword Aggr]])*($D197=CLASSIFICATION[[Functional Scope Aggr]:[Functional Scope Aggr]])),
_xlpm._platform_keywords, _xlfn.TEXTSPLIT(SUBSTITUTE(SUBSTITUTE(VLOOKUP($D197,_xlpm._platform_range,3,FALSE),"+"&amp;CHAR(34),"+"),CHAR(34),""),", "),
_xlpm._exists, SUMPRODUCT(--ISNUMBER(MATCH(_xlpm._platform_keywords,_xlpm._original_keywords,0)))&gt;0,
_xlfn.IFS(AND(_xlpm._exists,LEFT($E197,1)="+"),"+",_xlpm._exists,"*",NOT(_xlpm._exists),"")
)</f>
        <v>*</v>
      </c>
      <c r="L197" s="33" t="str" cm="1">
        <f t="array" aca="1" ref="L19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($E197=CLASSIFICATION[[Keyword Aggr]:[Keyword Aggr]])*($D197=CLASSIFICATION[[Functional Scope Aggr]:[Functional Scope Aggr]])),
_xlpm._platform_keywords, _xlfn.TEXTSPLIT(SUBSTITUTE(SUBSTITUTE(VLOOKUP($D197,_xlpm._platform_range,3,FALSE),"+"&amp;CHAR(34),"+"),CHAR(34),""),", "),
_xlpm._exists, SUMPRODUCT(--ISNUMBER(MATCH(_xlpm._platform_keywords,_xlpm._original_keywords,0)))&gt;0,
_xlfn.IFS(AND(_xlpm._exists,LEFT($E197,1)="+"),"+",_xlpm._exists,"*",NOT(_xlpm._exists),"")
)</f>
        <v/>
      </c>
      <c r="M197" s="33" t="str" cm="1">
        <f t="array" aca="1" ref="M19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($E197=CLASSIFICATION[[Keyword Aggr]:[Keyword Aggr]])*($D197=CLASSIFICATION[[Functional Scope Aggr]:[Functional Scope Aggr]])),
_xlpm._platform_keywords, _xlfn.TEXTSPLIT(SUBSTITUTE(SUBSTITUTE(VLOOKUP($D197,_xlpm._platform_range,3,FALSE),"+"&amp;CHAR(34),"+"),CHAR(34),""),", "),
_xlpm._exists, SUMPRODUCT(--ISNUMBER(MATCH(_xlpm._platform_keywords,_xlpm._original_keywords,0)))&gt;0,
_xlfn.IFS(AND(_xlpm._exists,LEFT($E197,1)="+"),"+",_xlpm._exists,"*",NOT(_xlpm._exists),"")
)</f>
        <v/>
      </c>
      <c r="N197" s="33" t="str" cm="1">
        <f t="array" aca="1" ref="N19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($E197=CLASSIFICATION[[Keyword Aggr]:[Keyword Aggr]])*($D197=CLASSIFICATION[[Functional Scope Aggr]:[Functional Scope Aggr]])),
_xlpm._platform_keywords, _xlfn.TEXTSPLIT(SUBSTITUTE(SUBSTITUTE(VLOOKUP($D197,_xlpm._platform_range,3,FALSE),"+"&amp;CHAR(34),"+"),CHAR(34),""),", "),
_xlpm._exists, SUMPRODUCT(--ISNUMBER(MATCH(_xlpm._platform_keywords,_xlpm._original_keywords,0)))&gt;0,
_xlfn.IFS(AND(_xlpm._exists,LEFT($E197,1)="+"),"+",_xlpm._exists,"*",NOT(_xlpm._exists),"")
)</f>
        <v/>
      </c>
      <c r="O197" s="33" t="str" cm="1">
        <f t="array" aca="1" ref="O19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($E197=CLASSIFICATION[[Keyword Aggr]:[Keyword Aggr]])*($D197=CLASSIFICATION[[Functional Scope Aggr]:[Functional Scope Aggr]])),
_xlpm._platform_keywords, _xlfn.TEXTSPLIT(SUBSTITUTE(SUBSTITUTE(VLOOKUP($D197,_xlpm._platform_range,3,FALSE),"+"&amp;CHAR(34),"+"),CHAR(34),""),", "),
_xlpm._exists, SUMPRODUCT(--ISNUMBER(MATCH(_xlpm._platform_keywords,_xlpm._original_keywords,0)))&gt;0,
_xlfn.IFS(AND(_xlpm._exists,LEFT($E197,1)="+"),"+",_xlpm._exists,"*",NOT(_xlpm._exists),"")
)</f>
        <v/>
      </c>
      <c r="Q197" s="33" cm="1">
        <f t="array" aca="1" ref="Q19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($E197=CLASSIFICATION[[Keyword Aggr]:[Keyword Aggr]])*($D197=CLASSIFICATION[[Functional Scope Aggr]:[Functional Scope Aggr]])),
_xlpm._platform_keywords, _xlfn.TEXTSPLIT(SUBSTITUTE(SUBSTITUTE(VLOOKUP($D197,_xlpm._platform_range,3,FALSE),"+"&amp;CHAR(34),"+"),CHAR(34),""),", "),
_xlpm._exists, SUMPRODUCT(--ISNUMBER(MATCH(_xlpm._platform_keywords,_xlpm._original_keywords,0)))&gt;0,
_xlfn.IFS(_xlpm._exists,1,NOT(_xlpm._exists),"")
)</f>
        <v>1</v>
      </c>
      <c r="R197" s="33" cm="1">
        <f t="array" aca="1" ref="R19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($E197=CLASSIFICATION[[Keyword Aggr]:[Keyword Aggr]])*($D197=CLASSIFICATION[[Functional Scope Aggr]:[Functional Scope Aggr]])),
_xlpm._platform_keywords, _xlfn.TEXTSPLIT(SUBSTITUTE(SUBSTITUTE(VLOOKUP($D197,_xlpm._platform_range,3,FALSE),"+"&amp;CHAR(34),"+"),CHAR(34),""),", "),
_xlpm._exists, SUMPRODUCT(--ISNUMBER(MATCH(_xlpm._platform_keywords,_xlpm._original_keywords,0)))&gt;0,
_xlfn.IFS(_xlpm._exists,1,NOT(_xlpm._exists),"")
)</f>
        <v>1</v>
      </c>
      <c r="S197" s="33" t="str" cm="1">
        <f t="array" aca="1" ref="S19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($E197=CLASSIFICATION[[Keyword Aggr]:[Keyword Aggr]])*($D197=CLASSIFICATION[[Functional Scope Aggr]:[Functional Scope Aggr]])),
_xlpm._platform_keywords, _xlfn.TEXTSPLIT(SUBSTITUTE(SUBSTITUTE(VLOOKUP($D197,_xlpm._platform_range,3,FALSE),"+"&amp;CHAR(34),"+"),CHAR(34),""),", "),
_xlpm._exists, SUMPRODUCT(--ISNUMBER(MATCH(_xlpm._platform_keywords,_xlpm._original_keywords,0)))&gt;0,
_xlfn.IFS(_xlpm._exists,1,NOT(_xlpm._exists),"")
)</f>
        <v/>
      </c>
      <c r="T197" s="33" t="str" cm="1">
        <f t="array" aca="1" ref="T19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($E197=CLASSIFICATION[[Keyword Aggr]:[Keyword Aggr]])*($D197=CLASSIFICATION[[Functional Scope Aggr]:[Functional Scope Aggr]])),
_xlpm._platform_keywords, _xlfn.TEXTSPLIT(SUBSTITUTE(SUBSTITUTE(VLOOKUP($D197,_xlpm._platform_range,3,FALSE),"+"&amp;CHAR(34),"+"),CHAR(34),""),", "),
_xlpm._exists, SUMPRODUCT(--ISNUMBER(MATCH(_xlpm._platform_keywords,_xlpm._original_keywords,0)))&gt;0,
_xlfn.IFS(_xlpm._exists,1,NOT(_xlpm._exists),"")
)</f>
        <v/>
      </c>
      <c r="U197" s="33" t="str" cm="1">
        <f t="array" aca="1" ref="U19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($E197=CLASSIFICATION[[Keyword Aggr]:[Keyword Aggr]])*($D197=CLASSIFICATION[[Functional Scope Aggr]:[Functional Scope Aggr]])),
_xlpm._platform_keywords, _xlfn.TEXTSPLIT(SUBSTITUTE(SUBSTITUTE(VLOOKUP($D197,_xlpm._platform_range,3,FALSE),"+"&amp;CHAR(34),"+"),CHAR(34),""),", "),
_xlpm._exists, SUMPRODUCT(--ISNUMBER(MATCH(_xlpm._platform_keywords,_xlpm._original_keywords,0)))&gt;0,
_xlfn.IFS(_xlpm._exists,1,NOT(_xlpm._exists),"")
)</f>
        <v/>
      </c>
      <c r="V197" s="33" t="str" cm="1">
        <f t="array" aca="1" ref="V19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($E197=CLASSIFICATION[[Keyword Aggr]:[Keyword Aggr]])*($D197=CLASSIFICATION[[Functional Scope Aggr]:[Functional Scope Aggr]])),
_xlpm._platform_keywords, _xlfn.TEXTSPLIT(SUBSTITUTE(SUBSTITUTE(VLOOKUP($D197,_xlpm._platform_range,3,FALSE),"+"&amp;CHAR(34),"+"),CHAR(34),""),", "),
_xlpm._exists, SUMPRODUCT(--ISNUMBER(MATCH(_xlpm._platform_keywords,_xlpm._original_keywords,0)))&gt;0,
_xlfn.IFS(_xlpm._exists,1,NOT(_xlpm._exists),"")
)</f>
        <v/>
      </c>
      <c r="X197" s="33" t="str">
        <f t="shared" si="32"/>
        <v/>
      </c>
      <c r="Y197" s="33" t="str">
        <f t="shared" si="33"/>
        <v/>
      </c>
      <c r="Z197" s="33" t="str">
        <f t="shared" si="34"/>
        <v/>
      </c>
      <c r="AA197" s="33" t="str">
        <f t="shared" si="35"/>
        <v/>
      </c>
      <c r="AB197" s="33" t="str">
        <f t="shared" si="36"/>
        <v/>
      </c>
      <c r="AC197" s="33" t="str">
        <f t="shared" si="37"/>
        <v/>
      </c>
    </row>
    <row r="198" spans="1:29" x14ac:dyDescent="0.25">
      <c r="A198" s="19" t="str">
        <v>Implementation,Deployment,Cloud Computing</v>
      </c>
      <c r="B198" t="s">
        <v>377</v>
      </c>
      <c r="C198" s="19" t="str" cm="1">
        <f t="array" ref="C198:E198">_xlfn.TEXTSPLIT(A198,",")</f>
        <v>Implementation</v>
      </c>
      <c r="D198" s="19" t="str">
        <v>Deployment</v>
      </c>
      <c r="E198" s="19" t="str">
        <v>Cloud Computing</v>
      </c>
      <c r="F198" s="36" t="str" cm="1">
        <f t="array" ref="F198">_xlfn.TEXTJOIN(",",TRUE,_xlfn._xlws.FILTER(CLASSIFICATION[Keyword], ($E198=CLASSIFICATION[Keyword Aggr])*($D198=CLASSIFICATION[Functional Scope Aggr])))</f>
        <v>Cloud Computing</v>
      </c>
      <c r="G198" s="32" t="str">
        <f t="shared" si="29"/>
        <v/>
      </c>
      <c r="H198" s="32" t="str">
        <f t="shared" si="30"/>
        <v/>
      </c>
      <c r="I198" s="32" t="str">
        <f t="shared" si="31"/>
        <v>Cloud Computing</v>
      </c>
      <c r="J198" s="33" t="str" cm="1">
        <f t="array" aca="1" ref="J19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($E198=CLASSIFICATION[[Keyword Aggr]:[Keyword Aggr]])*($D198=CLASSIFICATION[[Functional Scope Aggr]:[Functional Scope Aggr]])),
_xlpm._platform_keywords, _xlfn.TEXTSPLIT(SUBSTITUTE(SUBSTITUTE(VLOOKUP($D198,_xlpm._platform_range,3,FALSE),"+"&amp;CHAR(34),"+"),CHAR(34),""),", "),
_xlpm._exists, SUMPRODUCT(--ISNUMBER(MATCH(_xlpm._platform_keywords,_xlpm._original_keywords,0)))&gt;0,
_xlfn.IFS(AND(_xlpm._exists,LEFT($E198,1)="+"),"+",_xlpm._exists,"*",NOT(_xlpm._exists),"")
)</f>
        <v/>
      </c>
      <c r="K198" s="33" t="str" cm="1">
        <f t="array" aca="1" ref="K19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($E198=CLASSIFICATION[[Keyword Aggr]:[Keyword Aggr]])*($D198=CLASSIFICATION[[Functional Scope Aggr]:[Functional Scope Aggr]])),
_xlpm._platform_keywords, _xlfn.TEXTSPLIT(SUBSTITUTE(SUBSTITUTE(VLOOKUP($D198,_xlpm._platform_range,3,FALSE),"+"&amp;CHAR(34),"+"),CHAR(34),""),", "),
_xlpm._exists, SUMPRODUCT(--ISNUMBER(MATCH(_xlpm._platform_keywords,_xlpm._original_keywords,0)))&gt;0,
_xlfn.IFS(AND(_xlpm._exists,LEFT($E198,1)="+"),"+",_xlpm._exists,"*",NOT(_xlpm._exists),"")
)</f>
        <v>*</v>
      </c>
      <c r="L198" s="33" t="str" cm="1">
        <f t="array" aca="1" ref="L19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($E198=CLASSIFICATION[[Keyword Aggr]:[Keyword Aggr]])*($D198=CLASSIFICATION[[Functional Scope Aggr]:[Functional Scope Aggr]])),
_xlpm._platform_keywords, _xlfn.TEXTSPLIT(SUBSTITUTE(SUBSTITUTE(VLOOKUP($D198,_xlpm._platform_range,3,FALSE),"+"&amp;CHAR(34),"+"),CHAR(34),""),", "),
_xlpm._exists, SUMPRODUCT(--ISNUMBER(MATCH(_xlpm._platform_keywords,_xlpm._original_keywords,0)))&gt;0,
_xlfn.IFS(AND(_xlpm._exists,LEFT($E198,1)="+"),"+",_xlpm._exists,"*",NOT(_xlpm._exists),"")
)</f>
        <v>*</v>
      </c>
      <c r="M198" s="33" t="str" cm="1">
        <f t="array" aca="1" ref="M19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($E198=CLASSIFICATION[[Keyword Aggr]:[Keyword Aggr]])*($D198=CLASSIFICATION[[Functional Scope Aggr]:[Functional Scope Aggr]])),
_xlpm._platform_keywords, _xlfn.TEXTSPLIT(SUBSTITUTE(SUBSTITUTE(VLOOKUP($D198,_xlpm._platform_range,3,FALSE),"+"&amp;CHAR(34),"+"),CHAR(34),""),", "),
_xlpm._exists, SUMPRODUCT(--ISNUMBER(MATCH(_xlpm._platform_keywords,_xlpm._original_keywords,0)))&gt;0,
_xlfn.IFS(AND(_xlpm._exists,LEFT($E198,1)="+"),"+",_xlpm._exists,"*",NOT(_xlpm._exists),"")
)</f>
        <v/>
      </c>
      <c r="N198" s="33" t="str" cm="1">
        <f t="array" aca="1" ref="N19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($E198=CLASSIFICATION[[Keyword Aggr]:[Keyword Aggr]])*($D198=CLASSIFICATION[[Functional Scope Aggr]:[Functional Scope Aggr]])),
_xlpm._platform_keywords, _xlfn.TEXTSPLIT(SUBSTITUTE(SUBSTITUTE(VLOOKUP($D198,_xlpm._platform_range,3,FALSE),"+"&amp;CHAR(34),"+"),CHAR(34),""),", "),
_xlpm._exists, SUMPRODUCT(--ISNUMBER(MATCH(_xlpm._platform_keywords,_xlpm._original_keywords,0)))&gt;0,
_xlfn.IFS(AND(_xlpm._exists,LEFT($E198,1)="+"),"+",_xlpm._exists,"*",NOT(_xlpm._exists),"")
)</f>
        <v/>
      </c>
      <c r="O198" s="33" t="str" cm="1">
        <f t="array" aca="1" ref="O19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($E198=CLASSIFICATION[[Keyword Aggr]:[Keyword Aggr]])*($D198=CLASSIFICATION[[Functional Scope Aggr]:[Functional Scope Aggr]])),
_xlpm._platform_keywords, _xlfn.TEXTSPLIT(SUBSTITUTE(SUBSTITUTE(VLOOKUP($D198,_xlpm._platform_range,3,FALSE),"+"&amp;CHAR(34),"+"),CHAR(34),""),", "),
_xlpm._exists, SUMPRODUCT(--ISNUMBER(MATCH(_xlpm._platform_keywords,_xlpm._original_keywords,0)))&gt;0,
_xlfn.IFS(AND(_xlpm._exists,LEFT($E198,1)="+"),"+",_xlpm._exists,"*",NOT(_xlpm._exists),"")
)</f>
        <v/>
      </c>
      <c r="Q198" s="33" t="str" cm="1">
        <f t="array" aca="1" ref="Q19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($E198=CLASSIFICATION[[Keyword Aggr]:[Keyword Aggr]])*($D198=CLASSIFICATION[[Functional Scope Aggr]:[Functional Scope Aggr]])),
_xlpm._platform_keywords, _xlfn.TEXTSPLIT(SUBSTITUTE(SUBSTITUTE(VLOOKUP($D198,_xlpm._platform_range,3,FALSE),"+"&amp;CHAR(34),"+"),CHAR(34),""),", "),
_xlpm._exists, SUMPRODUCT(--ISNUMBER(MATCH(_xlpm._platform_keywords,_xlpm._original_keywords,0)))&gt;0,
_xlfn.IFS(_xlpm._exists,1,NOT(_xlpm._exists),"")
)</f>
        <v/>
      </c>
      <c r="R198" s="33" cm="1">
        <f t="array" aca="1" ref="R19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($E198=CLASSIFICATION[[Keyword Aggr]:[Keyword Aggr]])*($D198=CLASSIFICATION[[Functional Scope Aggr]:[Functional Scope Aggr]])),
_xlpm._platform_keywords, _xlfn.TEXTSPLIT(SUBSTITUTE(SUBSTITUTE(VLOOKUP($D198,_xlpm._platform_range,3,FALSE),"+"&amp;CHAR(34),"+"),CHAR(34),""),", "),
_xlpm._exists, SUMPRODUCT(--ISNUMBER(MATCH(_xlpm._platform_keywords,_xlpm._original_keywords,0)))&gt;0,
_xlfn.IFS(_xlpm._exists,1,NOT(_xlpm._exists),"")
)</f>
        <v>1</v>
      </c>
      <c r="S198" s="33" cm="1">
        <f t="array" aca="1" ref="S19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($E198=CLASSIFICATION[[Keyword Aggr]:[Keyword Aggr]])*($D198=CLASSIFICATION[[Functional Scope Aggr]:[Functional Scope Aggr]])),
_xlpm._platform_keywords, _xlfn.TEXTSPLIT(SUBSTITUTE(SUBSTITUTE(VLOOKUP($D198,_xlpm._platform_range,3,FALSE),"+"&amp;CHAR(34),"+"),CHAR(34),""),", "),
_xlpm._exists, SUMPRODUCT(--ISNUMBER(MATCH(_xlpm._platform_keywords,_xlpm._original_keywords,0)))&gt;0,
_xlfn.IFS(_xlpm._exists,1,NOT(_xlpm._exists),"")
)</f>
        <v>1</v>
      </c>
      <c r="T198" s="33" t="str" cm="1">
        <f t="array" aca="1" ref="T19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($E198=CLASSIFICATION[[Keyword Aggr]:[Keyword Aggr]])*($D198=CLASSIFICATION[[Functional Scope Aggr]:[Functional Scope Aggr]])),
_xlpm._platform_keywords, _xlfn.TEXTSPLIT(SUBSTITUTE(SUBSTITUTE(VLOOKUP($D198,_xlpm._platform_range,3,FALSE),"+"&amp;CHAR(34),"+"),CHAR(34),""),", "),
_xlpm._exists, SUMPRODUCT(--ISNUMBER(MATCH(_xlpm._platform_keywords,_xlpm._original_keywords,0)))&gt;0,
_xlfn.IFS(_xlpm._exists,1,NOT(_xlpm._exists),"")
)</f>
        <v/>
      </c>
      <c r="U198" s="33" t="str" cm="1">
        <f t="array" aca="1" ref="U19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($E198=CLASSIFICATION[[Keyword Aggr]:[Keyword Aggr]])*($D198=CLASSIFICATION[[Functional Scope Aggr]:[Functional Scope Aggr]])),
_xlpm._platform_keywords, _xlfn.TEXTSPLIT(SUBSTITUTE(SUBSTITUTE(VLOOKUP($D198,_xlpm._platform_range,3,FALSE),"+"&amp;CHAR(34),"+"),CHAR(34),""),", "),
_xlpm._exists, SUMPRODUCT(--ISNUMBER(MATCH(_xlpm._platform_keywords,_xlpm._original_keywords,0)))&gt;0,
_xlfn.IFS(_xlpm._exists,1,NOT(_xlpm._exists),"")
)</f>
        <v/>
      </c>
      <c r="V198" s="33" t="str" cm="1">
        <f t="array" aca="1" ref="V19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($E198=CLASSIFICATION[[Keyword Aggr]:[Keyword Aggr]])*($D198=CLASSIFICATION[[Functional Scope Aggr]:[Functional Scope Aggr]])),
_xlpm._platform_keywords, _xlfn.TEXTSPLIT(SUBSTITUTE(SUBSTITUTE(VLOOKUP($D198,_xlpm._platform_range,3,FALSE),"+"&amp;CHAR(34),"+"),CHAR(34),""),", "),
_xlpm._exists, SUMPRODUCT(--ISNUMBER(MATCH(_xlpm._platform_keywords,_xlpm._original_keywords,0)))&gt;0,
_xlfn.IFS(_xlpm._exists,1,NOT(_xlpm._exists),"")
)</f>
        <v/>
      </c>
      <c r="X198" s="33" t="str">
        <f t="shared" si="32"/>
        <v/>
      </c>
      <c r="Y198" s="33" t="str">
        <f t="shared" si="33"/>
        <v/>
      </c>
      <c r="Z198" s="33" t="str">
        <f t="shared" si="34"/>
        <v/>
      </c>
      <c r="AA198" s="33" t="str">
        <f t="shared" si="35"/>
        <v/>
      </c>
      <c r="AB198" s="33" t="str">
        <f t="shared" si="36"/>
        <v/>
      </c>
      <c r="AC198" s="33" t="str">
        <f t="shared" si="37"/>
        <v/>
      </c>
    </row>
    <row r="199" spans="1:29" x14ac:dyDescent="0.25">
      <c r="A199" s="19" t="str">
        <v>Implementation,Deployment,Cloud Services</v>
      </c>
      <c r="B199" t="s">
        <v>377</v>
      </c>
      <c r="C199" s="19" t="str" cm="1">
        <f t="array" ref="C199:E199">_xlfn.TEXTSPLIT(A199,",")</f>
        <v>Implementation</v>
      </c>
      <c r="D199" s="19" t="str">
        <v>Deployment</v>
      </c>
      <c r="E199" s="19" t="str">
        <v>Cloud Services</v>
      </c>
      <c r="F199" s="36" t="str" cm="1">
        <f t="array" ref="F199">_xlfn.TEXTJOIN(",",TRUE,_xlfn._xlws.FILTER(CLASSIFICATION[Keyword], ($E199=CLASSIFICATION[Keyword Aggr])*($D199=CLASSIFICATION[Functional Scope Aggr])))</f>
        <v>Cloud Services</v>
      </c>
      <c r="G199" s="32" t="str">
        <f t="shared" si="29"/>
        <v/>
      </c>
      <c r="H199" s="32" t="str">
        <f t="shared" si="30"/>
        <v/>
      </c>
      <c r="I199" s="32" t="str">
        <f t="shared" si="31"/>
        <v>Cloud Services</v>
      </c>
      <c r="J199" s="33" t="str" cm="1">
        <f t="array" aca="1" ref="J19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($E199=CLASSIFICATION[[Keyword Aggr]:[Keyword Aggr]])*($D199=CLASSIFICATION[[Functional Scope Aggr]:[Functional Scope Aggr]])),
_xlpm._platform_keywords, _xlfn.TEXTSPLIT(SUBSTITUTE(SUBSTITUTE(VLOOKUP($D199,_xlpm._platform_range,3,FALSE),"+"&amp;CHAR(34),"+"),CHAR(34),""),", "),
_xlpm._exists, SUMPRODUCT(--ISNUMBER(MATCH(_xlpm._platform_keywords,_xlpm._original_keywords,0)))&gt;0,
_xlfn.IFS(AND(_xlpm._exists,LEFT($E199,1)="+"),"+",_xlpm._exists,"*",NOT(_xlpm._exists),"")
)</f>
        <v>*</v>
      </c>
      <c r="K199" s="33" t="str" cm="1">
        <f t="array" aca="1" ref="K19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($E199=CLASSIFICATION[[Keyword Aggr]:[Keyword Aggr]])*($D199=CLASSIFICATION[[Functional Scope Aggr]:[Functional Scope Aggr]])),
_xlpm._platform_keywords, _xlfn.TEXTSPLIT(SUBSTITUTE(SUBSTITUTE(VLOOKUP($D199,_xlpm._platform_range,3,FALSE),"+"&amp;CHAR(34),"+"),CHAR(34),""),", "),
_xlpm._exists, SUMPRODUCT(--ISNUMBER(MATCH(_xlpm._platform_keywords,_xlpm._original_keywords,0)))&gt;0,
_xlfn.IFS(AND(_xlpm._exists,LEFT($E199,1)="+"),"+",_xlpm._exists,"*",NOT(_xlpm._exists),"")
)</f>
        <v/>
      </c>
      <c r="L199" s="33" t="str" cm="1">
        <f t="array" aca="1" ref="L19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($E199=CLASSIFICATION[[Keyword Aggr]:[Keyword Aggr]])*($D199=CLASSIFICATION[[Functional Scope Aggr]:[Functional Scope Aggr]])),
_xlpm._platform_keywords, _xlfn.TEXTSPLIT(SUBSTITUTE(SUBSTITUTE(VLOOKUP($D199,_xlpm._platform_range,3,FALSE),"+"&amp;CHAR(34),"+"),CHAR(34),""),", "),
_xlpm._exists, SUMPRODUCT(--ISNUMBER(MATCH(_xlpm._platform_keywords,_xlpm._original_keywords,0)))&gt;0,
_xlfn.IFS(AND(_xlpm._exists,LEFT($E199,1)="+"),"+",_xlpm._exists,"*",NOT(_xlpm._exists),"")
)</f>
        <v/>
      </c>
      <c r="M199" s="33" t="str" cm="1">
        <f t="array" aca="1" ref="M19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($E199=CLASSIFICATION[[Keyword Aggr]:[Keyword Aggr]])*($D199=CLASSIFICATION[[Functional Scope Aggr]:[Functional Scope Aggr]])),
_xlpm._platform_keywords, _xlfn.TEXTSPLIT(SUBSTITUTE(SUBSTITUTE(VLOOKUP($D199,_xlpm._platform_range,3,FALSE),"+"&amp;CHAR(34),"+"),CHAR(34),""),", "),
_xlpm._exists, SUMPRODUCT(--ISNUMBER(MATCH(_xlpm._platform_keywords,_xlpm._original_keywords,0)))&gt;0,
_xlfn.IFS(AND(_xlpm._exists,LEFT($E199,1)="+"),"+",_xlpm._exists,"*",NOT(_xlpm._exists),"")
)</f>
        <v/>
      </c>
      <c r="N199" s="33" t="str" cm="1">
        <f t="array" aca="1" ref="N19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($E199=CLASSIFICATION[[Keyword Aggr]:[Keyword Aggr]])*($D199=CLASSIFICATION[[Functional Scope Aggr]:[Functional Scope Aggr]])),
_xlpm._platform_keywords, _xlfn.TEXTSPLIT(SUBSTITUTE(SUBSTITUTE(VLOOKUP($D199,_xlpm._platform_range,3,FALSE),"+"&amp;CHAR(34),"+"),CHAR(34),""),", "),
_xlpm._exists, SUMPRODUCT(--ISNUMBER(MATCH(_xlpm._platform_keywords,_xlpm._original_keywords,0)))&gt;0,
_xlfn.IFS(AND(_xlpm._exists,LEFT($E199,1)="+"),"+",_xlpm._exists,"*",NOT(_xlpm._exists),"")
)</f>
        <v/>
      </c>
      <c r="O199" s="33" t="str" cm="1">
        <f t="array" aca="1" ref="O19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($E199=CLASSIFICATION[[Keyword Aggr]:[Keyword Aggr]])*($D199=CLASSIFICATION[[Functional Scope Aggr]:[Functional Scope Aggr]])),
_xlpm._platform_keywords, _xlfn.TEXTSPLIT(SUBSTITUTE(SUBSTITUTE(VLOOKUP($D199,_xlpm._platform_range,3,FALSE),"+"&amp;CHAR(34),"+"),CHAR(34),""),", "),
_xlpm._exists, SUMPRODUCT(--ISNUMBER(MATCH(_xlpm._platform_keywords,_xlpm._original_keywords,0)))&gt;0,
_xlfn.IFS(AND(_xlpm._exists,LEFT($E199,1)="+"),"+",_xlpm._exists,"*",NOT(_xlpm._exists),"")
)</f>
        <v/>
      </c>
      <c r="Q199" s="33" cm="1">
        <f t="array" aca="1" ref="Q19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($E199=CLASSIFICATION[[Keyword Aggr]:[Keyword Aggr]])*($D199=CLASSIFICATION[[Functional Scope Aggr]:[Functional Scope Aggr]])),
_xlpm._platform_keywords, _xlfn.TEXTSPLIT(SUBSTITUTE(SUBSTITUTE(VLOOKUP($D199,_xlpm._platform_range,3,FALSE),"+"&amp;CHAR(34),"+"),CHAR(34),""),", "),
_xlpm._exists, SUMPRODUCT(--ISNUMBER(MATCH(_xlpm._platform_keywords,_xlpm._original_keywords,0)))&gt;0,
_xlfn.IFS(_xlpm._exists,1,NOT(_xlpm._exists),"")
)</f>
        <v>1</v>
      </c>
      <c r="R199" s="33" t="str" cm="1">
        <f t="array" aca="1" ref="R19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($E199=CLASSIFICATION[[Keyword Aggr]:[Keyword Aggr]])*($D199=CLASSIFICATION[[Functional Scope Aggr]:[Functional Scope Aggr]])),
_xlpm._platform_keywords, _xlfn.TEXTSPLIT(SUBSTITUTE(SUBSTITUTE(VLOOKUP($D199,_xlpm._platform_range,3,FALSE),"+"&amp;CHAR(34),"+"),CHAR(34),""),", "),
_xlpm._exists, SUMPRODUCT(--ISNUMBER(MATCH(_xlpm._platform_keywords,_xlpm._original_keywords,0)))&gt;0,
_xlfn.IFS(_xlpm._exists,1,NOT(_xlpm._exists),"")
)</f>
        <v/>
      </c>
      <c r="S199" s="33" t="str" cm="1">
        <f t="array" aca="1" ref="S19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($E199=CLASSIFICATION[[Keyword Aggr]:[Keyword Aggr]])*($D199=CLASSIFICATION[[Functional Scope Aggr]:[Functional Scope Aggr]])),
_xlpm._platform_keywords, _xlfn.TEXTSPLIT(SUBSTITUTE(SUBSTITUTE(VLOOKUP($D199,_xlpm._platform_range,3,FALSE),"+"&amp;CHAR(34),"+"),CHAR(34),""),", "),
_xlpm._exists, SUMPRODUCT(--ISNUMBER(MATCH(_xlpm._platform_keywords,_xlpm._original_keywords,0)))&gt;0,
_xlfn.IFS(_xlpm._exists,1,NOT(_xlpm._exists),"")
)</f>
        <v/>
      </c>
      <c r="T199" s="33" t="str" cm="1">
        <f t="array" aca="1" ref="T19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($E199=CLASSIFICATION[[Keyword Aggr]:[Keyword Aggr]])*($D199=CLASSIFICATION[[Functional Scope Aggr]:[Functional Scope Aggr]])),
_xlpm._platform_keywords, _xlfn.TEXTSPLIT(SUBSTITUTE(SUBSTITUTE(VLOOKUP($D199,_xlpm._platform_range,3,FALSE),"+"&amp;CHAR(34),"+"),CHAR(34),""),", "),
_xlpm._exists, SUMPRODUCT(--ISNUMBER(MATCH(_xlpm._platform_keywords,_xlpm._original_keywords,0)))&gt;0,
_xlfn.IFS(_xlpm._exists,1,NOT(_xlpm._exists),"")
)</f>
        <v/>
      </c>
      <c r="U199" s="33" t="str" cm="1">
        <f t="array" aca="1" ref="U19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($E199=CLASSIFICATION[[Keyword Aggr]:[Keyword Aggr]])*($D199=CLASSIFICATION[[Functional Scope Aggr]:[Functional Scope Aggr]])),
_xlpm._platform_keywords, _xlfn.TEXTSPLIT(SUBSTITUTE(SUBSTITUTE(VLOOKUP($D199,_xlpm._platform_range,3,FALSE),"+"&amp;CHAR(34),"+"),CHAR(34),""),", "),
_xlpm._exists, SUMPRODUCT(--ISNUMBER(MATCH(_xlpm._platform_keywords,_xlpm._original_keywords,0)))&gt;0,
_xlfn.IFS(_xlpm._exists,1,NOT(_xlpm._exists),"")
)</f>
        <v/>
      </c>
      <c r="V199" s="33" t="str" cm="1">
        <f t="array" aca="1" ref="V19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($E199=CLASSIFICATION[[Keyword Aggr]:[Keyword Aggr]])*($D199=CLASSIFICATION[[Functional Scope Aggr]:[Functional Scope Aggr]])),
_xlpm._platform_keywords, _xlfn.TEXTSPLIT(SUBSTITUTE(SUBSTITUTE(VLOOKUP($D199,_xlpm._platform_range,3,FALSE),"+"&amp;CHAR(34),"+"),CHAR(34),""),", "),
_xlpm._exists, SUMPRODUCT(--ISNUMBER(MATCH(_xlpm._platform_keywords,_xlpm._original_keywords,0)))&gt;0,
_xlfn.IFS(_xlpm._exists,1,NOT(_xlpm._exists),"")
)</f>
        <v/>
      </c>
      <c r="X199" s="33" t="str">
        <f t="shared" si="32"/>
        <v/>
      </c>
      <c r="Y199" s="33" t="str">
        <f t="shared" si="33"/>
        <v/>
      </c>
      <c r="Z199" s="33" t="str">
        <f t="shared" si="34"/>
        <v/>
      </c>
      <c r="AA199" s="33" t="str">
        <f t="shared" si="35"/>
        <v/>
      </c>
      <c r="AB199" s="33" t="str">
        <f t="shared" si="36"/>
        <v/>
      </c>
      <c r="AC199" s="33" t="str">
        <f t="shared" si="37"/>
        <v/>
      </c>
    </row>
    <row r="200" spans="1:29" x14ac:dyDescent="0.25">
      <c r="A200" s="19" t="str">
        <v>Implementation,Deployment,Docker</v>
      </c>
      <c r="B200" t="s">
        <v>377</v>
      </c>
      <c r="C200" s="19" t="str" cm="1">
        <f t="array" ref="C200:E200">_xlfn.TEXTSPLIT(A200,",")</f>
        <v>Implementation</v>
      </c>
      <c r="D200" s="19" t="str">
        <v>Deployment</v>
      </c>
      <c r="E200" s="19" t="str">
        <v>Docker</v>
      </c>
      <c r="F200" s="36" t="str" cm="1">
        <f t="array" ref="F200">_xlfn.TEXTJOIN(",",TRUE,_xlfn._xlws.FILTER(CLASSIFICATION[Keyword], ($E200=CLASSIFICATION[Keyword Aggr])*($D200=CLASSIFICATION[Functional Scope Aggr])))</f>
        <v>Docker</v>
      </c>
      <c r="G200" s="32" t="str">
        <f t="shared" si="29"/>
        <v/>
      </c>
      <c r="H200" s="32" t="str">
        <f t="shared" si="30"/>
        <v/>
      </c>
      <c r="I200" s="32" t="str">
        <f t="shared" si="31"/>
        <v>Docker</v>
      </c>
      <c r="J200" s="33" t="str" cm="1">
        <f t="array" aca="1" ref="J20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($E200=CLASSIFICATION[[Keyword Aggr]:[Keyword Aggr]])*($D200=CLASSIFICATION[[Functional Scope Aggr]:[Functional Scope Aggr]])),
_xlpm._platform_keywords, _xlfn.TEXTSPLIT(SUBSTITUTE(SUBSTITUTE(VLOOKUP($D200,_xlpm._platform_range,3,FALSE),"+"&amp;CHAR(34),"+"),CHAR(34),""),", "),
_xlpm._exists, SUMPRODUCT(--ISNUMBER(MATCH(_xlpm._platform_keywords,_xlpm._original_keywords,0)))&gt;0,
_xlfn.IFS(AND(_xlpm._exists,LEFT($E200,1)="+"),"+",_xlpm._exists,"*",NOT(_xlpm._exists),"")
)</f>
        <v>*</v>
      </c>
      <c r="K200" s="33" t="str" cm="1">
        <f t="array" aca="1" ref="K20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($E200=CLASSIFICATION[[Keyword Aggr]:[Keyword Aggr]])*($D200=CLASSIFICATION[[Functional Scope Aggr]:[Functional Scope Aggr]])),
_xlpm._platform_keywords, _xlfn.TEXTSPLIT(SUBSTITUTE(SUBSTITUTE(VLOOKUP($D200,_xlpm._platform_range,3,FALSE),"+"&amp;CHAR(34),"+"),CHAR(34),""),", "),
_xlpm._exists, SUMPRODUCT(--ISNUMBER(MATCH(_xlpm._platform_keywords,_xlpm._original_keywords,0)))&gt;0,
_xlfn.IFS(AND(_xlpm._exists,LEFT($E200,1)="+"),"+",_xlpm._exists,"*",NOT(_xlpm._exists),"")
)</f>
        <v/>
      </c>
      <c r="L200" s="33" t="str" cm="1">
        <f t="array" aca="1" ref="L20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($E200=CLASSIFICATION[[Keyword Aggr]:[Keyword Aggr]])*($D200=CLASSIFICATION[[Functional Scope Aggr]:[Functional Scope Aggr]])),
_xlpm._platform_keywords, _xlfn.TEXTSPLIT(SUBSTITUTE(SUBSTITUTE(VLOOKUP($D200,_xlpm._platform_range,3,FALSE),"+"&amp;CHAR(34),"+"),CHAR(34),""),", "),
_xlpm._exists, SUMPRODUCT(--ISNUMBER(MATCH(_xlpm._platform_keywords,_xlpm._original_keywords,0)))&gt;0,
_xlfn.IFS(AND(_xlpm._exists,LEFT($E200,1)="+"),"+",_xlpm._exists,"*",NOT(_xlpm._exists),"")
)</f>
        <v/>
      </c>
      <c r="M200" s="33" t="str" cm="1">
        <f t="array" aca="1" ref="M20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($E200=CLASSIFICATION[[Keyword Aggr]:[Keyword Aggr]])*($D200=CLASSIFICATION[[Functional Scope Aggr]:[Functional Scope Aggr]])),
_xlpm._platform_keywords, _xlfn.TEXTSPLIT(SUBSTITUTE(SUBSTITUTE(VLOOKUP($D200,_xlpm._platform_range,3,FALSE),"+"&amp;CHAR(34),"+"),CHAR(34),""),", "),
_xlpm._exists, SUMPRODUCT(--ISNUMBER(MATCH(_xlpm._platform_keywords,_xlpm._original_keywords,0)))&gt;0,
_xlfn.IFS(AND(_xlpm._exists,LEFT($E200,1)="+"),"+",_xlpm._exists,"*",NOT(_xlpm._exists),"")
)</f>
        <v/>
      </c>
      <c r="N200" s="33" t="str" cm="1">
        <f t="array" aca="1" ref="N20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($E200=CLASSIFICATION[[Keyword Aggr]:[Keyword Aggr]])*($D200=CLASSIFICATION[[Functional Scope Aggr]:[Functional Scope Aggr]])),
_xlpm._platform_keywords, _xlfn.TEXTSPLIT(SUBSTITUTE(SUBSTITUTE(VLOOKUP($D200,_xlpm._platform_range,3,FALSE),"+"&amp;CHAR(34),"+"),CHAR(34),""),", "),
_xlpm._exists, SUMPRODUCT(--ISNUMBER(MATCH(_xlpm._platform_keywords,_xlpm._original_keywords,0)))&gt;0,
_xlfn.IFS(AND(_xlpm._exists,LEFT($E200,1)="+"),"+",_xlpm._exists,"*",NOT(_xlpm._exists),"")
)</f>
        <v/>
      </c>
      <c r="O200" s="33" t="str" cm="1">
        <f t="array" aca="1" ref="O20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($E200=CLASSIFICATION[[Keyword Aggr]:[Keyword Aggr]])*($D200=CLASSIFICATION[[Functional Scope Aggr]:[Functional Scope Aggr]])),
_xlpm._platform_keywords, _xlfn.TEXTSPLIT(SUBSTITUTE(SUBSTITUTE(VLOOKUP($D200,_xlpm._platform_range,3,FALSE),"+"&amp;CHAR(34),"+"),CHAR(34),""),", "),
_xlpm._exists, SUMPRODUCT(--ISNUMBER(MATCH(_xlpm._platform_keywords,_xlpm._original_keywords,0)))&gt;0,
_xlfn.IFS(AND(_xlpm._exists,LEFT($E200,1)="+"),"+",_xlpm._exists,"*",NOT(_xlpm._exists),"")
)</f>
        <v/>
      </c>
      <c r="Q200" s="33" cm="1">
        <f t="array" aca="1" ref="Q20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($E200=CLASSIFICATION[[Keyword Aggr]:[Keyword Aggr]])*($D200=CLASSIFICATION[[Functional Scope Aggr]:[Functional Scope Aggr]])),
_xlpm._platform_keywords, _xlfn.TEXTSPLIT(SUBSTITUTE(SUBSTITUTE(VLOOKUP($D200,_xlpm._platform_range,3,FALSE),"+"&amp;CHAR(34),"+"),CHAR(34),""),", "),
_xlpm._exists, SUMPRODUCT(--ISNUMBER(MATCH(_xlpm._platform_keywords,_xlpm._original_keywords,0)))&gt;0,
_xlfn.IFS(_xlpm._exists,1,NOT(_xlpm._exists),"")
)</f>
        <v>1</v>
      </c>
      <c r="R200" s="33" t="str" cm="1">
        <f t="array" aca="1" ref="R20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($E200=CLASSIFICATION[[Keyword Aggr]:[Keyword Aggr]])*($D200=CLASSIFICATION[[Functional Scope Aggr]:[Functional Scope Aggr]])),
_xlpm._platform_keywords, _xlfn.TEXTSPLIT(SUBSTITUTE(SUBSTITUTE(VLOOKUP($D200,_xlpm._platform_range,3,FALSE),"+"&amp;CHAR(34),"+"),CHAR(34),""),", "),
_xlpm._exists, SUMPRODUCT(--ISNUMBER(MATCH(_xlpm._platform_keywords,_xlpm._original_keywords,0)))&gt;0,
_xlfn.IFS(_xlpm._exists,1,NOT(_xlpm._exists),"")
)</f>
        <v/>
      </c>
      <c r="S200" s="33" t="str" cm="1">
        <f t="array" aca="1" ref="S20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($E200=CLASSIFICATION[[Keyword Aggr]:[Keyword Aggr]])*($D200=CLASSIFICATION[[Functional Scope Aggr]:[Functional Scope Aggr]])),
_xlpm._platform_keywords, _xlfn.TEXTSPLIT(SUBSTITUTE(SUBSTITUTE(VLOOKUP($D200,_xlpm._platform_range,3,FALSE),"+"&amp;CHAR(34),"+"),CHAR(34),""),", "),
_xlpm._exists, SUMPRODUCT(--ISNUMBER(MATCH(_xlpm._platform_keywords,_xlpm._original_keywords,0)))&gt;0,
_xlfn.IFS(_xlpm._exists,1,NOT(_xlpm._exists),"")
)</f>
        <v/>
      </c>
      <c r="T200" s="33" t="str" cm="1">
        <f t="array" aca="1" ref="T20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($E200=CLASSIFICATION[[Keyword Aggr]:[Keyword Aggr]])*($D200=CLASSIFICATION[[Functional Scope Aggr]:[Functional Scope Aggr]])),
_xlpm._platform_keywords, _xlfn.TEXTSPLIT(SUBSTITUTE(SUBSTITUTE(VLOOKUP($D200,_xlpm._platform_range,3,FALSE),"+"&amp;CHAR(34),"+"),CHAR(34),""),", "),
_xlpm._exists, SUMPRODUCT(--ISNUMBER(MATCH(_xlpm._platform_keywords,_xlpm._original_keywords,0)))&gt;0,
_xlfn.IFS(_xlpm._exists,1,NOT(_xlpm._exists),"")
)</f>
        <v/>
      </c>
      <c r="U200" s="33" t="str" cm="1">
        <f t="array" aca="1" ref="U20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($E200=CLASSIFICATION[[Keyword Aggr]:[Keyword Aggr]])*($D200=CLASSIFICATION[[Functional Scope Aggr]:[Functional Scope Aggr]])),
_xlpm._platform_keywords, _xlfn.TEXTSPLIT(SUBSTITUTE(SUBSTITUTE(VLOOKUP($D200,_xlpm._platform_range,3,FALSE),"+"&amp;CHAR(34),"+"),CHAR(34),""),", "),
_xlpm._exists, SUMPRODUCT(--ISNUMBER(MATCH(_xlpm._platform_keywords,_xlpm._original_keywords,0)))&gt;0,
_xlfn.IFS(_xlpm._exists,1,NOT(_xlpm._exists),"")
)</f>
        <v/>
      </c>
      <c r="V200" s="33" t="str" cm="1">
        <f t="array" aca="1" ref="V20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($E200=CLASSIFICATION[[Keyword Aggr]:[Keyword Aggr]])*($D200=CLASSIFICATION[[Functional Scope Aggr]:[Functional Scope Aggr]])),
_xlpm._platform_keywords, _xlfn.TEXTSPLIT(SUBSTITUTE(SUBSTITUTE(VLOOKUP($D200,_xlpm._platform_range,3,FALSE),"+"&amp;CHAR(34),"+"),CHAR(34),""),", "),
_xlpm._exists, SUMPRODUCT(--ISNUMBER(MATCH(_xlpm._platform_keywords,_xlpm._original_keywords,0)))&gt;0,
_xlfn.IFS(_xlpm._exists,1,NOT(_xlpm._exists),"")
)</f>
        <v/>
      </c>
      <c r="X200" s="33" t="str">
        <f t="shared" si="32"/>
        <v/>
      </c>
      <c r="Y200" s="33" t="str">
        <f t="shared" si="33"/>
        <v/>
      </c>
      <c r="Z200" s="33" t="str">
        <f t="shared" si="34"/>
        <v/>
      </c>
      <c r="AA200" s="33" t="str">
        <f t="shared" si="35"/>
        <v/>
      </c>
      <c r="AB200" s="33" t="str">
        <f t="shared" si="36"/>
        <v/>
      </c>
      <c r="AC200" s="33" t="str">
        <f t="shared" si="37"/>
        <v/>
      </c>
    </row>
    <row r="201" spans="1:29" x14ac:dyDescent="0.25">
      <c r="A201" s="19" t="str">
        <v>Implementation,Deployment,Import/Export</v>
      </c>
      <c r="B201" t="s">
        <v>377</v>
      </c>
      <c r="C201" s="19" t="str" cm="1">
        <f t="array" ref="C201:E201">_xlfn.TEXTSPLIT(A201,",")</f>
        <v>Implementation</v>
      </c>
      <c r="D201" s="19" t="str">
        <v>Deployment</v>
      </c>
      <c r="E201" s="19" t="str">
        <v>Import/Export</v>
      </c>
      <c r="F201" s="36" t="str" cm="1">
        <f t="array" ref="F201">_xlfn.TEXTJOIN(",",TRUE,_xlfn._xlws.FILTER(CLASSIFICATION[Keyword], ($E201=CLASSIFICATION[Keyword Aggr])*($D201=CLASSIFICATION[Functional Scope Aggr])))</f>
        <v>Import/Export</v>
      </c>
      <c r="G201" s="32" t="str">
        <f t="shared" si="29"/>
        <v/>
      </c>
      <c r="H201" s="32" t="str">
        <f t="shared" si="30"/>
        <v/>
      </c>
      <c r="I201" s="32" t="str">
        <f t="shared" si="31"/>
        <v>Import/Export</v>
      </c>
      <c r="J201" s="33" t="str" cm="1">
        <f t="array" aca="1" ref="J20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($E201=CLASSIFICATION[[Keyword Aggr]:[Keyword Aggr]])*($D201=CLASSIFICATION[[Functional Scope Aggr]:[Functional Scope Aggr]])),
_xlpm._platform_keywords, _xlfn.TEXTSPLIT(SUBSTITUTE(SUBSTITUTE(VLOOKUP($D201,_xlpm._platform_range,3,FALSE),"+"&amp;CHAR(34),"+"),CHAR(34),""),", "),
_xlpm._exists, SUMPRODUCT(--ISNUMBER(MATCH(_xlpm._platform_keywords,_xlpm._original_keywords,0)))&gt;0,
_xlfn.IFS(AND(_xlpm._exists,LEFT($E201,1)="+"),"+",_xlpm._exists,"*",NOT(_xlpm._exists),"")
)</f>
        <v/>
      </c>
      <c r="K201" s="33" t="str" cm="1">
        <f t="array" aca="1" ref="K20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($E201=CLASSIFICATION[[Keyword Aggr]:[Keyword Aggr]])*($D201=CLASSIFICATION[[Functional Scope Aggr]:[Functional Scope Aggr]])),
_xlpm._platform_keywords, _xlfn.TEXTSPLIT(SUBSTITUTE(SUBSTITUTE(VLOOKUP($D201,_xlpm._platform_range,3,FALSE),"+"&amp;CHAR(34),"+"),CHAR(34),""),", "),
_xlpm._exists, SUMPRODUCT(--ISNUMBER(MATCH(_xlpm._platform_keywords,_xlpm._original_keywords,0)))&gt;0,
_xlfn.IFS(AND(_xlpm._exists,LEFT($E201,1)="+"),"+",_xlpm._exists,"*",NOT(_xlpm._exists),"")
)</f>
        <v/>
      </c>
      <c r="L201" s="33" t="str" cm="1">
        <f t="array" aca="1" ref="L20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($E201=CLASSIFICATION[[Keyword Aggr]:[Keyword Aggr]])*($D201=CLASSIFICATION[[Functional Scope Aggr]:[Functional Scope Aggr]])),
_xlpm._platform_keywords, _xlfn.TEXTSPLIT(SUBSTITUTE(SUBSTITUTE(VLOOKUP($D201,_xlpm._platform_range,3,FALSE),"+"&amp;CHAR(34),"+"),CHAR(34),""),", "),
_xlpm._exists, SUMPRODUCT(--ISNUMBER(MATCH(_xlpm._platform_keywords,_xlpm._original_keywords,0)))&gt;0,
_xlfn.IFS(AND(_xlpm._exists,LEFT($E201,1)="+"),"+",_xlpm._exists,"*",NOT(_xlpm._exists),"")
)</f>
        <v>*</v>
      </c>
      <c r="M201" s="33" t="str" cm="1">
        <f t="array" aca="1" ref="M20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($E201=CLASSIFICATION[[Keyword Aggr]:[Keyword Aggr]])*($D201=CLASSIFICATION[[Functional Scope Aggr]:[Functional Scope Aggr]])),
_xlpm._platform_keywords, _xlfn.TEXTSPLIT(SUBSTITUTE(SUBSTITUTE(VLOOKUP($D201,_xlpm._platform_range,3,FALSE),"+"&amp;CHAR(34),"+"),CHAR(34),""),", "),
_xlpm._exists, SUMPRODUCT(--ISNUMBER(MATCH(_xlpm._platform_keywords,_xlpm._original_keywords,0)))&gt;0,
_xlfn.IFS(AND(_xlpm._exists,LEFT($E201,1)="+"),"+",_xlpm._exists,"*",NOT(_xlpm._exists),"")
)</f>
        <v/>
      </c>
      <c r="N201" s="33" t="str" cm="1">
        <f t="array" aca="1" ref="N20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($E201=CLASSIFICATION[[Keyword Aggr]:[Keyword Aggr]])*($D201=CLASSIFICATION[[Functional Scope Aggr]:[Functional Scope Aggr]])),
_xlpm._platform_keywords, _xlfn.TEXTSPLIT(SUBSTITUTE(SUBSTITUTE(VLOOKUP($D201,_xlpm._platform_range,3,FALSE),"+"&amp;CHAR(34),"+"),CHAR(34),""),", "),
_xlpm._exists, SUMPRODUCT(--ISNUMBER(MATCH(_xlpm._platform_keywords,_xlpm._original_keywords,0)))&gt;0,
_xlfn.IFS(AND(_xlpm._exists,LEFT($E201,1)="+"),"+",_xlpm._exists,"*",NOT(_xlpm._exists),"")
)</f>
        <v/>
      </c>
      <c r="O201" s="33" t="str" cm="1">
        <f t="array" aca="1" ref="O20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($E201=CLASSIFICATION[[Keyword Aggr]:[Keyword Aggr]])*($D201=CLASSIFICATION[[Functional Scope Aggr]:[Functional Scope Aggr]])),
_xlpm._platform_keywords, _xlfn.TEXTSPLIT(SUBSTITUTE(SUBSTITUTE(VLOOKUP($D201,_xlpm._platform_range,3,FALSE),"+"&amp;CHAR(34),"+"),CHAR(34),""),", "),
_xlpm._exists, SUMPRODUCT(--ISNUMBER(MATCH(_xlpm._platform_keywords,_xlpm._original_keywords,0)))&gt;0,
_xlfn.IFS(AND(_xlpm._exists,LEFT($E201,1)="+"),"+",_xlpm._exists,"*",NOT(_xlpm._exists),"")
)</f>
        <v/>
      </c>
      <c r="Q201" s="33" t="str" cm="1">
        <f t="array" aca="1" ref="Q20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($E201=CLASSIFICATION[[Keyword Aggr]:[Keyword Aggr]])*($D201=CLASSIFICATION[[Functional Scope Aggr]:[Functional Scope Aggr]])),
_xlpm._platform_keywords, _xlfn.TEXTSPLIT(SUBSTITUTE(SUBSTITUTE(VLOOKUP($D201,_xlpm._platform_range,3,FALSE),"+"&amp;CHAR(34),"+"),CHAR(34),""),", "),
_xlpm._exists, SUMPRODUCT(--ISNUMBER(MATCH(_xlpm._platform_keywords,_xlpm._original_keywords,0)))&gt;0,
_xlfn.IFS(_xlpm._exists,1,NOT(_xlpm._exists),"")
)</f>
        <v/>
      </c>
      <c r="R201" s="33" t="str" cm="1">
        <f t="array" aca="1" ref="R20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($E201=CLASSIFICATION[[Keyword Aggr]:[Keyword Aggr]])*($D201=CLASSIFICATION[[Functional Scope Aggr]:[Functional Scope Aggr]])),
_xlpm._platform_keywords, _xlfn.TEXTSPLIT(SUBSTITUTE(SUBSTITUTE(VLOOKUP($D201,_xlpm._platform_range,3,FALSE),"+"&amp;CHAR(34),"+"),CHAR(34),""),", "),
_xlpm._exists, SUMPRODUCT(--ISNUMBER(MATCH(_xlpm._platform_keywords,_xlpm._original_keywords,0)))&gt;0,
_xlfn.IFS(_xlpm._exists,1,NOT(_xlpm._exists),"")
)</f>
        <v/>
      </c>
      <c r="S201" s="33" cm="1">
        <f t="array" aca="1" ref="S20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($E201=CLASSIFICATION[[Keyword Aggr]:[Keyword Aggr]])*($D201=CLASSIFICATION[[Functional Scope Aggr]:[Functional Scope Aggr]])),
_xlpm._platform_keywords, _xlfn.TEXTSPLIT(SUBSTITUTE(SUBSTITUTE(VLOOKUP($D201,_xlpm._platform_range,3,FALSE),"+"&amp;CHAR(34),"+"),CHAR(34),""),", "),
_xlpm._exists, SUMPRODUCT(--ISNUMBER(MATCH(_xlpm._platform_keywords,_xlpm._original_keywords,0)))&gt;0,
_xlfn.IFS(_xlpm._exists,1,NOT(_xlpm._exists),"")
)</f>
        <v>1</v>
      </c>
      <c r="T201" s="33" t="str" cm="1">
        <f t="array" aca="1" ref="T20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($E201=CLASSIFICATION[[Keyword Aggr]:[Keyword Aggr]])*($D201=CLASSIFICATION[[Functional Scope Aggr]:[Functional Scope Aggr]])),
_xlpm._platform_keywords, _xlfn.TEXTSPLIT(SUBSTITUTE(SUBSTITUTE(VLOOKUP($D201,_xlpm._platform_range,3,FALSE),"+"&amp;CHAR(34),"+"),CHAR(34),""),", "),
_xlpm._exists, SUMPRODUCT(--ISNUMBER(MATCH(_xlpm._platform_keywords,_xlpm._original_keywords,0)))&gt;0,
_xlfn.IFS(_xlpm._exists,1,NOT(_xlpm._exists),"")
)</f>
        <v/>
      </c>
      <c r="U201" s="33" t="str" cm="1">
        <f t="array" aca="1" ref="U20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($E201=CLASSIFICATION[[Keyword Aggr]:[Keyword Aggr]])*($D201=CLASSIFICATION[[Functional Scope Aggr]:[Functional Scope Aggr]])),
_xlpm._platform_keywords, _xlfn.TEXTSPLIT(SUBSTITUTE(SUBSTITUTE(VLOOKUP($D201,_xlpm._platform_range,3,FALSE),"+"&amp;CHAR(34),"+"),CHAR(34),""),", "),
_xlpm._exists, SUMPRODUCT(--ISNUMBER(MATCH(_xlpm._platform_keywords,_xlpm._original_keywords,0)))&gt;0,
_xlfn.IFS(_xlpm._exists,1,NOT(_xlpm._exists),"")
)</f>
        <v/>
      </c>
      <c r="V201" s="33" t="str" cm="1">
        <f t="array" aca="1" ref="V20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($E201=CLASSIFICATION[[Keyword Aggr]:[Keyword Aggr]])*($D201=CLASSIFICATION[[Functional Scope Aggr]:[Functional Scope Aggr]])),
_xlpm._platform_keywords, _xlfn.TEXTSPLIT(SUBSTITUTE(SUBSTITUTE(VLOOKUP($D201,_xlpm._platform_range,3,FALSE),"+"&amp;CHAR(34),"+"),CHAR(34),""),", "),
_xlpm._exists, SUMPRODUCT(--ISNUMBER(MATCH(_xlpm._platform_keywords,_xlpm._original_keywords,0)))&gt;0,
_xlfn.IFS(_xlpm._exists,1,NOT(_xlpm._exists),"")
)</f>
        <v/>
      </c>
      <c r="X201" s="33" t="str">
        <f t="shared" si="32"/>
        <v/>
      </c>
      <c r="Y201" s="33" t="str">
        <f t="shared" si="33"/>
        <v/>
      </c>
      <c r="Z201" s="33" t="str">
        <f t="shared" si="34"/>
        <v/>
      </c>
      <c r="AA201" s="33" t="str">
        <f t="shared" si="35"/>
        <v/>
      </c>
      <c r="AB201" s="33" t="str">
        <f t="shared" si="36"/>
        <v/>
      </c>
      <c r="AC201" s="33" t="str">
        <f t="shared" si="37"/>
        <v/>
      </c>
    </row>
    <row r="202" spans="1:29" x14ac:dyDescent="0.25">
      <c r="A202" s="19" t="str">
        <v>Implementation,Deployment,Kubernetes</v>
      </c>
      <c r="B202" t="s">
        <v>377</v>
      </c>
      <c r="C202" s="19" t="str" cm="1">
        <f t="array" ref="C202:E202">_xlfn.TEXTSPLIT(A202,",")</f>
        <v>Implementation</v>
      </c>
      <c r="D202" s="19" t="str">
        <v>Deployment</v>
      </c>
      <c r="E202" s="19" t="str">
        <v>Kubernetes</v>
      </c>
      <c r="F202" s="36" t="str" cm="1">
        <f t="array" ref="F202">_xlfn.TEXTJOIN(",",TRUE,_xlfn._xlws.FILTER(CLASSIFICATION[Keyword], ($E202=CLASSIFICATION[Keyword Aggr])*($D202=CLASSIFICATION[Functional Scope Aggr])))</f>
        <v>Kubernetes</v>
      </c>
      <c r="G202" s="32" t="str">
        <f t="shared" si="29"/>
        <v/>
      </c>
      <c r="H202" s="32" t="str">
        <f t="shared" si="30"/>
        <v/>
      </c>
      <c r="I202" s="32" t="str">
        <f t="shared" si="31"/>
        <v>Kubernetes</v>
      </c>
      <c r="J202" s="33" t="str" cm="1">
        <f t="array" aca="1" ref="J20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($E202=CLASSIFICATION[[Keyword Aggr]:[Keyword Aggr]])*($D202=CLASSIFICATION[[Functional Scope Aggr]:[Functional Scope Aggr]])),
_xlpm._platform_keywords, _xlfn.TEXTSPLIT(SUBSTITUTE(SUBSTITUTE(VLOOKUP($D202,_xlpm._platform_range,3,FALSE),"+"&amp;CHAR(34),"+"),CHAR(34),""),", "),
_xlpm._exists, SUMPRODUCT(--ISNUMBER(MATCH(_xlpm._platform_keywords,_xlpm._original_keywords,0)))&gt;0,
_xlfn.IFS(AND(_xlpm._exists,LEFT($E202,1)="+"),"+",_xlpm._exists,"*",NOT(_xlpm._exists),"")
)</f>
        <v>*</v>
      </c>
      <c r="K202" s="33" t="str" cm="1">
        <f t="array" aca="1" ref="K20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($E202=CLASSIFICATION[[Keyword Aggr]:[Keyword Aggr]])*($D202=CLASSIFICATION[[Functional Scope Aggr]:[Functional Scope Aggr]])),
_xlpm._platform_keywords, _xlfn.TEXTSPLIT(SUBSTITUTE(SUBSTITUTE(VLOOKUP($D202,_xlpm._platform_range,3,FALSE),"+"&amp;CHAR(34),"+"),CHAR(34),""),", "),
_xlpm._exists, SUMPRODUCT(--ISNUMBER(MATCH(_xlpm._platform_keywords,_xlpm._original_keywords,0)))&gt;0,
_xlfn.IFS(AND(_xlpm._exists,LEFT($E202,1)="+"),"+",_xlpm._exists,"*",NOT(_xlpm._exists),"")
)</f>
        <v/>
      </c>
      <c r="L202" s="33" t="str" cm="1">
        <f t="array" aca="1" ref="L20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($E202=CLASSIFICATION[[Keyword Aggr]:[Keyword Aggr]])*($D202=CLASSIFICATION[[Functional Scope Aggr]:[Functional Scope Aggr]])),
_xlpm._platform_keywords, _xlfn.TEXTSPLIT(SUBSTITUTE(SUBSTITUTE(VLOOKUP($D202,_xlpm._platform_range,3,FALSE),"+"&amp;CHAR(34),"+"),CHAR(34),""),", "),
_xlpm._exists, SUMPRODUCT(--ISNUMBER(MATCH(_xlpm._platform_keywords,_xlpm._original_keywords,0)))&gt;0,
_xlfn.IFS(AND(_xlpm._exists,LEFT($E202,1)="+"),"+",_xlpm._exists,"*",NOT(_xlpm._exists),"")
)</f>
        <v/>
      </c>
      <c r="M202" s="33" t="str" cm="1">
        <f t="array" aca="1" ref="M20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($E202=CLASSIFICATION[[Keyword Aggr]:[Keyword Aggr]])*($D202=CLASSIFICATION[[Functional Scope Aggr]:[Functional Scope Aggr]])),
_xlpm._platform_keywords, _xlfn.TEXTSPLIT(SUBSTITUTE(SUBSTITUTE(VLOOKUP($D202,_xlpm._platform_range,3,FALSE),"+"&amp;CHAR(34),"+"),CHAR(34),""),", "),
_xlpm._exists, SUMPRODUCT(--ISNUMBER(MATCH(_xlpm._platform_keywords,_xlpm._original_keywords,0)))&gt;0,
_xlfn.IFS(AND(_xlpm._exists,LEFT($E202,1)="+"),"+",_xlpm._exists,"*",NOT(_xlpm._exists),"")
)</f>
        <v/>
      </c>
      <c r="N202" s="33" t="str" cm="1">
        <f t="array" aca="1" ref="N20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($E202=CLASSIFICATION[[Keyword Aggr]:[Keyword Aggr]])*($D202=CLASSIFICATION[[Functional Scope Aggr]:[Functional Scope Aggr]])),
_xlpm._platform_keywords, _xlfn.TEXTSPLIT(SUBSTITUTE(SUBSTITUTE(VLOOKUP($D202,_xlpm._platform_range,3,FALSE),"+"&amp;CHAR(34),"+"),CHAR(34),""),", "),
_xlpm._exists, SUMPRODUCT(--ISNUMBER(MATCH(_xlpm._platform_keywords,_xlpm._original_keywords,0)))&gt;0,
_xlfn.IFS(AND(_xlpm._exists,LEFT($E202,1)="+"),"+",_xlpm._exists,"*",NOT(_xlpm._exists),"")
)</f>
        <v/>
      </c>
      <c r="O202" s="33" t="str" cm="1">
        <f t="array" aca="1" ref="O20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($E202=CLASSIFICATION[[Keyword Aggr]:[Keyword Aggr]])*($D202=CLASSIFICATION[[Functional Scope Aggr]:[Functional Scope Aggr]])),
_xlpm._platform_keywords, _xlfn.TEXTSPLIT(SUBSTITUTE(SUBSTITUTE(VLOOKUP($D202,_xlpm._platform_range,3,FALSE),"+"&amp;CHAR(34),"+"),CHAR(34),""),", "),
_xlpm._exists, SUMPRODUCT(--ISNUMBER(MATCH(_xlpm._platform_keywords,_xlpm._original_keywords,0)))&gt;0,
_xlfn.IFS(AND(_xlpm._exists,LEFT($E202,1)="+"),"+",_xlpm._exists,"*",NOT(_xlpm._exists),"")
)</f>
        <v/>
      </c>
      <c r="Q202" s="33" cm="1">
        <f t="array" aca="1" ref="Q20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($E202=CLASSIFICATION[[Keyword Aggr]:[Keyword Aggr]])*($D202=CLASSIFICATION[[Functional Scope Aggr]:[Functional Scope Aggr]])),
_xlpm._platform_keywords, _xlfn.TEXTSPLIT(SUBSTITUTE(SUBSTITUTE(VLOOKUP($D202,_xlpm._platform_range,3,FALSE),"+"&amp;CHAR(34),"+"),CHAR(34),""),", "),
_xlpm._exists, SUMPRODUCT(--ISNUMBER(MATCH(_xlpm._platform_keywords,_xlpm._original_keywords,0)))&gt;0,
_xlfn.IFS(_xlpm._exists,1,NOT(_xlpm._exists),"")
)</f>
        <v>1</v>
      </c>
      <c r="R202" s="33" t="str" cm="1">
        <f t="array" aca="1" ref="R20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($E202=CLASSIFICATION[[Keyword Aggr]:[Keyword Aggr]])*($D202=CLASSIFICATION[[Functional Scope Aggr]:[Functional Scope Aggr]])),
_xlpm._platform_keywords, _xlfn.TEXTSPLIT(SUBSTITUTE(SUBSTITUTE(VLOOKUP($D202,_xlpm._platform_range,3,FALSE),"+"&amp;CHAR(34),"+"),CHAR(34),""),", "),
_xlpm._exists, SUMPRODUCT(--ISNUMBER(MATCH(_xlpm._platform_keywords,_xlpm._original_keywords,0)))&gt;0,
_xlfn.IFS(_xlpm._exists,1,NOT(_xlpm._exists),"")
)</f>
        <v/>
      </c>
      <c r="S202" s="33" t="str" cm="1">
        <f t="array" aca="1" ref="S20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($E202=CLASSIFICATION[[Keyword Aggr]:[Keyword Aggr]])*($D202=CLASSIFICATION[[Functional Scope Aggr]:[Functional Scope Aggr]])),
_xlpm._platform_keywords, _xlfn.TEXTSPLIT(SUBSTITUTE(SUBSTITUTE(VLOOKUP($D202,_xlpm._platform_range,3,FALSE),"+"&amp;CHAR(34),"+"),CHAR(34),""),", "),
_xlpm._exists, SUMPRODUCT(--ISNUMBER(MATCH(_xlpm._platform_keywords,_xlpm._original_keywords,0)))&gt;0,
_xlfn.IFS(_xlpm._exists,1,NOT(_xlpm._exists),"")
)</f>
        <v/>
      </c>
      <c r="T202" s="33" t="str" cm="1">
        <f t="array" aca="1" ref="T20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($E202=CLASSIFICATION[[Keyword Aggr]:[Keyword Aggr]])*($D202=CLASSIFICATION[[Functional Scope Aggr]:[Functional Scope Aggr]])),
_xlpm._platform_keywords, _xlfn.TEXTSPLIT(SUBSTITUTE(SUBSTITUTE(VLOOKUP($D202,_xlpm._platform_range,3,FALSE),"+"&amp;CHAR(34),"+"),CHAR(34),""),", "),
_xlpm._exists, SUMPRODUCT(--ISNUMBER(MATCH(_xlpm._platform_keywords,_xlpm._original_keywords,0)))&gt;0,
_xlfn.IFS(_xlpm._exists,1,NOT(_xlpm._exists),"")
)</f>
        <v/>
      </c>
      <c r="U202" s="33" t="str" cm="1">
        <f t="array" aca="1" ref="U20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($E202=CLASSIFICATION[[Keyword Aggr]:[Keyword Aggr]])*($D202=CLASSIFICATION[[Functional Scope Aggr]:[Functional Scope Aggr]])),
_xlpm._platform_keywords, _xlfn.TEXTSPLIT(SUBSTITUTE(SUBSTITUTE(VLOOKUP($D202,_xlpm._platform_range,3,FALSE),"+"&amp;CHAR(34),"+"),CHAR(34),""),", "),
_xlpm._exists, SUMPRODUCT(--ISNUMBER(MATCH(_xlpm._platform_keywords,_xlpm._original_keywords,0)))&gt;0,
_xlfn.IFS(_xlpm._exists,1,NOT(_xlpm._exists),"")
)</f>
        <v/>
      </c>
      <c r="V202" s="33" t="str" cm="1">
        <f t="array" aca="1" ref="V20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($E202=CLASSIFICATION[[Keyword Aggr]:[Keyword Aggr]])*($D202=CLASSIFICATION[[Functional Scope Aggr]:[Functional Scope Aggr]])),
_xlpm._platform_keywords, _xlfn.TEXTSPLIT(SUBSTITUTE(SUBSTITUTE(VLOOKUP($D202,_xlpm._platform_range,3,FALSE),"+"&amp;CHAR(34),"+"),CHAR(34),""),", "),
_xlpm._exists, SUMPRODUCT(--ISNUMBER(MATCH(_xlpm._platform_keywords,_xlpm._original_keywords,0)))&gt;0,
_xlfn.IFS(_xlpm._exists,1,NOT(_xlpm._exists),"")
)</f>
        <v/>
      </c>
      <c r="X202" s="33" t="str">
        <f t="shared" si="32"/>
        <v/>
      </c>
      <c r="Y202" s="33" t="str">
        <f t="shared" si="33"/>
        <v/>
      </c>
      <c r="Z202" s="33" t="str">
        <f t="shared" si="34"/>
        <v/>
      </c>
      <c r="AA202" s="33" t="str">
        <f t="shared" si="35"/>
        <v/>
      </c>
      <c r="AB202" s="33" t="str">
        <f t="shared" si="36"/>
        <v/>
      </c>
      <c r="AC202" s="33" t="str">
        <f t="shared" si="37"/>
        <v/>
      </c>
    </row>
    <row r="203" spans="1:29" x14ac:dyDescent="0.25">
      <c r="A203" s="19" t="str">
        <v>Implementation,Deployment,On-Premise</v>
      </c>
      <c r="B203" t="s">
        <v>377</v>
      </c>
      <c r="C203" s="19" t="str" cm="1">
        <f t="array" ref="C203:E203">_xlfn.TEXTSPLIT(A203,",")</f>
        <v>Implementation</v>
      </c>
      <c r="D203" s="19" t="str">
        <v>Deployment</v>
      </c>
      <c r="E203" s="19" t="str">
        <v>On-Premise</v>
      </c>
      <c r="F203" s="36" t="str" cm="1">
        <f t="array" ref="F203">_xlfn.TEXTJOIN(",",TRUE,_xlfn._xlws.FILTER(CLASSIFICATION[Keyword], ($E203=CLASSIFICATION[Keyword Aggr])*($D203=CLASSIFICATION[Functional Scope Aggr])))</f>
        <v>On-Premise</v>
      </c>
      <c r="G203" s="32" t="str">
        <f t="shared" si="29"/>
        <v/>
      </c>
      <c r="H203" s="32" t="str">
        <f t="shared" si="30"/>
        <v/>
      </c>
      <c r="I203" s="32" t="str">
        <f t="shared" si="31"/>
        <v>On-Premise</v>
      </c>
      <c r="J203" s="33" t="str" cm="1">
        <f t="array" aca="1" ref="J20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($E203=CLASSIFICATION[[Keyword Aggr]:[Keyword Aggr]])*($D203=CLASSIFICATION[[Functional Scope Aggr]:[Functional Scope Aggr]])),
_xlpm._platform_keywords, _xlfn.TEXTSPLIT(SUBSTITUTE(SUBSTITUTE(VLOOKUP($D203,_xlpm._platform_range,3,FALSE),"+"&amp;CHAR(34),"+"),CHAR(34),""),", "),
_xlpm._exists, SUMPRODUCT(--ISNUMBER(MATCH(_xlpm._platform_keywords,_xlpm._original_keywords,0)))&gt;0,
_xlfn.IFS(AND(_xlpm._exists,LEFT($E203,1)="+"),"+",_xlpm._exists,"*",NOT(_xlpm._exists),"")
)</f>
        <v/>
      </c>
      <c r="K203" s="33" t="str" cm="1">
        <f t="array" aca="1" ref="K20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($E203=CLASSIFICATION[[Keyword Aggr]:[Keyword Aggr]])*($D203=CLASSIFICATION[[Functional Scope Aggr]:[Functional Scope Aggr]])),
_xlpm._platform_keywords, _xlfn.TEXTSPLIT(SUBSTITUTE(SUBSTITUTE(VLOOKUP($D203,_xlpm._platform_range,3,FALSE),"+"&amp;CHAR(34),"+"),CHAR(34),""),", "),
_xlpm._exists, SUMPRODUCT(--ISNUMBER(MATCH(_xlpm._platform_keywords,_xlpm._original_keywords,0)))&gt;0,
_xlfn.IFS(AND(_xlpm._exists,LEFT($E203,1)="+"),"+",_xlpm._exists,"*",NOT(_xlpm._exists),"")
)</f>
        <v/>
      </c>
      <c r="L203" s="33" t="str" cm="1">
        <f t="array" aca="1" ref="L20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($E203=CLASSIFICATION[[Keyword Aggr]:[Keyword Aggr]])*($D203=CLASSIFICATION[[Functional Scope Aggr]:[Functional Scope Aggr]])),
_xlpm._platform_keywords, _xlfn.TEXTSPLIT(SUBSTITUTE(SUBSTITUTE(VLOOKUP($D203,_xlpm._platform_range,3,FALSE),"+"&amp;CHAR(34),"+"),CHAR(34),""),", "),
_xlpm._exists, SUMPRODUCT(--ISNUMBER(MATCH(_xlpm._platform_keywords,_xlpm._original_keywords,0)))&gt;0,
_xlfn.IFS(AND(_xlpm._exists,LEFT($E203,1)="+"),"+",_xlpm._exists,"*",NOT(_xlpm._exists),"")
)</f>
        <v>*</v>
      </c>
      <c r="M203" s="33" t="str" cm="1">
        <f t="array" aca="1" ref="M20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($E203=CLASSIFICATION[[Keyword Aggr]:[Keyword Aggr]])*($D203=CLASSIFICATION[[Functional Scope Aggr]:[Functional Scope Aggr]])),
_xlpm._platform_keywords, _xlfn.TEXTSPLIT(SUBSTITUTE(SUBSTITUTE(VLOOKUP($D203,_xlpm._platform_range,3,FALSE),"+"&amp;CHAR(34),"+"),CHAR(34),""),", "),
_xlpm._exists, SUMPRODUCT(--ISNUMBER(MATCH(_xlpm._platform_keywords,_xlpm._original_keywords,0)))&gt;0,
_xlfn.IFS(AND(_xlpm._exists,LEFT($E203,1)="+"),"+",_xlpm._exists,"*",NOT(_xlpm._exists),"")
)</f>
        <v/>
      </c>
      <c r="N203" s="33" t="str" cm="1">
        <f t="array" aca="1" ref="N20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($E203=CLASSIFICATION[[Keyword Aggr]:[Keyword Aggr]])*($D203=CLASSIFICATION[[Functional Scope Aggr]:[Functional Scope Aggr]])),
_xlpm._platform_keywords, _xlfn.TEXTSPLIT(SUBSTITUTE(SUBSTITUTE(VLOOKUP($D203,_xlpm._platform_range,3,FALSE),"+"&amp;CHAR(34),"+"),CHAR(34),""),", "),
_xlpm._exists, SUMPRODUCT(--ISNUMBER(MATCH(_xlpm._platform_keywords,_xlpm._original_keywords,0)))&gt;0,
_xlfn.IFS(AND(_xlpm._exists,LEFT($E203,1)="+"),"+",_xlpm._exists,"*",NOT(_xlpm._exists),"")
)</f>
        <v/>
      </c>
      <c r="O203" s="33" t="str" cm="1">
        <f t="array" aca="1" ref="O20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($E203=CLASSIFICATION[[Keyword Aggr]:[Keyword Aggr]])*($D203=CLASSIFICATION[[Functional Scope Aggr]:[Functional Scope Aggr]])),
_xlpm._platform_keywords, _xlfn.TEXTSPLIT(SUBSTITUTE(SUBSTITUTE(VLOOKUP($D203,_xlpm._platform_range,3,FALSE),"+"&amp;CHAR(34),"+"),CHAR(34),""),", "),
_xlpm._exists, SUMPRODUCT(--ISNUMBER(MATCH(_xlpm._platform_keywords,_xlpm._original_keywords,0)))&gt;0,
_xlfn.IFS(AND(_xlpm._exists,LEFT($E203,1)="+"),"+",_xlpm._exists,"*",NOT(_xlpm._exists),"")
)</f>
        <v/>
      </c>
      <c r="Q203" s="33" t="str" cm="1">
        <f t="array" aca="1" ref="Q203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($E203=CLASSIFICATION[[Keyword Aggr]:[Keyword Aggr]])*($D203=CLASSIFICATION[[Functional Scope Aggr]:[Functional Scope Aggr]])),
_xlpm._platform_keywords, _xlfn.TEXTSPLIT(SUBSTITUTE(SUBSTITUTE(VLOOKUP($D203,_xlpm._platform_range,3,FALSE),"+"&amp;CHAR(34),"+"),CHAR(34),""),", "),
_xlpm._exists, SUMPRODUCT(--ISNUMBER(MATCH(_xlpm._platform_keywords,_xlpm._original_keywords,0)))&gt;0,
_xlfn.IFS(_xlpm._exists,1,NOT(_xlpm._exists),"")
)</f>
        <v/>
      </c>
      <c r="R203" s="33" t="str" cm="1">
        <f t="array" aca="1" ref="R203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($E203=CLASSIFICATION[[Keyword Aggr]:[Keyword Aggr]])*($D203=CLASSIFICATION[[Functional Scope Aggr]:[Functional Scope Aggr]])),
_xlpm._platform_keywords, _xlfn.TEXTSPLIT(SUBSTITUTE(SUBSTITUTE(VLOOKUP($D203,_xlpm._platform_range,3,FALSE),"+"&amp;CHAR(34),"+"),CHAR(34),""),", "),
_xlpm._exists, SUMPRODUCT(--ISNUMBER(MATCH(_xlpm._platform_keywords,_xlpm._original_keywords,0)))&gt;0,
_xlfn.IFS(_xlpm._exists,1,NOT(_xlpm._exists),"")
)</f>
        <v/>
      </c>
      <c r="S203" s="33" cm="1">
        <f t="array" aca="1" ref="S203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($E203=CLASSIFICATION[[Keyword Aggr]:[Keyword Aggr]])*($D203=CLASSIFICATION[[Functional Scope Aggr]:[Functional Scope Aggr]])),
_xlpm._platform_keywords, _xlfn.TEXTSPLIT(SUBSTITUTE(SUBSTITUTE(VLOOKUP($D203,_xlpm._platform_range,3,FALSE),"+"&amp;CHAR(34),"+"),CHAR(34),""),", "),
_xlpm._exists, SUMPRODUCT(--ISNUMBER(MATCH(_xlpm._platform_keywords,_xlpm._original_keywords,0)))&gt;0,
_xlfn.IFS(_xlpm._exists,1,NOT(_xlpm._exists),"")
)</f>
        <v>1</v>
      </c>
      <c r="T203" s="33" t="str" cm="1">
        <f t="array" aca="1" ref="T203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($E203=CLASSIFICATION[[Keyword Aggr]:[Keyword Aggr]])*($D203=CLASSIFICATION[[Functional Scope Aggr]:[Functional Scope Aggr]])),
_xlpm._platform_keywords, _xlfn.TEXTSPLIT(SUBSTITUTE(SUBSTITUTE(VLOOKUP($D203,_xlpm._platform_range,3,FALSE),"+"&amp;CHAR(34),"+"),CHAR(34),""),", "),
_xlpm._exists, SUMPRODUCT(--ISNUMBER(MATCH(_xlpm._platform_keywords,_xlpm._original_keywords,0)))&gt;0,
_xlfn.IFS(_xlpm._exists,1,NOT(_xlpm._exists),"")
)</f>
        <v/>
      </c>
      <c r="U203" s="33" t="str" cm="1">
        <f t="array" aca="1" ref="U203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($E203=CLASSIFICATION[[Keyword Aggr]:[Keyword Aggr]])*($D203=CLASSIFICATION[[Functional Scope Aggr]:[Functional Scope Aggr]])),
_xlpm._platform_keywords, _xlfn.TEXTSPLIT(SUBSTITUTE(SUBSTITUTE(VLOOKUP($D203,_xlpm._platform_range,3,FALSE),"+"&amp;CHAR(34),"+"),CHAR(34),""),", "),
_xlpm._exists, SUMPRODUCT(--ISNUMBER(MATCH(_xlpm._platform_keywords,_xlpm._original_keywords,0)))&gt;0,
_xlfn.IFS(_xlpm._exists,1,NOT(_xlpm._exists),"")
)</f>
        <v/>
      </c>
      <c r="V203" s="33" t="str" cm="1">
        <f t="array" aca="1" ref="V203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($E203=CLASSIFICATION[[Keyword Aggr]:[Keyword Aggr]])*($D203=CLASSIFICATION[[Functional Scope Aggr]:[Functional Scope Aggr]])),
_xlpm._platform_keywords, _xlfn.TEXTSPLIT(SUBSTITUTE(SUBSTITUTE(VLOOKUP($D203,_xlpm._platform_range,3,FALSE),"+"&amp;CHAR(34),"+"),CHAR(34),""),", "),
_xlpm._exists, SUMPRODUCT(--ISNUMBER(MATCH(_xlpm._platform_keywords,_xlpm._original_keywords,0)))&gt;0,
_xlfn.IFS(_xlpm._exists,1,NOT(_xlpm._exists),"")
)</f>
        <v/>
      </c>
      <c r="X203" s="33" t="str">
        <f t="shared" si="32"/>
        <v/>
      </c>
      <c r="Y203" s="33" t="str">
        <f t="shared" si="33"/>
        <v/>
      </c>
      <c r="Z203" s="33" t="str">
        <f t="shared" si="34"/>
        <v/>
      </c>
      <c r="AA203" s="33" t="str">
        <f t="shared" si="35"/>
        <v/>
      </c>
      <c r="AB203" s="33" t="str">
        <f t="shared" si="36"/>
        <v/>
      </c>
      <c r="AC203" s="33" t="str">
        <f t="shared" si="37"/>
        <v/>
      </c>
    </row>
    <row r="204" spans="1:29" x14ac:dyDescent="0.25">
      <c r="A204" s="19" t="str">
        <v>Implementation,Deployment,On-premises Data Gateway</v>
      </c>
      <c r="B204" t="s">
        <v>377</v>
      </c>
      <c r="C204" s="19" t="str" cm="1">
        <f t="array" ref="C204:E204">_xlfn.TEXTSPLIT(A204,",")</f>
        <v>Implementation</v>
      </c>
      <c r="D204" s="19" t="str">
        <v>Deployment</v>
      </c>
      <c r="E204" s="19" t="str">
        <v>On-premises Data Gateway</v>
      </c>
      <c r="F204" s="36" t="str" cm="1">
        <f t="array" ref="F204">_xlfn.TEXTJOIN(",",TRUE,_xlfn._xlws.FILTER(CLASSIFICATION[Keyword], ($E204=CLASSIFICATION[Keyword Aggr])*($D204=CLASSIFICATION[Functional Scope Aggr])))</f>
        <v>On-premises Data Gateway,On-premises Data Gateway (Web Services)</v>
      </c>
      <c r="G204" s="32" t="str">
        <f t="shared" si="29"/>
        <v/>
      </c>
      <c r="H204" s="32" t="str">
        <f t="shared" si="30"/>
        <v/>
      </c>
      <c r="I204" s="32" t="str">
        <f t="shared" si="31"/>
        <v>On-premises Data Gateway</v>
      </c>
      <c r="J204" s="33" t="str" cm="1">
        <f t="array" aca="1" ref="J20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($E204=CLASSIFICATION[[Keyword Aggr]:[Keyword Aggr]])*($D204=CLASSIFICATION[[Functional Scope Aggr]:[Functional Scope Aggr]])),
_xlpm._platform_keywords, _xlfn.TEXTSPLIT(SUBSTITUTE(SUBSTITUTE(VLOOKUP($D204,_xlpm._platform_range,3,FALSE),"+"&amp;CHAR(34),"+"),CHAR(34),""),", "),
_xlpm._exists, SUMPRODUCT(--ISNUMBER(MATCH(_xlpm._platform_keywords,_xlpm._original_keywords,0)))&gt;0,
_xlfn.IFS(AND(_xlpm._exists,LEFT($E204,1)="+"),"+",_xlpm._exists,"*",NOT(_xlpm._exists),"")
)</f>
        <v/>
      </c>
      <c r="K204" s="33" t="str" cm="1">
        <f t="array" aca="1" ref="K20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($E204=CLASSIFICATION[[Keyword Aggr]:[Keyword Aggr]])*($D204=CLASSIFICATION[[Functional Scope Aggr]:[Functional Scope Aggr]])),
_xlpm._platform_keywords, _xlfn.TEXTSPLIT(SUBSTITUTE(SUBSTITUTE(VLOOKUP($D204,_xlpm._platform_range,3,FALSE),"+"&amp;CHAR(34),"+"),CHAR(34),""),", "),
_xlpm._exists, SUMPRODUCT(--ISNUMBER(MATCH(_xlpm._platform_keywords,_xlpm._original_keywords,0)))&gt;0,
_xlfn.IFS(AND(_xlpm._exists,LEFT($E204,1)="+"),"+",_xlpm._exists,"*",NOT(_xlpm._exists),"")
)</f>
        <v/>
      </c>
      <c r="L204" s="33" t="str" cm="1">
        <f t="array" aca="1" ref="L20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($E204=CLASSIFICATION[[Keyword Aggr]:[Keyword Aggr]])*($D204=CLASSIFICATION[[Functional Scope Aggr]:[Functional Scope Aggr]])),
_xlpm._platform_keywords, _xlfn.TEXTSPLIT(SUBSTITUTE(SUBSTITUTE(VLOOKUP($D204,_xlpm._platform_range,3,FALSE),"+"&amp;CHAR(34),"+"),CHAR(34),""),", "),
_xlpm._exists, SUMPRODUCT(--ISNUMBER(MATCH(_xlpm._platform_keywords,_xlpm._original_keywords,0)))&gt;0,
_xlfn.IFS(AND(_xlpm._exists,LEFT($E204,1)="+"),"+",_xlpm._exists,"*",NOT(_xlpm._exists),"")
)</f>
        <v/>
      </c>
      <c r="M204" s="33" t="str" cm="1">
        <f t="array" aca="1" ref="M20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($E204=CLASSIFICATION[[Keyword Aggr]:[Keyword Aggr]])*($D204=CLASSIFICATION[[Functional Scope Aggr]:[Functional Scope Aggr]])),
_xlpm._platform_keywords, _xlfn.TEXTSPLIT(SUBSTITUTE(SUBSTITUTE(VLOOKUP($D204,_xlpm._platform_range,3,FALSE),"+"&amp;CHAR(34),"+"),CHAR(34),""),", "),
_xlpm._exists, SUMPRODUCT(--ISNUMBER(MATCH(_xlpm._platform_keywords,_xlpm._original_keywords,0)))&gt;0,
_xlfn.IFS(AND(_xlpm._exists,LEFT($E204,1)="+"),"+",_xlpm._exists,"*",NOT(_xlpm._exists),"")
)</f>
        <v>*</v>
      </c>
      <c r="N204" s="33" t="str" cm="1">
        <f t="array" aca="1" ref="N20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($E204=CLASSIFICATION[[Keyword Aggr]:[Keyword Aggr]])*($D204=CLASSIFICATION[[Functional Scope Aggr]:[Functional Scope Aggr]])),
_xlpm._platform_keywords, _xlfn.TEXTSPLIT(SUBSTITUTE(SUBSTITUTE(VLOOKUP($D204,_xlpm._platform_range,3,FALSE),"+"&amp;CHAR(34),"+"),CHAR(34),""),", "),
_xlpm._exists, SUMPRODUCT(--ISNUMBER(MATCH(_xlpm._platform_keywords,_xlpm._original_keywords,0)))&gt;0,
_xlfn.IFS(AND(_xlpm._exists,LEFT($E204,1)="+"),"+",_xlpm._exists,"*",NOT(_xlpm._exists),"")
)</f>
        <v>*</v>
      </c>
      <c r="O204" s="33" t="str" cm="1">
        <f t="array" aca="1" ref="O20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($E204=CLASSIFICATION[[Keyword Aggr]:[Keyword Aggr]])*($D204=CLASSIFICATION[[Functional Scope Aggr]:[Functional Scope Aggr]])),
_xlpm._platform_keywords, _xlfn.TEXTSPLIT(SUBSTITUTE(SUBSTITUTE(VLOOKUP($D204,_xlpm._platform_range,3,FALSE),"+"&amp;CHAR(34),"+"),CHAR(34),""),", "),
_xlpm._exists, SUMPRODUCT(--ISNUMBER(MATCH(_xlpm._platform_keywords,_xlpm._original_keywords,0)))&gt;0,
_xlfn.IFS(AND(_xlpm._exists,LEFT($E204,1)="+"),"+",_xlpm._exists,"*",NOT(_xlpm._exists),"")
)</f>
        <v/>
      </c>
      <c r="Q204" s="33" t="str" cm="1">
        <f t="array" aca="1" ref="Q204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($E204=CLASSIFICATION[[Keyword Aggr]:[Keyword Aggr]])*($D204=CLASSIFICATION[[Functional Scope Aggr]:[Functional Scope Aggr]])),
_xlpm._platform_keywords, _xlfn.TEXTSPLIT(SUBSTITUTE(SUBSTITUTE(VLOOKUP($D204,_xlpm._platform_range,3,FALSE),"+"&amp;CHAR(34),"+"),CHAR(34),""),", "),
_xlpm._exists, SUMPRODUCT(--ISNUMBER(MATCH(_xlpm._platform_keywords,_xlpm._original_keywords,0)))&gt;0,
_xlfn.IFS(_xlpm._exists,1,NOT(_xlpm._exists),"")
)</f>
        <v/>
      </c>
      <c r="R204" s="33" t="str" cm="1">
        <f t="array" aca="1" ref="R204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($E204=CLASSIFICATION[[Keyword Aggr]:[Keyword Aggr]])*($D204=CLASSIFICATION[[Functional Scope Aggr]:[Functional Scope Aggr]])),
_xlpm._platform_keywords, _xlfn.TEXTSPLIT(SUBSTITUTE(SUBSTITUTE(VLOOKUP($D204,_xlpm._platform_range,3,FALSE),"+"&amp;CHAR(34),"+"),CHAR(34),""),", "),
_xlpm._exists, SUMPRODUCT(--ISNUMBER(MATCH(_xlpm._platform_keywords,_xlpm._original_keywords,0)))&gt;0,
_xlfn.IFS(_xlpm._exists,1,NOT(_xlpm._exists),"")
)</f>
        <v/>
      </c>
      <c r="S204" s="33" t="str" cm="1">
        <f t="array" aca="1" ref="S204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($E204=CLASSIFICATION[[Keyword Aggr]:[Keyword Aggr]])*($D204=CLASSIFICATION[[Functional Scope Aggr]:[Functional Scope Aggr]])),
_xlpm._platform_keywords, _xlfn.TEXTSPLIT(SUBSTITUTE(SUBSTITUTE(VLOOKUP($D204,_xlpm._platform_range,3,FALSE),"+"&amp;CHAR(34),"+"),CHAR(34),""),", "),
_xlpm._exists, SUMPRODUCT(--ISNUMBER(MATCH(_xlpm._platform_keywords,_xlpm._original_keywords,0)))&gt;0,
_xlfn.IFS(_xlpm._exists,1,NOT(_xlpm._exists),"")
)</f>
        <v/>
      </c>
      <c r="T204" s="33" cm="1">
        <f t="array" aca="1" ref="T204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($E204=CLASSIFICATION[[Keyword Aggr]:[Keyword Aggr]])*($D204=CLASSIFICATION[[Functional Scope Aggr]:[Functional Scope Aggr]])),
_xlpm._platform_keywords, _xlfn.TEXTSPLIT(SUBSTITUTE(SUBSTITUTE(VLOOKUP($D204,_xlpm._platform_range,3,FALSE),"+"&amp;CHAR(34),"+"),CHAR(34),""),", "),
_xlpm._exists, SUMPRODUCT(--ISNUMBER(MATCH(_xlpm._platform_keywords,_xlpm._original_keywords,0)))&gt;0,
_xlfn.IFS(_xlpm._exists,1,NOT(_xlpm._exists),"")
)</f>
        <v>1</v>
      </c>
      <c r="U204" s="33" cm="1">
        <f t="array" aca="1" ref="U204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($E204=CLASSIFICATION[[Keyword Aggr]:[Keyword Aggr]])*($D204=CLASSIFICATION[[Functional Scope Aggr]:[Functional Scope Aggr]])),
_xlpm._platform_keywords, _xlfn.TEXTSPLIT(SUBSTITUTE(SUBSTITUTE(VLOOKUP($D204,_xlpm._platform_range,3,FALSE),"+"&amp;CHAR(34),"+"),CHAR(34),""),", "),
_xlpm._exists, SUMPRODUCT(--ISNUMBER(MATCH(_xlpm._platform_keywords,_xlpm._original_keywords,0)))&gt;0,
_xlfn.IFS(_xlpm._exists,1,NOT(_xlpm._exists),"")
)</f>
        <v>1</v>
      </c>
      <c r="V204" s="33" t="str" cm="1">
        <f t="array" aca="1" ref="V204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($E204=CLASSIFICATION[[Keyword Aggr]:[Keyword Aggr]])*($D204=CLASSIFICATION[[Functional Scope Aggr]:[Functional Scope Aggr]])),
_xlpm._platform_keywords, _xlfn.TEXTSPLIT(SUBSTITUTE(SUBSTITUTE(VLOOKUP($D204,_xlpm._platform_range,3,FALSE),"+"&amp;CHAR(34),"+"),CHAR(34),""),", "),
_xlpm._exists, SUMPRODUCT(--ISNUMBER(MATCH(_xlpm._platform_keywords,_xlpm._original_keywords,0)))&gt;0,
_xlfn.IFS(_xlpm._exists,1,NOT(_xlpm._exists),"")
)</f>
        <v/>
      </c>
      <c r="X204" s="33" t="str">
        <f t="shared" si="32"/>
        <v/>
      </c>
      <c r="Y204" s="33" t="str">
        <f t="shared" si="33"/>
        <v/>
      </c>
      <c r="Z204" s="33" t="str">
        <f t="shared" si="34"/>
        <v/>
      </c>
      <c r="AA204" s="33" t="str">
        <f t="shared" si="35"/>
        <v/>
      </c>
      <c r="AB204" s="33" t="str">
        <f t="shared" si="36"/>
        <v/>
      </c>
      <c r="AC204" s="33" t="str">
        <f t="shared" si="37"/>
        <v/>
      </c>
    </row>
    <row r="205" spans="1:29" x14ac:dyDescent="0.25">
      <c r="A205" s="19" t="str">
        <v>Implementation,Deployment,REST API</v>
      </c>
      <c r="B205" t="s">
        <v>377</v>
      </c>
      <c r="C205" s="19" t="str" cm="1">
        <f t="array" ref="C205:E205">_xlfn.TEXTSPLIT(A205,",")</f>
        <v>Implementation</v>
      </c>
      <c r="D205" s="19" t="str">
        <v>Deployment</v>
      </c>
      <c r="E205" s="19" t="str">
        <v>REST API</v>
      </c>
      <c r="F205" s="36" t="str" cm="1">
        <f t="array" ref="F205">_xlfn.TEXTJOIN(",",TRUE,_xlfn._xlws.FILTER(CLASSIFICATION[Keyword], ($E205=CLASSIFICATION[Keyword Aggr])*($D205=CLASSIFICATION[Functional Scope Aggr])))</f>
        <v>REST API</v>
      </c>
      <c r="G205" s="32" t="str">
        <f t="shared" si="29"/>
        <v/>
      </c>
      <c r="H205" s="32" t="str">
        <f t="shared" si="30"/>
        <v/>
      </c>
      <c r="I205" s="32" t="str">
        <f t="shared" si="31"/>
        <v>REST API</v>
      </c>
      <c r="J205" s="33" t="str" cm="1">
        <f t="array" aca="1" ref="J20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($E205=CLASSIFICATION[[Keyword Aggr]:[Keyword Aggr]])*($D205=CLASSIFICATION[[Functional Scope Aggr]:[Functional Scope Aggr]])),
_xlpm._platform_keywords, _xlfn.TEXTSPLIT(SUBSTITUTE(SUBSTITUTE(VLOOKUP($D205,_xlpm._platform_range,3,FALSE),"+"&amp;CHAR(34),"+"),CHAR(34),""),", "),
_xlpm._exists, SUMPRODUCT(--ISNUMBER(MATCH(_xlpm._platform_keywords,_xlpm._original_keywords,0)))&gt;0,
_xlfn.IFS(AND(_xlpm._exists,LEFT($E205,1)="+"),"+",_xlpm._exists,"*",NOT(_xlpm._exists),"")
)</f>
        <v/>
      </c>
      <c r="K205" s="33" t="str" cm="1">
        <f t="array" aca="1" ref="K20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($E205=CLASSIFICATION[[Keyword Aggr]:[Keyword Aggr]])*($D205=CLASSIFICATION[[Functional Scope Aggr]:[Functional Scope Aggr]])),
_xlpm._platform_keywords, _xlfn.TEXTSPLIT(SUBSTITUTE(SUBSTITUTE(VLOOKUP($D205,_xlpm._platform_range,3,FALSE),"+"&amp;CHAR(34),"+"),CHAR(34),""),", "),
_xlpm._exists, SUMPRODUCT(--ISNUMBER(MATCH(_xlpm._platform_keywords,_xlpm._original_keywords,0)))&gt;0,
_xlfn.IFS(AND(_xlpm._exists,LEFT($E205,1)="+"),"+",_xlpm._exists,"*",NOT(_xlpm._exists),"")
)</f>
        <v>*</v>
      </c>
      <c r="L205" s="33" t="str" cm="1">
        <f t="array" aca="1" ref="L20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($E205=CLASSIFICATION[[Keyword Aggr]:[Keyword Aggr]])*($D205=CLASSIFICATION[[Functional Scope Aggr]:[Functional Scope Aggr]])),
_xlpm._platform_keywords, _xlfn.TEXTSPLIT(SUBSTITUTE(SUBSTITUTE(VLOOKUP($D205,_xlpm._platform_range,3,FALSE),"+"&amp;CHAR(34),"+"),CHAR(34),""),", "),
_xlpm._exists, SUMPRODUCT(--ISNUMBER(MATCH(_xlpm._platform_keywords,_xlpm._original_keywords,0)))&gt;0,
_xlfn.IFS(AND(_xlpm._exists,LEFT($E205,1)="+"),"+",_xlpm._exists,"*",NOT(_xlpm._exists),"")
)</f>
        <v/>
      </c>
      <c r="M205" s="33" t="str" cm="1">
        <f t="array" aca="1" ref="M20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($E205=CLASSIFICATION[[Keyword Aggr]:[Keyword Aggr]])*($D205=CLASSIFICATION[[Functional Scope Aggr]:[Functional Scope Aggr]])),
_xlpm._platform_keywords, _xlfn.TEXTSPLIT(SUBSTITUTE(SUBSTITUTE(VLOOKUP($D205,_xlpm._platform_range,3,FALSE),"+"&amp;CHAR(34),"+"),CHAR(34),""),", "),
_xlpm._exists, SUMPRODUCT(--ISNUMBER(MATCH(_xlpm._platform_keywords,_xlpm._original_keywords,0)))&gt;0,
_xlfn.IFS(AND(_xlpm._exists,LEFT($E205,1)="+"),"+",_xlpm._exists,"*",NOT(_xlpm._exists),"")
)</f>
        <v/>
      </c>
      <c r="N205" s="33" t="str" cm="1">
        <f t="array" aca="1" ref="N20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($E205=CLASSIFICATION[[Keyword Aggr]:[Keyword Aggr]])*($D205=CLASSIFICATION[[Functional Scope Aggr]:[Functional Scope Aggr]])),
_xlpm._platform_keywords, _xlfn.TEXTSPLIT(SUBSTITUTE(SUBSTITUTE(VLOOKUP($D205,_xlpm._platform_range,3,FALSE),"+"&amp;CHAR(34),"+"),CHAR(34),""),", "),
_xlpm._exists, SUMPRODUCT(--ISNUMBER(MATCH(_xlpm._platform_keywords,_xlpm._original_keywords,0)))&gt;0,
_xlfn.IFS(AND(_xlpm._exists,LEFT($E205,1)="+"),"+",_xlpm._exists,"*",NOT(_xlpm._exists),"")
)</f>
        <v/>
      </c>
      <c r="O205" s="33" t="str" cm="1">
        <f t="array" aca="1" ref="O20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($E205=CLASSIFICATION[[Keyword Aggr]:[Keyword Aggr]])*($D205=CLASSIFICATION[[Functional Scope Aggr]:[Functional Scope Aggr]])),
_xlpm._platform_keywords, _xlfn.TEXTSPLIT(SUBSTITUTE(SUBSTITUTE(VLOOKUP($D205,_xlpm._platform_range,3,FALSE),"+"&amp;CHAR(34),"+"),CHAR(34),""),", "),
_xlpm._exists, SUMPRODUCT(--ISNUMBER(MATCH(_xlpm._platform_keywords,_xlpm._original_keywords,0)))&gt;0,
_xlfn.IFS(AND(_xlpm._exists,LEFT($E205,1)="+"),"+",_xlpm._exists,"*",NOT(_xlpm._exists),"")
)</f>
        <v/>
      </c>
      <c r="Q205" s="33" t="str" cm="1">
        <f t="array" aca="1" ref="Q205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($E205=CLASSIFICATION[[Keyword Aggr]:[Keyword Aggr]])*($D205=CLASSIFICATION[[Functional Scope Aggr]:[Functional Scope Aggr]])),
_xlpm._platform_keywords, _xlfn.TEXTSPLIT(SUBSTITUTE(SUBSTITUTE(VLOOKUP($D205,_xlpm._platform_range,3,FALSE),"+"&amp;CHAR(34),"+"),CHAR(34),""),", "),
_xlpm._exists, SUMPRODUCT(--ISNUMBER(MATCH(_xlpm._platform_keywords,_xlpm._original_keywords,0)))&gt;0,
_xlfn.IFS(_xlpm._exists,1,NOT(_xlpm._exists),"")
)</f>
        <v/>
      </c>
      <c r="R205" s="33" cm="1">
        <f t="array" aca="1" ref="R205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($E205=CLASSIFICATION[[Keyword Aggr]:[Keyword Aggr]])*($D205=CLASSIFICATION[[Functional Scope Aggr]:[Functional Scope Aggr]])),
_xlpm._platform_keywords, _xlfn.TEXTSPLIT(SUBSTITUTE(SUBSTITUTE(VLOOKUP($D205,_xlpm._platform_range,3,FALSE),"+"&amp;CHAR(34),"+"),CHAR(34),""),", "),
_xlpm._exists, SUMPRODUCT(--ISNUMBER(MATCH(_xlpm._platform_keywords,_xlpm._original_keywords,0)))&gt;0,
_xlfn.IFS(_xlpm._exists,1,NOT(_xlpm._exists),"")
)</f>
        <v>1</v>
      </c>
      <c r="S205" s="33" t="str" cm="1">
        <f t="array" aca="1" ref="S205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($E205=CLASSIFICATION[[Keyword Aggr]:[Keyword Aggr]])*($D205=CLASSIFICATION[[Functional Scope Aggr]:[Functional Scope Aggr]])),
_xlpm._platform_keywords, _xlfn.TEXTSPLIT(SUBSTITUTE(SUBSTITUTE(VLOOKUP($D205,_xlpm._platform_range,3,FALSE),"+"&amp;CHAR(34),"+"),CHAR(34),""),", "),
_xlpm._exists, SUMPRODUCT(--ISNUMBER(MATCH(_xlpm._platform_keywords,_xlpm._original_keywords,0)))&gt;0,
_xlfn.IFS(_xlpm._exists,1,NOT(_xlpm._exists),"")
)</f>
        <v/>
      </c>
      <c r="T205" s="33" t="str" cm="1">
        <f t="array" aca="1" ref="T205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($E205=CLASSIFICATION[[Keyword Aggr]:[Keyword Aggr]])*($D205=CLASSIFICATION[[Functional Scope Aggr]:[Functional Scope Aggr]])),
_xlpm._platform_keywords, _xlfn.TEXTSPLIT(SUBSTITUTE(SUBSTITUTE(VLOOKUP($D205,_xlpm._platform_range,3,FALSE),"+"&amp;CHAR(34),"+"),CHAR(34),""),", "),
_xlpm._exists, SUMPRODUCT(--ISNUMBER(MATCH(_xlpm._platform_keywords,_xlpm._original_keywords,0)))&gt;0,
_xlfn.IFS(_xlpm._exists,1,NOT(_xlpm._exists),"")
)</f>
        <v/>
      </c>
      <c r="U205" s="33" t="str" cm="1">
        <f t="array" aca="1" ref="U205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($E205=CLASSIFICATION[[Keyword Aggr]:[Keyword Aggr]])*($D205=CLASSIFICATION[[Functional Scope Aggr]:[Functional Scope Aggr]])),
_xlpm._platform_keywords, _xlfn.TEXTSPLIT(SUBSTITUTE(SUBSTITUTE(VLOOKUP($D205,_xlpm._platform_range,3,FALSE),"+"&amp;CHAR(34),"+"),CHAR(34),""),", "),
_xlpm._exists, SUMPRODUCT(--ISNUMBER(MATCH(_xlpm._platform_keywords,_xlpm._original_keywords,0)))&gt;0,
_xlfn.IFS(_xlpm._exists,1,NOT(_xlpm._exists),"")
)</f>
        <v/>
      </c>
      <c r="V205" s="33" t="str" cm="1">
        <f t="array" aca="1" ref="V205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($E205=CLASSIFICATION[[Keyword Aggr]:[Keyword Aggr]])*($D205=CLASSIFICATION[[Functional Scope Aggr]:[Functional Scope Aggr]])),
_xlpm._platform_keywords, _xlfn.TEXTSPLIT(SUBSTITUTE(SUBSTITUTE(VLOOKUP($D205,_xlpm._platform_range,3,FALSE),"+"&amp;CHAR(34),"+"),CHAR(34),""),", "),
_xlpm._exists, SUMPRODUCT(--ISNUMBER(MATCH(_xlpm._platform_keywords,_xlpm._original_keywords,0)))&gt;0,
_xlfn.IFS(_xlpm._exists,1,NOT(_xlpm._exists),"")
)</f>
        <v/>
      </c>
      <c r="X205" s="33" t="str">
        <f t="shared" si="32"/>
        <v/>
      </c>
      <c r="Y205" s="33" t="str">
        <f t="shared" si="33"/>
        <v/>
      </c>
      <c r="Z205" s="33" t="str">
        <f t="shared" si="34"/>
        <v/>
      </c>
      <c r="AA205" s="33" t="str">
        <f t="shared" si="35"/>
        <v/>
      </c>
      <c r="AB205" s="33" t="str">
        <f t="shared" si="36"/>
        <v/>
      </c>
      <c r="AC205" s="33" t="str">
        <f t="shared" si="37"/>
        <v/>
      </c>
    </row>
    <row r="206" spans="1:29" x14ac:dyDescent="0.25">
      <c r="A206" s="19" t="str">
        <v>Implementation,Deployment,Scripts</v>
      </c>
      <c r="B206" t="s">
        <v>377</v>
      </c>
      <c r="C206" s="19" t="str" cm="1">
        <f t="array" ref="C206:E206">_xlfn.TEXTSPLIT(A206,",")</f>
        <v>Implementation</v>
      </c>
      <c r="D206" s="19" t="str">
        <v>Deployment</v>
      </c>
      <c r="E206" s="19" t="str">
        <v>Scripts</v>
      </c>
      <c r="F206" s="36" t="str" cm="1">
        <f t="array" ref="F206">_xlfn.TEXTJOIN(",",TRUE,_xlfn._xlws.FILTER(CLASSIFICATION[Keyword], ($E206=CLASSIFICATION[Keyword Aggr])*($D206=CLASSIFICATION[Functional Scope Aggr])))</f>
        <v>Scripts</v>
      </c>
      <c r="G206" s="32" t="str">
        <f t="shared" si="29"/>
        <v/>
      </c>
      <c r="H206" s="32" t="str">
        <f t="shared" si="30"/>
        <v/>
      </c>
      <c r="I206" s="32" t="str">
        <f t="shared" si="31"/>
        <v>Scripts</v>
      </c>
      <c r="J206" s="33" t="str" cm="1">
        <f t="array" aca="1" ref="J20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($E206=CLASSIFICATION[[Keyword Aggr]:[Keyword Aggr]])*($D206=CLASSIFICATION[[Functional Scope Aggr]:[Functional Scope Aggr]])),
_xlpm._platform_keywords, _xlfn.TEXTSPLIT(SUBSTITUTE(SUBSTITUTE(VLOOKUP($D206,_xlpm._platform_range,3,FALSE),"+"&amp;CHAR(34),"+"),CHAR(34),""),", "),
_xlpm._exists, SUMPRODUCT(--ISNUMBER(MATCH(_xlpm._platform_keywords,_xlpm._original_keywords,0)))&gt;0,
_xlfn.IFS(AND(_xlpm._exists,LEFT($E206,1)="+"),"+",_xlpm._exists,"*",NOT(_xlpm._exists),"")
)</f>
        <v/>
      </c>
      <c r="K206" s="33" t="str" cm="1">
        <f t="array" aca="1" ref="K20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($E206=CLASSIFICATION[[Keyword Aggr]:[Keyword Aggr]])*($D206=CLASSIFICATION[[Functional Scope Aggr]:[Functional Scope Aggr]])),
_xlpm._platform_keywords, _xlfn.TEXTSPLIT(SUBSTITUTE(SUBSTITUTE(VLOOKUP($D206,_xlpm._platform_range,3,FALSE),"+"&amp;CHAR(34),"+"),CHAR(34),""),", "),
_xlpm._exists, SUMPRODUCT(--ISNUMBER(MATCH(_xlpm._platform_keywords,_xlpm._original_keywords,0)))&gt;0,
_xlfn.IFS(AND(_xlpm._exists,LEFT($E206,1)="+"),"+",_xlpm._exists,"*",NOT(_xlpm._exists),"")
)</f>
        <v/>
      </c>
      <c r="L206" s="33" t="str" cm="1">
        <f t="array" aca="1" ref="L20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($E206=CLASSIFICATION[[Keyword Aggr]:[Keyword Aggr]])*($D206=CLASSIFICATION[[Functional Scope Aggr]:[Functional Scope Aggr]])),
_xlpm._platform_keywords, _xlfn.TEXTSPLIT(SUBSTITUTE(SUBSTITUTE(VLOOKUP($D206,_xlpm._platform_range,3,FALSE),"+"&amp;CHAR(34),"+"),CHAR(34),""),", "),
_xlpm._exists, SUMPRODUCT(--ISNUMBER(MATCH(_xlpm._platform_keywords,_xlpm._original_keywords,0)))&gt;0,
_xlfn.IFS(AND(_xlpm._exists,LEFT($E206,1)="+"),"+",_xlpm._exists,"*",NOT(_xlpm._exists),"")
)</f>
        <v>*</v>
      </c>
      <c r="M206" s="33" t="str" cm="1">
        <f t="array" aca="1" ref="M20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($E206=CLASSIFICATION[[Keyword Aggr]:[Keyword Aggr]])*($D206=CLASSIFICATION[[Functional Scope Aggr]:[Functional Scope Aggr]])),
_xlpm._platform_keywords, _xlfn.TEXTSPLIT(SUBSTITUTE(SUBSTITUTE(VLOOKUP($D206,_xlpm._platform_range,3,FALSE),"+"&amp;CHAR(34),"+"),CHAR(34),""),", "),
_xlpm._exists, SUMPRODUCT(--ISNUMBER(MATCH(_xlpm._platform_keywords,_xlpm._original_keywords,0)))&gt;0,
_xlfn.IFS(AND(_xlpm._exists,LEFT($E206,1)="+"),"+",_xlpm._exists,"*",NOT(_xlpm._exists),"")
)</f>
        <v/>
      </c>
      <c r="N206" s="33" t="str" cm="1">
        <f t="array" aca="1" ref="N20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($E206=CLASSIFICATION[[Keyword Aggr]:[Keyword Aggr]])*($D206=CLASSIFICATION[[Functional Scope Aggr]:[Functional Scope Aggr]])),
_xlpm._platform_keywords, _xlfn.TEXTSPLIT(SUBSTITUTE(SUBSTITUTE(VLOOKUP($D206,_xlpm._platform_range,3,FALSE),"+"&amp;CHAR(34),"+"),CHAR(34),""),", "),
_xlpm._exists, SUMPRODUCT(--ISNUMBER(MATCH(_xlpm._platform_keywords,_xlpm._original_keywords,0)))&gt;0,
_xlfn.IFS(AND(_xlpm._exists,LEFT($E206,1)="+"),"+",_xlpm._exists,"*",NOT(_xlpm._exists),"")
)</f>
        <v/>
      </c>
      <c r="O206" s="33" t="str" cm="1">
        <f t="array" aca="1" ref="O20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($E206=CLASSIFICATION[[Keyword Aggr]:[Keyword Aggr]])*($D206=CLASSIFICATION[[Functional Scope Aggr]:[Functional Scope Aggr]])),
_xlpm._platform_keywords, _xlfn.TEXTSPLIT(SUBSTITUTE(SUBSTITUTE(VLOOKUP($D206,_xlpm._platform_range,3,FALSE),"+"&amp;CHAR(34),"+"),CHAR(34),""),", "),
_xlpm._exists, SUMPRODUCT(--ISNUMBER(MATCH(_xlpm._platform_keywords,_xlpm._original_keywords,0)))&gt;0,
_xlfn.IFS(AND(_xlpm._exists,LEFT($E206,1)="+"),"+",_xlpm._exists,"*",NOT(_xlpm._exists),"")
)</f>
        <v/>
      </c>
      <c r="Q206" s="33" t="str" cm="1">
        <f t="array" aca="1" ref="Q206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($E206=CLASSIFICATION[[Keyword Aggr]:[Keyword Aggr]])*($D206=CLASSIFICATION[[Functional Scope Aggr]:[Functional Scope Aggr]])),
_xlpm._platform_keywords, _xlfn.TEXTSPLIT(SUBSTITUTE(SUBSTITUTE(VLOOKUP($D206,_xlpm._platform_range,3,FALSE),"+"&amp;CHAR(34),"+"),CHAR(34),""),", "),
_xlpm._exists, SUMPRODUCT(--ISNUMBER(MATCH(_xlpm._platform_keywords,_xlpm._original_keywords,0)))&gt;0,
_xlfn.IFS(_xlpm._exists,1,NOT(_xlpm._exists),"")
)</f>
        <v/>
      </c>
      <c r="R206" s="33" t="str" cm="1">
        <f t="array" aca="1" ref="R206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($E206=CLASSIFICATION[[Keyword Aggr]:[Keyword Aggr]])*($D206=CLASSIFICATION[[Functional Scope Aggr]:[Functional Scope Aggr]])),
_xlpm._platform_keywords, _xlfn.TEXTSPLIT(SUBSTITUTE(SUBSTITUTE(VLOOKUP($D206,_xlpm._platform_range,3,FALSE),"+"&amp;CHAR(34),"+"),CHAR(34),""),", "),
_xlpm._exists, SUMPRODUCT(--ISNUMBER(MATCH(_xlpm._platform_keywords,_xlpm._original_keywords,0)))&gt;0,
_xlfn.IFS(_xlpm._exists,1,NOT(_xlpm._exists),"")
)</f>
        <v/>
      </c>
      <c r="S206" s="33" cm="1">
        <f t="array" aca="1" ref="S206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($E206=CLASSIFICATION[[Keyword Aggr]:[Keyword Aggr]])*($D206=CLASSIFICATION[[Functional Scope Aggr]:[Functional Scope Aggr]])),
_xlpm._platform_keywords, _xlfn.TEXTSPLIT(SUBSTITUTE(SUBSTITUTE(VLOOKUP($D206,_xlpm._platform_range,3,FALSE),"+"&amp;CHAR(34),"+"),CHAR(34),""),", "),
_xlpm._exists, SUMPRODUCT(--ISNUMBER(MATCH(_xlpm._platform_keywords,_xlpm._original_keywords,0)))&gt;0,
_xlfn.IFS(_xlpm._exists,1,NOT(_xlpm._exists),"")
)</f>
        <v>1</v>
      </c>
      <c r="T206" s="33" t="str" cm="1">
        <f t="array" aca="1" ref="T206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($E206=CLASSIFICATION[[Keyword Aggr]:[Keyword Aggr]])*($D206=CLASSIFICATION[[Functional Scope Aggr]:[Functional Scope Aggr]])),
_xlpm._platform_keywords, _xlfn.TEXTSPLIT(SUBSTITUTE(SUBSTITUTE(VLOOKUP($D206,_xlpm._platform_range,3,FALSE),"+"&amp;CHAR(34),"+"),CHAR(34),""),", "),
_xlpm._exists, SUMPRODUCT(--ISNUMBER(MATCH(_xlpm._platform_keywords,_xlpm._original_keywords,0)))&gt;0,
_xlfn.IFS(_xlpm._exists,1,NOT(_xlpm._exists),"")
)</f>
        <v/>
      </c>
      <c r="U206" s="33" t="str" cm="1">
        <f t="array" aca="1" ref="U206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($E206=CLASSIFICATION[[Keyword Aggr]:[Keyword Aggr]])*($D206=CLASSIFICATION[[Functional Scope Aggr]:[Functional Scope Aggr]])),
_xlpm._platform_keywords, _xlfn.TEXTSPLIT(SUBSTITUTE(SUBSTITUTE(VLOOKUP($D206,_xlpm._platform_range,3,FALSE),"+"&amp;CHAR(34),"+"),CHAR(34),""),", "),
_xlpm._exists, SUMPRODUCT(--ISNUMBER(MATCH(_xlpm._platform_keywords,_xlpm._original_keywords,0)))&gt;0,
_xlfn.IFS(_xlpm._exists,1,NOT(_xlpm._exists),"")
)</f>
        <v/>
      </c>
      <c r="V206" s="33" t="str" cm="1">
        <f t="array" aca="1" ref="V206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($E206=CLASSIFICATION[[Keyword Aggr]:[Keyword Aggr]])*($D206=CLASSIFICATION[[Functional Scope Aggr]:[Functional Scope Aggr]])),
_xlpm._platform_keywords, _xlfn.TEXTSPLIT(SUBSTITUTE(SUBSTITUTE(VLOOKUP($D206,_xlpm._platform_range,3,FALSE),"+"&amp;CHAR(34),"+"),CHAR(34),""),", "),
_xlpm._exists, SUMPRODUCT(--ISNUMBER(MATCH(_xlpm._platform_keywords,_xlpm._original_keywords,0)))&gt;0,
_xlfn.IFS(_xlpm._exists,1,NOT(_xlpm._exists),"")
)</f>
        <v/>
      </c>
      <c r="X206" s="33" t="str">
        <f t="shared" si="32"/>
        <v/>
      </c>
      <c r="Y206" s="33" t="str">
        <f t="shared" si="33"/>
        <v/>
      </c>
      <c r="Z206" s="33" t="str">
        <f t="shared" si="34"/>
        <v/>
      </c>
      <c r="AA206" s="33" t="str">
        <f t="shared" si="35"/>
        <v/>
      </c>
      <c r="AB206" s="33" t="str">
        <f t="shared" si="36"/>
        <v/>
      </c>
      <c r="AC206" s="33" t="str">
        <f t="shared" si="37"/>
        <v/>
      </c>
    </row>
    <row r="207" spans="1:29" x14ac:dyDescent="0.25">
      <c r="A207" s="19" t="str">
        <v>Implementation,Deployment,SOAP</v>
      </c>
      <c r="B207" t="s">
        <v>377</v>
      </c>
      <c r="C207" s="19" t="str" cm="1">
        <f t="array" ref="C207:E207">_xlfn.TEXTSPLIT(A207,",")</f>
        <v>Implementation</v>
      </c>
      <c r="D207" s="19" t="str">
        <v>Deployment</v>
      </c>
      <c r="E207" s="19" t="str">
        <v>SOAP</v>
      </c>
      <c r="F207" s="36" t="str" cm="1">
        <f t="array" ref="F207">_xlfn.TEXTJOIN(",",TRUE,_xlfn._xlws.FILTER(CLASSIFICATION[Keyword], ($E207=CLASSIFICATION[Keyword Aggr])*($D207=CLASSIFICATION[Functional Scope Aggr])))</f>
        <v>SOAP</v>
      </c>
      <c r="G207" s="32" t="str">
        <f t="shared" si="29"/>
        <v/>
      </c>
      <c r="H207" s="32" t="str">
        <f t="shared" si="30"/>
        <v/>
      </c>
      <c r="I207" s="32" t="str">
        <f t="shared" si="31"/>
        <v>SOAP</v>
      </c>
      <c r="J207" s="33" t="str" cm="1">
        <f t="array" aca="1" ref="J20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($E207=CLASSIFICATION[[Keyword Aggr]:[Keyword Aggr]])*($D207=CLASSIFICATION[[Functional Scope Aggr]:[Functional Scope Aggr]])),
_xlpm._platform_keywords, _xlfn.TEXTSPLIT(SUBSTITUTE(SUBSTITUTE(VLOOKUP($D207,_xlpm._platform_range,3,FALSE),"+"&amp;CHAR(34),"+"),CHAR(34),""),", "),
_xlpm._exists, SUMPRODUCT(--ISNUMBER(MATCH(_xlpm._platform_keywords,_xlpm._original_keywords,0)))&gt;0,
_xlfn.IFS(AND(_xlpm._exists,LEFT($E207,1)="+"),"+",_xlpm._exists,"*",NOT(_xlpm._exists),"")
)</f>
        <v/>
      </c>
      <c r="K207" s="33" t="str" cm="1">
        <f t="array" aca="1" ref="K20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($E207=CLASSIFICATION[[Keyword Aggr]:[Keyword Aggr]])*($D207=CLASSIFICATION[[Functional Scope Aggr]:[Functional Scope Aggr]])),
_xlpm._platform_keywords, _xlfn.TEXTSPLIT(SUBSTITUTE(SUBSTITUTE(VLOOKUP($D207,_xlpm._platform_range,3,FALSE),"+"&amp;CHAR(34),"+"),CHAR(34),""),", "),
_xlpm._exists, SUMPRODUCT(--ISNUMBER(MATCH(_xlpm._platform_keywords,_xlpm._original_keywords,0)))&gt;0,
_xlfn.IFS(AND(_xlpm._exists,LEFT($E207,1)="+"),"+",_xlpm._exists,"*",NOT(_xlpm._exists),"")
)</f>
        <v>*</v>
      </c>
      <c r="L207" s="33" t="str" cm="1">
        <f t="array" aca="1" ref="L20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($E207=CLASSIFICATION[[Keyword Aggr]:[Keyword Aggr]])*($D207=CLASSIFICATION[[Functional Scope Aggr]:[Functional Scope Aggr]])),
_xlpm._platform_keywords, _xlfn.TEXTSPLIT(SUBSTITUTE(SUBSTITUTE(VLOOKUP($D207,_xlpm._platform_range,3,FALSE),"+"&amp;CHAR(34),"+"),CHAR(34),""),", "),
_xlpm._exists, SUMPRODUCT(--ISNUMBER(MATCH(_xlpm._platform_keywords,_xlpm._original_keywords,0)))&gt;0,
_xlfn.IFS(AND(_xlpm._exists,LEFT($E207,1)="+"),"+",_xlpm._exists,"*",NOT(_xlpm._exists),"")
)</f>
        <v/>
      </c>
      <c r="M207" s="33" t="str" cm="1">
        <f t="array" aca="1" ref="M20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($E207=CLASSIFICATION[[Keyword Aggr]:[Keyword Aggr]])*($D207=CLASSIFICATION[[Functional Scope Aggr]:[Functional Scope Aggr]])),
_xlpm._platform_keywords, _xlfn.TEXTSPLIT(SUBSTITUTE(SUBSTITUTE(VLOOKUP($D207,_xlpm._platform_range,3,FALSE),"+"&amp;CHAR(34),"+"),CHAR(34),""),", "),
_xlpm._exists, SUMPRODUCT(--ISNUMBER(MATCH(_xlpm._platform_keywords,_xlpm._original_keywords,0)))&gt;0,
_xlfn.IFS(AND(_xlpm._exists,LEFT($E207,1)="+"),"+",_xlpm._exists,"*",NOT(_xlpm._exists),"")
)</f>
        <v/>
      </c>
      <c r="N207" s="33" t="str" cm="1">
        <f t="array" aca="1" ref="N20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($E207=CLASSIFICATION[[Keyword Aggr]:[Keyword Aggr]])*($D207=CLASSIFICATION[[Functional Scope Aggr]:[Functional Scope Aggr]])),
_xlpm._platform_keywords, _xlfn.TEXTSPLIT(SUBSTITUTE(SUBSTITUTE(VLOOKUP($D207,_xlpm._platform_range,3,FALSE),"+"&amp;CHAR(34),"+"),CHAR(34),""),", "),
_xlpm._exists, SUMPRODUCT(--ISNUMBER(MATCH(_xlpm._platform_keywords,_xlpm._original_keywords,0)))&gt;0,
_xlfn.IFS(AND(_xlpm._exists,LEFT($E207,1)="+"),"+",_xlpm._exists,"*",NOT(_xlpm._exists),"")
)</f>
        <v/>
      </c>
      <c r="O207" s="33" t="str" cm="1">
        <f t="array" aca="1" ref="O20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($E207=CLASSIFICATION[[Keyword Aggr]:[Keyword Aggr]])*($D207=CLASSIFICATION[[Functional Scope Aggr]:[Functional Scope Aggr]])),
_xlpm._platform_keywords, _xlfn.TEXTSPLIT(SUBSTITUTE(SUBSTITUTE(VLOOKUP($D207,_xlpm._platform_range,3,FALSE),"+"&amp;CHAR(34),"+"),CHAR(34),""),", "),
_xlpm._exists, SUMPRODUCT(--ISNUMBER(MATCH(_xlpm._platform_keywords,_xlpm._original_keywords,0)))&gt;0,
_xlfn.IFS(AND(_xlpm._exists,LEFT($E207,1)="+"),"+",_xlpm._exists,"*",NOT(_xlpm._exists),"")
)</f>
        <v/>
      </c>
      <c r="Q207" s="33" t="str" cm="1">
        <f t="array" aca="1" ref="Q207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($E207=CLASSIFICATION[[Keyword Aggr]:[Keyword Aggr]])*($D207=CLASSIFICATION[[Functional Scope Aggr]:[Functional Scope Aggr]])),
_xlpm._platform_keywords, _xlfn.TEXTSPLIT(SUBSTITUTE(SUBSTITUTE(VLOOKUP($D207,_xlpm._platform_range,3,FALSE),"+"&amp;CHAR(34),"+"),CHAR(34),""),", "),
_xlpm._exists, SUMPRODUCT(--ISNUMBER(MATCH(_xlpm._platform_keywords,_xlpm._original_keywords,0)))&gt;0,
_xlfn.IFS(_xlpm._exists,1,NOT(_xlpm._exists),"")
)</f>
        <v/>
      </c>
      <c r="R207" s="33" cm="1">
        <f t="array" aca="1" ref="R207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($E207=CLASSIFICATION[[Keyword Aggr]:[Keyword Aggr]])*($D207=CLASSIFICATION[[Functional Scope Aggr]:[Functional Scope Aggr]])),
_xlpm._platform_keywords, _xlfn.TEXTSPLIT(SUBSTITUTE(SUBSTITUTE(VLOOKUP($D207,_xlpm._platform_range,3,FALSE),"+"&amp;CHAR(34),"+"),CHAR(34),""),", "),
_xlpm._exists, SUMPRODUCT(--ISNUMBER(MATCH(_xlpm._platform_keywords,_xlpm._original_keywords,0)))&gt;0,
_xlfn.IFS(_xlpm._exists,1,NOT(_xlpm._exists),"")
)</f>
        <v>1</v>
      </c>
      <c r="S207" s="33" t="str" cm="1">
        <f t="array" aca="1" ref="S207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($E207=CLASSIFICATION[[Keyword Aggr]:[Keyword Aggr]])*($D207=CLASSIFICATION[[Functional Scope Aggr]:[Functional Scope Aggr]])),
_xlpm._platform_keywords, _xlfn.TEXTSPLIT(SUBSTITUTE(SUBSTITUTE(VLOOKUP($D207,_xlpm._platform_range,3,FALSE),"+"&amp;CHAR(34),"+"),CHAR(34),""),", "),
_xlpm._exists, SUMPRODUCT(--ISNUMBER(MATCH(_xlpm._platform_keywords,_xlpm._original_keywords,0)))&gt;0,
_xlfn.IFS(_xlpm._exists,1,NOT(_xlpm._exists),"")
)</f>
        <v/>
      </c>
      <c r="T207" s="33" t="str" cm="1">
        <f t="array" aca="1" ref="T207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($E207=CLASSIFICATION[[Keyword Aggr]:[Keyword Aggr]])*($D207=CLASSIFICATION[[Functional Scope Aggr]:[Functional Scope Aggr]])),
_xlpm._platform_keywords, _xlfn.TEXTSPLIT(SUBSTITUTE(SUBSTITUTE(VLOOKUP($D207,_xlpm._platform_range,3,FALSE),"+"&amp;CHAR(34),"+"),CHAR(34),""),", "),
_xlpm._exists, SUMPRODUCT(--ISNUMBER(MATCH(_xlpm._platform_keywords,_xlpm._original_keywords,0)))&gt;0,
_xlfn.IFS(_xlpm._exists,1,NOT(_xlpm._exists),"")
)</f>
        <v/>
      </c>
      <c r="U207" s="33" t="str" cm="1">
        <f t="array" aca="1" ref="U207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($E207=CLASSIFICATION[[Keyword Aggr]:[Keyword Aggr]])*($D207=CLASSIFICATION[[Functional Scope Aggr]:[Functional Scope Aggr]])),
_xlpm._platform_keywords, _xlfn.TEXTSPLIT(SUBSTITUTE(SUBSTITUTE(VLOOKUP($D207,_xlpm._platform_range,3,FALSE),"+"&amp;CHAR(34),"+"),CHAR(34),""),", "),
_xlpm._exists, SUMPRODUCT(--ISNUMBER(MATCH(_xlpm._platform_keywords,_xlpm._original_keywords,0)))&gt;0,
_xlfn.IFS(_xlpm._exists,1,NOT(_xlpm._exists),"")
)</f>
        <v/>
      </c>
      <c r="V207" s="33" t="str" cm="1">
        <f t="array" aca="1" ref="V207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($E207=CLASSIFICATION[[Keyword Aggr]:[Keyword Aggr]])*($D207=CLASSIFICATION[[Functional Scope Aggr]:[Functional Scope Aggr]])),
_xlpm._platform_keywords, _xlfn.TEXTSPLIT(SUBSTITUTE(SUBSTITUTE(VLOOKUP($D207,_xlpm._platform_range,3,FALSE),"+"&amp;CHAR(34),"+"),CHAR(34),""),", "),
_xlpm._exists, SUMPRODUCT(--ISNUMBER(MATCH(_xlpm._platform_keywords,_xlpm._original_keywords,0)))&gt;0,
_xlfn.IFS(_xlpm._exists,1,NOT(_xlpm._exists),"")
)</f>
        <v/>
      </c>
      <c r="X207" s="33" t="str">
        <f t="shared" si="32"/>
        <v/>
      </c>
      <c r="Y207" s="33" t="str">
        <f t="shared" si="33"/>
        <v/>
      </c>
      <c r="Z207" s="33" t="str">
        <f t="shared" si="34"/>
        <v/>
      </c>
      <c r="AA207" s="33" t="str">
        <f t="shared" si="35"/>
        <v/>
      </c>
      <c r="AB207" s="33" t="str">
        <f t="shared" si="36"/>
        <v/>
      </c>
      <c r="AC207" s="33" t="str">
        <f t="shared" si="37"/>
        <v/>
      </c>
    </row>
    <row r="208" spans="1:29" x14ac:dyDescent="0.25">
      <c r="A208" s="19" t="str">
        <v>Implementation,Version control,Code Repository Concept</v>
      </c>
      <c r="B208" t="s">
        <v>377</v>
      </c>
      <c r="C208" s="19" t="str" cm="1">
        <f t="array" ref="C208:E208">_xlfn.TEXTSPLIT(A208,",")</f>
        <v>Implementation</v>
      </c>
      <c r="D208" s="19" t="str">
        <v>Version control</v>
      </c>
      <c r="E208" s="19" t="str">
        <v>Code Repository Concept</v>
      </c>
      <c r="F208" s="36" t="str" cm="1">
        <f t="array" ref="F208">_xlfn.TEXTJOIN(",",TRUE,_xlfn._xlws.FILTER(CLASSIFICATION[Keyword], ($E208=CLASSIFICATION[Keyword Aggr])*($D208=CLASSIFICATION[Functional Scope Aggr])))</f>
        <v>Code Repository Concept</v>
      </c>
      <c r="G208" s="32" t="str">
        <f t="shared" si="29"/>
        <v/>
      </c>
      <c r="H208" s="32" t="str">
        <f t="shared" si="30"/>
        <v>Version control</v>
      </c>
      <c r="I208" s="32" t="str">
        <f t="shared" si="31"/>
        <v>Code Repository Concept</v>
      </c>
      <c r="J208" s="33" t="str" cm="1">
        <f t="array" aca="1" ref="J20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($E208=CLASSIFICATION[[Keyword Aggr]:[Keyword Aggr]])*($D208=CLASSIFICATION[[Functional Scope Aggr]:[Functional Scope Aggr]])),
_xlpm._platform_keywords, _xlfn.TEXTSPLIT(SUBSTITUTE(SUBSTITUTE(VLOOKUP($D208,_xlpm._platform_range,3,FALSE),"+"&amp;CHAR(34),"+"),CHAR(34),""),", "),
_xlpm._exists, SUMPRODUCT(--ISNUMBER(MATCH(_xlpm._platform_keywords,_xlpm._original_keywords,0)))&gt;0,
_xlfn.IFS(AND(_xlpm._exists,LEFT($E208,1)="+"),"+",_xlpm._exists,"*",NOT(_xlpm._exists),"")
)</f>
        <v>*</v>
      </c>
      <c r="K208" s="33" t="str" cm="1">
        <f t="array" aca="1" ref="K20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($E208=CLASSIFICATION[[Keyword Aggr]:[Keyword Aggr]])*($D208=CLASSIFICATION[[Functional Scope Aggr]:[Functional Scope Aggr]])),
_xlpm._platform_keywords, _xlfn.TEXTSPLIT(SUBSTITUTE(SUBSTITUTE(VLOOKUP($D208,_xlpm._platform_range,3,FALSE),"+"&amp;CHAR(34),"+"),CHAR(34),""),", "),
_xlpm._exists, SUMPRODUCT(--ISNUMBER(MATCH(_xlpm._platform_keywords,_xlpm._original_keywords,0)))&gt;0,
_xlfn.IFS(AND(_xlpm._exists,LEFT($E208,1)="+"),"+",_xlpm._exists,"*",NOT(_xlpm._exists),"")
)</f>
        <v/>
      </c>
      <c r="L208" s="33" t="str" cm="1">
        <f t="array" aca="1" ref="L20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($E208=CLASSIFICATION[[Keyword Aggr]:[Keyword Aggr]])*($D208=CLASSIFICATION[[Functional Scope Aggr]:[Functional Scope Aggr]])),
_xlpm._platform_keywords, _xlfn.TEXTSPLIT(SUBSTITUTE(SUBSTITUTE(VLOOKUP($D208,_xlpm._platform_range,3,FALSE),"+"&amp;CHAR(34),"+"),CHAR(34),""),", "),
_xlpm._exists, SUMPRODUCT(--ISNUMBER(MATCH(_xlpm._platform_keywords,_xlpm._original_keywords,0)))&gt;0,
_xlfn.IFS(AND(_xlpm._exists,LEFT($E208,1)="+"),"+",_xlpm._exists,"*",NOT(_xlpm._exists),"")
)</f>
        <v/>
      </c>
      <c r="M208" s="33" t="str" cm="1">
        <f t="array" aca="1" ref="M20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($E208=CLASSIFICATION[[Keyword Aggr]:[Keyword Aggr]])*($D208=CLASSIFICATION[[Functional Scope Aggr]:[Functional Scope Aggr]])),
_xlpm._platform_keywords, _xlfn.TEXTSPLIT(SUBSTITUTE(SUBSTITUTE(VLOOKUP($D208,_xlpm._platform_range,3,FALSE),"+"&amp;CHAR(34),"+"),CHAR(34),""),", "),
_xlpm._exists, SUMPRODUCT(--ISNUMBER(MATCH(_xlpm._platform_keywords,_xlpm._original_keywords,0)))&gt;0,
_xlfn.IFS(AND(_xlpm._exists,LEFT($E208,1)="+"),"+",_xlpm._exists,"*",NOT(_xlpm._exists),"")
)</f>
        <v>*</v>
      </c>
      <c r="N208" s="33" t="str" cm="1">
        <f t="array" aca="1" ref="N20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($E208=CLASSIFICATION[[Keyword Aggr]:[Keyword Aggr]])*($D208=CLASSIFICATION[[Functional Scope Aggr]:[Functional Scope Aggr]])),
_xlpm._platform_keywords, _xlfn.TEXTSPLIT(SUBSTITUTE(SUBSTITUTE(VLOOKUP($D208,_xlpm._platform_range,3,FALSE),"+"&amp;CHAR(34),"+"),CHAR(34),""),", "),
_xlpm._exists, SUMPRODUCT(--ISNUMBER(MATCH(_xlpm._platform_keywords,_xlpm._original_keywords,0)))&gt;0,
_xlfn.IFS(AND(_xlpm._exists,LEFT($E208,1)="+"),"+",_xlpm._exists,"*",NOT(_xlpm._exists),"")
)</f>
        <v/>
      </c>
      <c r="O208" s="33" t="str" cm="1">
        <f t="array" aca="1" ref="O20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($E208=CLASSIFICATION[[Keyword Aggr]:[Keyword Aggr]])*($D208=CLASSIFICATION[[Functional Scope Aggr]:[Functional Scope Aggr]])),
_xlpm._platform_keywords, _xlfn.TEXTSPLIT(SUBSTITUTE(SUBSTITUTE(VLOOKUP($D208,_xlpm._platform_range,3,FALSE),"+"&amp;CHAR(34),"+"),CHAR(34),""),", "),
_xlpm._exists, SUMPRODUCT(--ISNUMBER(MATCH(_xlpm._platform_keywords,_xlpm._original_keywords,0)))&gt;0,
_xlfn.IFS(AND(_xlpm._exists,LEFT($E208,1)="+"),"+",_xlpm._exists,"*",NOT(_xlpm._exists),"")
)</f>
        <v/>
      </c>
      <c r="Q208" s="33" cm="1">
        <f t="array" aca="1" ref="Q208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($E208=CLASSIFICATION[[Keyword Aggr]:[Keyword Aggr]])*($D208=CLASSIFICATION[[Functional Scope Aggr]:[Functional Scope Aggr]])),
_xlpm._platform_keywords, _xlfn.TEXTSPLIT(SUBSTITUTE(SUBSTITUTE(VLOOKUP($D208,_xlpm._platform_range,3,FALSE),"+"&amp;CHAR(34),"+"),CHAR(34),""),", "),
_xlpm._exists, SUMPRODUCT(--ISNUMBER(MATCH(_xlpm._platform_keywords,_xlpm._original_keywords,0)))&gt;0,
_xlfn.IFS(_xlpm._exists,1,NOT(_xlpm._exists),"")
)</f>
        <v>1</v>
      </c>
      <c r="R208" s="33" t="str" cm="1">
        <f t="array" aca="1" ref="R208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($E208=CLASSIFICATION[[Keyword Aggr]:[Keyword Aggr]])*($D208=CLASSIFICATION[[Functional Scope Aggr]:[Functional Scope Aggr]])),
_xlpm._platform_keywords, _xlfn.TEXTSPLIT(SUBSTITUTE(SUBSTITUTE(VLOOKUP($D208,_xlpm._platform_range,3,FALSE),"+"&amp;CHAR(34),"+"),CHAR(34),""),", "),
_xlpm._exists, SUMPRODUCT(--ISNUMBER(MATCH(_xlpm._platform_keywords,_xlpm._original_keywords,0)))&gt;0,
_xlfn.IFS(_xlpm._exists,1,NOT(_xlpm._exists),"")
)</f>
        <v/>
      </c>
      <c r="S208" s="33" t="str" cm="1">
        <f t="array" aca="1" ref="S208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($E208=CLASSIFICATION[[Keyword Aggr]:[Keyword Aggr]])*($D208=CLASSIFICATION[[Functional Scope Aggr]:[Functional Scope Aggr]])),
_xlpm._platform_keywords, _xlfn.TEXTSPLIT(SUBSTITUTE(SUBSTITUTE(VLOOKUP($D208,_xlpm._platform_range,3,FALSE),"+"&amp;CHAR(34),"+"),CHAR(34),""),", "),
_xlpm._exists, SUMPRODUCT(--ISNUMBER(MATCH(_xlpm._platform_keywords,_xlpm._original_keywords,0)))&gt;0,
_xlfn.IFS(_xlpm._exists,1,NOT(_xlpm._exists),"")
)</f>
        <v/>
      </c>
      <c r="T208" s="33" cm="1">
        <f t="array" aca="1" ref="T208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($E208=CLASSIFICATION[[Keyword Aggr]:[Keyword Aggr]])*($D208=CLASSIFICATION[[Functional Scope Aggr]:[Functional Scope Aggr]])),
_xlpm._platform_keywords, _xlfn.TEXTSPLIT(SUBSTITUTE(SUBSTITUTE(VLOOKUP($D208,_xlpm._platform_range,3,FALSE),"+"&amp;CHAR(34),"+"),CHAR(34),""),", "),
_xlpm._exists, SUMPRODUCT(--ISNUMBER(MATCH(_xlpm._platform_keywords,_xlpm._original_keywords,0)))&gt;0,
_xlfn.IFS(_xlpm._exists,1,NOT(_xlpm._exists),"")
)</f>
        <v>1</v>
      </c>
      <c r="U208" s="33" t="str" cm="1">
        <f t="array" aca="1" ref="U208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($E208=CLASSIFICATION[[Keyword Aggr]:[Keyword Aggr]])*($D208=CLASSIFICATION[[Functional Scope Aggr]:[Functional Scope Aggr]])),
_xlpm._platform_keywords, _xlfn.TEXTSPLIT(SUBSTITUTE(SUBSTITUTE(VLOOKUP($D208,_xlpm._platform_range,3,FALSE),"+"&amp;CHAR(34),"+"),CHAR(34),""),", "),
_xlpm._exists, SUMPRODUCT(--ISNUMBER(MATCH(_xlpm._platform_keywords,_xlpm._original_keywords,0)))&gt;0,
_xlfn.IFS(_xlpm._exists,1,NOT(_xlpm._exists),"")
)</f>
        <v/>
      </c>
      <c r="V208" s="33" t="str" cm="1">
        <f t="array" aca="1" ref="V208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($E208=CLASSIFICATION[[Keyword Aggr]:[Keyword Aggr]])*($D208=CLASSIFICATION[[Functional Scope Aggr]:[Functional Scope Aggr]])),
_xlpm._platform_keywords, _xlfn.TEXTSPLIT(SUBSTITUTE(SUBSTITUTE(VLOOKUP($D208,_xlpm._platform_range,3,FALSE),"+"&amp;CHAR(34),"+"),CHAR(34),""),", "),
_xlpm._exists, SUMPRODUCT(--ISNUMBER(MATCH(_xlpm._platform_keywords,_xlpm._original_keywords,0)))&gt;0,
_xlfn.IFS(_xlpm._exists,1,NOT(_xlpm._exists),"")
)</f>
        <v/>
      </c>
      <c r="X208" s="33">
        <f t="shared" ca="1" si="32"/>
        <v>2</v>
      </c>
      <c r="Y208" s="33">
        <f t="shared" ca="1" si="33"/>
        <v>1</v>
      </c>
      <c r="Z208" s="33">
        <f t="shared" ca="1" si="34"/>
        <v>1</v>
      </c>
      <c r="AA208" s="33">
        <f t="shared" ca="1" si="35"/>
        <v>2</v>
      </c>
      <c r="AB208" s="33">
        <f t="shared" ca="1" si="36"/>
        <v>1</v>
      </c>
      <c r="AC208" s="33">
        <f t="shared" ca="1" si="37"/>
        <v>1</v>
      </c>
    </row>
    <row r="209" spans="1:29" x14ac:dyDescent="0.25">
      <c r="A209" s="19" t="str">
        <v>Implementation,Version control,Custom Version Control</v>
      </c>
      <c r="B209" t="s">
        <v>377</v>
      </c>
      <c r="C209" s="19" t="str" cm="1">
        <f t="array" ref="C209:E209">_xlfn.TEXTSPLIT(A209,",")</f>
        <v>Implementation</v>
      </c>
      <c r="D209" s="19" t="str">
        <v>Version control</v>
      </c>
      <c r="E209" s="19" t="str">
        <v>Custom Version Control</v>
      </c>
      <c r="F209" s="36" t="str" cm="1">
        <f t="array" ref="F209">_xlfn.TEXTJOIN(",",TRUE,_xlfn._xlws.FILTER(CLASSIFICATION[Keyword], ($E209=CLASSIFICATION[Keyword Aggr])*($D209=CLASSIFICATION[Functional Scope Aggr])))</f>
        <v>Custom Version Control</v>
      </c>
      <c r="G209" s="32" t="str">
        <f t="shared" si="29"/>
        <v/>
      </c>
      <c r="H209" s="32" t="str">
        <f t="shared" si="30"/>
        <v/>
      </c>
      <c r="I209" s="32" t="str">
        <f t="shared" si="31"/>
        <v>Custom Version Control</v>
      </c>
      <c r="J209" s="33" t="str" cm="1">
        <f t="array" aca="1" ref="J20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($E209=CLASSIFICATION[[Keyword Aggr]:[Keyword Aggr]])*($D209=CLASSIFICATION[[Functional Scope Aggr]:[Functional Scope Aggr]])),
_xlpm._platform_keywords, _xlfn.TEXTSPLIT(SUBSTITUTE(SUBSTITUTE(VLOOKUP($D209,_xlpm._platform_range,3,FALSE),"+"&amp;CHAR(34),"+"),CHAR(34),""),", "),
_xlpm._exists, SUMPRODUCT(--ISNUMBER(MATCH(_xlpm._platform_keywords,_xlpm._original_keywords,0)))&gt;0,
_xlfn.IFS(AND(_xlpm._exists,LEFT($E209,1)="+"),"+",_xlpm._exists,"*",NOT(_xlpm._exists),"")
)</f>
        <v/>
      </c>
      <c r="K209" s="33" t="str" cm="1">
        <f t="array" aca="1" ref="K20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($E209=CLASSIFICATION[[Keyword Aggr]:[Keyword Aggr]])*($D209=CLASSIFICATION[[Functional Scope Aggr]:[Functional Scope Aggr]])),
_xlpm._platform_keywords, _xlfn.TEXTSPLIT(SUBSTITUTE(SUBSTITUTE(VLOOKUP($D209,_xlpm._platform_range,3,FALSE),"+"&amp;CHAR(34),"+"),CHAR(34),""),", "),
_xlpm._exists, SUMPRODUCT(--ISNUMBER(MATCH(_xlpm._platform_keywords,_xlpm._original_keywords,0)))&gt;0,
_xlfn.IFS(AND(_xlpm._exists,LEFT($E209,1)="+"),"+",_xlpm._exists,"*",NOT(_xlpm._exists),"")
)</f>
        <v>*</v>
      </c>
      <c r="L209" s="33" t="str" cm="1">
        <f t="array" aca="1" ref="L20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($E209=CLASSIFICATION[[Keyword Aggr]:[Keyword Aggr]])*($D209=CLASSIFICATION[[Functional Scope Aggr]:[Functional Scope Aggr]])),
_xlpm._platform_keywords, _xlfn.TEXTSPLIT(SUBSTITUTE(SUBSTITUTE(VLOOKUP($D209,_xlpm._platform_range,3,FALSE),"+"&amp;CHAR(34),"+"),CHAR(34),""),", "),
_xlpm._exists, SUMPRODUCT(--ISNUMBER(MATCH(_xlpm._platform_keywords,_xlpm._original_keywords,0)))&gt;0,
_xlfn.IFS(AND(_xlpm._exists,LEFT($E209,1)="+"),"+",_xlpm._exists,"*",NOT(_xlpm._exists),"")
)</f>
        <v>*</v>
      </c>
      <c r="M209" s="33" t="str" cm="1">
        <f t="array" aca="1" ref="M20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($E209=CLASSIFICATION[[Keyword Aggr]:[Keyword Aggr]])*($D209=CLASSIFICATION[[Functional Scope Aggr]:[Functional Scope Aggr]])),
_xlpm._platform_keywords, _xlfn.TEXTSPLIT(SUBSTITUTE(SUBSTITUTE(VLOOKUP($D209,_xlpm._platform_range,3,FALSE),"+"&amp;CHAR(34),"+"),CHAR(34),""),", "),
_xlpm._exists, SUMPRODUCT(--ISNUMBER(MATCH(_xlpm._platform_keywords,_xlpm._original_keywords,0)))&gt;0,
_xlfn.IFS(AND(_xlpm._exists,LEFT($E209,1)="+"),"+",_xlpm._exists,"*",NOT(_xlpm._exists),"")
)</f>
        <v/>
      </c>
      <c r="N209" s="33" t="str" cm="1">
        <f t="array" aca="1" ref="N20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($E209=CLASSIFICATION[[Keyword Aggr]:[Keyword Aggr]])*($D209=CLASSIFICATION[[Functional Scope Aggr]:[Functional Scope Aggr]])),
_xlpm._platform_keywords, _xlfn.TEXTSPLIT(SUBSTITUTE(SUBSTITUTE(VLOOKUP($D209,_xlpm._platform_range,3,FALSE),"+"&amp;CHAR(34),"+"),CHAR(34),""),", "),
_xlpm._exists, SUMPRODUCT(--ISNUMBER(MATCH(_xlpm._platform_keywords,_xlpm._original_keywords,0)))&gt;0,
_xlfn.IFS(AND(_xlpm._exists,LEFT($E209,1)="+"),"+",_xlpm._exists,"*",NOT(_xlpm._exists),"")
)</f>
        <v>*</v>
      </c>
      <c r="O209" s="33" t="str" cm="1">
        <f t="array" aca="1" ref="O20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($E209=CLASSIFICATION[[Keyword Aggr]:[Keyword Aggr]])*($D209=CLASSIFICATION[[Functional Scope Aggr]:[Functional Scope Aggr]])),
_xlpm._platform_keywords, _xlfn.TEXTSPLIT(SUBSTITUTE(SUBSTITUTE(VLOOKUP($D209,_xlpm._platform_range,3,FALSE),"+"&amp;CHAR(34),"+"),CHAR(34),""),", "),
_xlpm._exists, SUMPRODUCT(--ISNUMBER(MATCH(_xlpm._platform_keywords,_xlpm._original_keywords,0)))&gt;0,
_xlfn.IFS(AND(_xlpm._exists,LEFT($E209,1)="+"),"+",_xlpm._exists,"*",NOT(_xlpm._exists),"")
)</f>
        <v>*</v>
      </c>
      <c r="Q209" s="33" t="str" cm="1">
        <f t="array" aca="1" ref="Q209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($E209=CLASSIFICATION[[Keyword Aggr]:[Keyword Aggr]])*($D209=CLASSIFICATION[[Functional Scope Aggr]:[Functional Scope Aggr]])),
_xlpm._platform_keywords, _xlfn.TEXTSPLIT(SUBSTITUTE(SUBSTITUTE(VLOOKUP($D209,_xlpm._platform_range,3,FALSE),"+"&amp;CHAR(34),"+"),CHAR(34),""),", "),
_xlpm._exists, SUMPRODUCT(--ISNUMBER(MATCH(_xlpm._platform_keywords,_xlpm._original_keywords,0)))&gt;0,
_xlfn.IFS(_xlpm._exists,1,NOT(_xlpm._exists),"")
)</f>
        <v/>
      </c>
      <c r="R209" s="33" cm="1">
        <f t="array" aca="1" ref="R209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($E209=CLASSIFICATION[[Keyword Aggr]:[Keyword Aggr]])*($D209=CLASSIFICATION[[Functional Scope Aggr]:[Functional Scope Aggr]])),
_xlpm._platform_keywords, _xlfn.TEXTSPLIT(SUBSTITUTE(SUBSTITUTE(VLOOKUP($D209,_xlpm._platform_range,3,FALSE),"+"&amp;CHAR(34),"+"),CHAR(34),""),", "),
_xlpm._exists, SUMPRODUCT(--ISNUMBER(MATCH(_xlpm._platform_keywords,_xlpm._original_keywords,0)))&gt;0,
_xlfn.IFS(_xlpm._exists,1,NOT(_xlpm._exists),"")
)</f>
        <v>1</v>
      </c>
      <c r="S209" s="33" cm="1">
        <f t="array" aca="1" ref="S209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($E209=CLASSIFICATION[[Keyword Aggr]:[Keyword Aggr]])*($D209=CLASSIFICATION[[Functional Scope Aggr]:[Functional Scope Aggr]])),
_xlpm._platform_keywords, _xlfn.TEXTSPLIT(SUBSTITUTE(SUBSTITUTE(VLOOKUP($D209,_xlpm._platform_range,3,FALSE),"+"&amp;CHAR(34),"+"),CHAR(34),""),", "),
_xlpm._exists, SUMPRODUCT(--ISNUMBER(MATCH(_xlpm._platform_keywords,_xlpm._original_keywords,0)))&gt;0,
_xlfn.IFS(_xlpm._exists,1,NOT(_xlpm._exists),"")
)</f>
        <v>1</v>
      </c>
      <c r="T209" s="33" t="str" cm="1">
        <f t="array" aca="1" ref="T209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($E209=CLASSIFICATION[[Keyword Aggr]:[Keyword Aggr]])*($D209=CLASSIFICATION[[Functional Scope Aggr]:[Functional Scope Aggr]])),
_xlpm._platform_keywords, _xlfn.TEXTSPLIT(SUBSTITUTE(SUBSTITUTE(VLOOKUP($D209,_xlpm._platform_range,3,FALSE),"+"&amp;CHAR(34),"+"),CHAR(34),""),", "),
_xlpm._exists, SUMPRODUCT(--ISNUMBER(MATCH(_xlpm._platform_keywords,_xlpm._original_keywords,0)))&gt;0,
_xlfn.IFS(_xlpm._exists,1,NOT(_xlpm._exists),"")
)</f>
        <v/>
      </c>
      <c r="U209" s="33" cm="1">
        <f t="array" aca="1" ref="U209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($E209=CLASSIFICATION[[Keyword Aggr]:[Keyword Aggr]])*($D209=CLASSIFICATION[[Functional Scope Aggr]:[Functional Scope Aggr]])),
_xlpm._platform_keywords, _xlfn.TEXTSPLIT(SUBSTITUTE(SUBSTITUTE(VLOOKUP($D209,_xlpm._platform_range,3,FALSE),"+"&amp;CHAR(34),"+"),CHAR(34),""),", "),
_xlpm._exists, SUMPRODUCT(--ISNUMBER(MATCH(_xlpm._platform_keywords,_xlpm._original_keywords,0)))&gt;0,
_xlfn.IFS(_xlpm._exists,1,NOT(_xlpm._exists),"")
)</f>
        <v>1</v>
      </c>
      <c r="V209" s="33" cm="1">
        <f t="array" aca="1" ref="V209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($E209=CLASSIFICATION[[Keyword Aggr]:[Keyword Aggr]])*($D209=CLASSIFICATION[[Functional Scope Aggr]:[Functional Scope Aggr]])),
_xlpm._platform_keywords, _xlfn.TEXTSPLIT(SUBSTITUTE(SUBSTITUTE(VLOOKUP($D209,_xlpm._platform_range,3,FALSE),"+"&amp;CHAR(34),"+"),CHAR(34),""),", "),
_xlpm._exists, SUMPRODUCT(--ISNUMBER(MATCH(_xlpm._platform_keywords,_xlpm._original_keywords,0)))&gt;0,
_xlfn.IFS(_xlpm._exists,1,NOT(_xlpm._exists),"")
)</f>
        <v>1</v>
      </c>
      <c r="X209" s="33" t="str">
        <f t="shared" si="32"/>
        <v/>
      </c>
      <c r="Y209" s="33" t="str">
        <f t="shared" si="33"/>
        <v/>
      </c>
      <c r="Z209" s="33" t="str">
        <f t="shared" si="34"/>
        <v/>
      </c>
      <c r="AA209" s="33" t="str">
        <f t="shared" si="35"/>
        <v/>
      </c>
      <c r="AB209" s="33" t="str">
        <f t="shared" si="36"/>
        <v/>
      </c>
      <c r="AC209" s="33" t="str">
        <f t="shared" si="37"/>
        <v/>
      </c>
    </row>
    <row r="210" spans="1:29" x14ac:dyDescent="0.25">
      <c r="A210" s="19" t="str">
        <v>Implementation,Version control,Git</v>
      </c>
      <c r="B210" t="s">
        <v>377</v>
      </c>
      <c r="C210" s="19" t="str" cm="1">
        <f t="array" ref="C210:E210">_xlfn.TEXTSPLIT(A210,",")</f>
        <v>Implementation</v>
      </c>
      <c r="D210" s="19" t="str">
        <v>Version control</v>
      </c>
      <c r="E210" s="19" t="str">
        <v>Git</v>
      </c>
      <c r="F210" s="36" t="str" cm="1">
        <f t="array" ref="F210">_xlfn.TEXTJOIN(",",TRUE,_xlfn._xlws.FILTER(CLASSIFICATION[Keyword], ($E210=CLASSIFICATION[Keyword Aggr])*($D210=CLASSIFICATION[Functional Scope Aggr])))</f>
        <v>Git</v>
      </c>
      <c r="G210" s="32" t="str">
        <f t="shared" si="29"/>
        <v/>
      </c>
      <c r="H210" s="32" t="str">
        <f t="shared" si="30"/>
        <v/>
      </c>
      <c r="I210" s="32" t="str">
        <f t="shared" si="31"/>
        <v>Git</v>
      </c>
      <c r="J210" s="33" t="str" cm="1">
        <f t="array" aca="1" ref="J21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($E210=CLASSIFICATION[[Keyword Aggr]:[Keyword Aggr]])*($D210=CLASSIFICATION[[Functional Scope Aggr]:[Functional Scope Aggr]])),
_xlpm._platform_keywords, _xlfn.TEXTSPLIT(SUBSTITUTE(SUBSTITUTE(VLOOKUP($D210,_xlpm._platform_range,3,FALSE),"+"&amp;CHAR(34),"+"),CHAR(34),""),", "),
_xlpm._exists, SUMPRODUCT(--ISNUMBER(MATCH(_xlpm._platform_keywords,_xlpm._original_keywords,0)))&gt;0,
_xlfn.IFS(AND(_xlpm._exists,LEFT($E210,1)="+"),"+",_xlpm._exists,"*",NOT(_xlpm._exists),"")
)</f>
        <v>*</v>
      </c>
      <c r="K210" s="33" t="str" cm="1">
        <f t="array" aca="1" ref="K21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($E210=CLASSIFICATION[[Keyword Aggr]:[Keyword Aggr]])*($D210=CLASSIFICATION[[Functional Scope Aggr]:[Functional Scope Aggr]])),
_xlpm._platform_keywords, _xlfn.TEXTSPLIT(SUBSTITUTE(SUBSTITUTE(VLOOKUP($D210,_xlpm._platform_range,3,FALSE),"+"&amp;CHAR(34),"+"),CHAR(34),""),", "),
_xlpm._exists, SUMPRODUCT(--ISNUMBER(MATCH(_xlpm._platform_keywords,_xlpm._original_keywords,0)))&gt;0,
_xlfn.IFS(AND(_xlpm._exists,LEFT($E210,1)="+"),"+",_xlpm._exists,"*",NOT(_xlpm._exists),"")
)</f>
        <v/>
      </c>
      <c r="L210" s="33" t="str" cm="1">
        <f t="array" aca="1" ref="L21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($E210=CLASSIFICATION[[Keyword Aggr]:[Keyword Aggr]])*($D210=CLASSIFICATION[[Functional Scope Aggr]:[Functional Scope Aggr]])),
_xlpm._platform_keywords, _xlfn.TEXTSPLIT(SUBSTITUTE(SUBSTITUTE(VLOOKUP($D210,_xlpm._platform_range,3,FALSE),"+"&amp;CHAR(34),"+"),CHAR(34),""),", "),
_xlpm._exists, SUMPRODUCT(--ISNUMBER(MATCH(_xlpm._platform_keywords,_xlpm._original_keywords,0)))&gt;0,
_xlfn.IFS(AND(_xlpm._exists,LEFT($E210,1)="+"),"+",_xlpm._exists,"*",NOT(_xlpm._exists),"")
)</f>
        <v/>
      </c>
      <c r="M210" s="33" t="str" cm="1">
        <f t="array" aca="1" ref="M21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($E210=CLASSIFICATION[[Keyword Aggr]:[Keyword Aggr]])*($D210=CLASSIFICATION[[Functional Scope Aggr]:[Functional Scope Aggr]])),
_xlpm._platform_keywords, _xlfn.TEXTSPLIT(SUBSTITUTE(SUBSTITUTE(VLOOKUP($D210,_xlpm._platform_range,3,FALSE),"+"&amp;CHAR(34),"+"),CHAR(34),""),", "),
_xlpm._exists, SUMPRODUCT(--ISNUMBER(MATCH(_xlpm._platform_keywords,_xlpm._original_keywords,0)))&gt;0,
_xlfn.IFS(AND(_xlpm._exists,LEFT($E210,1)="+"),"+",_xlpm._exists,"*",NOT(_xlpm._exists),"")
)</f>
        <v>*</v>
      </c>
      <c r="N210" s="33" t="str" cm="1">
        <f t="array" aca="1" ref="N21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($E210=CLASSIFICATION[[Keyword Aggr]:[Keyword Aggr]])*($D210=CLASSIFICATION[[Functional Scope Aggr]:[Functional Scope Aggr]])),
_xlpm._platform_keywords, _xlfn.TEXTSPLIT(SUBSTITUTE(SUBSTITUTE(VLOOKUP($D210,_xlpm._platform_range,3,FALSE),"+"&amp;CHAR(34),"+"),CHAR(34),""),", "),
_xlpm._exists, SUMPRODUCT(--ISNUMBER(MATCH(_xlpm._platform_keywords,_xlpm._original_keywords,0)))&gt;0,
_xlfn.IFS(AND(_xlpm._exists,LEFT($E210,1)="+"),"+",_xlpm._exists,"*",NOT(_xlpm._exists),"")
)</f>
        <v/>
      </c>
      <c r="O210" s="33" t="str" cm="1">
        <f t="array" aca="1" ref="O21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($E210=CLASSIFICATION[[Keyword Aggr]:[Keyword Aggr]])*($D210=CLASSIFICATION[[Functional Scope Aggr]:[Functional Scope Aggr]])),
_xlpm._platform_keywords, _xlfn.TEXTSPLIT(SUBSTITUTE(SUBSTITUTE(VLOOKUP($D210,_xlpm._platform_range,3,FALSE),"+"&amp;CHAR(34),"+"),CHAR(34),""),", "),
_xlpm._exists, SUMPRODUCT(--ISNUMBER(MATCH(_xlpm._platform_keywords,_xlpm._original_keywords,0)))&gt;0,
_xlfn.IFS(AND(_xlpm._exists,LEFT($E210,1)="+"),"+",_xlpm._exists,"*",NOT(_xlpm._exists),"")
)</f>
        <v/>
      </c>
      <c r="Q210" s="33" cm="1">
        <f t="array" aca="1" ref="Q210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($E210=CLASSIFICATION[[Keyword Aggr]:[Keyword Aggr]])*($D210=CLASSIFICATION[[Functional Scope Aggr]:[Functional Scope Aggr]])),
_xlpm._platform_keywords, _xlfn.TEXTSPLIT(SUBSTITUTE(SUBSTITUTE(VLOOKUP($D210,_xlpm._platform_range,3,FALSE),"+"&amp;CHAR(34),"+"),CHAR(34),""),", "),
_xlpm._exists, SUMPRODUCT(--ISNUMBER(MATCH(_xlpm._platform_keywords,_xlpm._original_keywords,0)))&gt;0,
_xlfn.IFS(_xlpm._exists,1,NOT(_xlpm._exists),"")
)</f>
        <v>1</v>
      </c>
      <c r="R210" s="33" t="str" cm="1">
        <f t="array" aca="1" ref="R210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($E210=CLASSIFICATION[[Keyword Aggr]:[Keyword Aggr]])*($D210=CLASSIFICATION[[Functional Scope Aggr]:[Functional Scope Aggr]])),
_xlpm._platform_keywords, _xlfn.TEXTSPLIT(SUBSTITUTE(SUBSTITUTE(VLOOKUP($D210,_xlpm._platform_range,3,FALSE),"+"&amp;CHAR(34),"+"),CHAR(34),""),", "),
_xlpm._exists, SUMPRODUCT(--ISNUMBER(MATCH(_xlpm._platform_keywords,_xlpm._original_keywords,0)))&gt;0,
_xlfn.IFS(_xlpm._exists,1,NOT(_xlpm._exists),"")
)</f>
        <v/>
      </c>
      <c r="S210" s="33" t="str" cm="1">
        <f t="array" aca="1" ref="S210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($E210=CLASSIFICATION[[Keyword Aggr]:[Keyword Aggr]])*($D210=CLASSIFICATION[[Functional Scope Aggr]:[Functional Scope Aggr]])),
_xlpm._platform_keywords, _xlfn.TEXTSPLIT(SUBSTITUTE(SUBSTITUTE(VLOOKUP($D210,_xlpm._platform_range,3,FALSE),"+"&amp;CHAR(34),"+"),CHAR(34),""),", "),
_xlpm._exists, SUMPRODUCT(--ISNUMBER(MATCH(_xlpm._platform_keywords,_xlpm._original_keywords,0)))&gt;0,
_xlfn.IFS(_xlpm._exists,1,NOT(_xlpm._exists),"")
)</f>
        <v/>
      </c>
      <c r="T210" s="33" cm="1">
        <f t="array" aca="1" ref="T210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($E210=CLASSIFICATION[[Keyword Aggr]:[Keyword Aggr]])*($D210=CLASSIFICATION[[Functional Scope Aggr]:[Functional Scope Aggr]])),
_xlpm._platform_keywords, _xlfn.TEXTSPLIT(SUBSTITUTE(SUBSTITUTE(VLOOKUP($D210,_xlpm._platform_range,3,FALSE),"+"&amp;CHAR(34),"+"),CHAR(34),""),", "),
_xlpm._exists, SUMPRODUCT(--ISNUMBER(MATCH(_xlpm._platform_keywords,_xlpm._original_keywords,0)))&gt;0,
_xlfn.IFS(_xlpm._exists,1,NOT(_xlpm._exists),"")
)</f>
        <v>1</v>
      </c>
      <c r="U210" s="33" t="str" cm="1">
        <f t="array" aca="1" ref="U210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($E210=CLASSIFICATION[[Keyword Aggr]:[Keyword Aggr]])*($D210=CLASSIFICATION[[Functional Scope Aggr]:[Functional Scope Aggr]])),
_xlpm._platform_keywords, _xlfn.TEXTSPLIT(SUBSTITUTE(SUBSTITUTE(VLOOKUP($D210,_xlpm._platform_range,3,FALSE),"+"&amp;CHAR(34),"+"),CHAR(34),""),", "),
_xlpm._exists, SUMPRODUCT(--ISNUMBER(MATCH(_xlpm._platform_keywords,_xlpm._original_keywords,0)))&gt;0,
_xlfn.IFS(_xlpm._exists,1,NOT(_xlpm._exists),"")
)</f>
        <v/>
      </c>
      <c r="V210" s="33" t="str" cm="1">
        <f t="array" aca="1" ref="V210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($E210=CLASSIFICATION[[Keyword Aggr]:[Keyword Aggr]])*($D210=CLASSIFICATION[[Functional Scope Aggr]:[Functional Scope Aggr]])),
_xlpm._platform_keywords, _xlfn.TEXTSPLIT(SUBSTITUTE(SUBSTITUTE(VLOOKUP($D210,_xlpm._platform_range,3,FALSE),"+"&amp;CHAR(34),"+"),CHAR(34),""),", "),
_xlpm._exists, SUMPRODUCT(--ISNUMBER(MATCH(_xlpm._platform_keywords,_xlpm._original_keywords,0)))&gt;0,
_xlfn.IFS(_xlpm._exists,1,NOT(_xlpm._exists),"")
)</f>
        <v/>
      </c>
      <c r="X210" s="33" t="str">
        <f t="shared" si="32"/>
        <v/>
      </c>
      <c r="Y210" s="33" t="str">
        <f t="shared" si="33"/>
        <v/>
      </c>
      <c r="Z210" s="33" t="str">
        <f t="shared" si="34"/>
        <v/>
      </c>
      <c r="AA210" s="33" t="str">
        <f t="shared" si="35"/>
        <v/>
      </c>
      <c r="AB210" s="33" t="str">
        <f t="shared" si="36"/>
        <v/>
      </c>
      <c r="AC210" s="33" t="str">
        <f t="shared" si="37"/>
        <v/>
      </c>
    </row>
    <row r="211" spans="1:29" x14ac:dyDescent="0.25">
      <c r="A211" s="19"/>
      <c r="B211" t="s">
        <v>377</v>
      </c>
      <c r="C211" s="19" t="e" cm="1">
        <f t="array" ref="C211">_xlfn.TEXTSPLIT(A211,",")</f>
        <v>#VALUE!</v>
      </c>
      <c r="D211" s="19"/>
      <c r="E211" s="19"/>
      <c r="F211" s="36" t="e" cm="1" vm="1">
        <f t="array" ref="F211">_xlfn.TEXTJOIN(",",TRUE,_xlfn._xlws.FILTER(CLASSIFICATION[Keyword], ($E211=CLASSIFICATION[Keyword Aggr])*($D211=CLASSIFICATION[Functional Scope Aggr])))</f>
        <v>#VALUE!</v>
      </c>
      <c r="G211" s="32" t="e">
        <f t="shared" si="29"/>
        <v>#VALUE!</v>
      </c>
      <c r="H211" s="32">
        <f t="shared" si="30"/>
        <v>0</v>
      </c>
      <c r="I211" s="32">
        <f t="shared" si="31"/>
        <v>0</v>
      </c>
      <c r="J211" s="33" t="str" cm="1">
        <f t="array" aca="1" ref="J21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($E211=CLASSIFICATION[[Keyword Aggr]:[Keyword Aggr]])*($D211=CLASSIFICATION[[Functional Scope Aggr]:[Functional Scope Aggr]])),
_xlpm._platform_keywords, _xlfn.TEXTSPLIT(SUBSTITUTE(SUBSTITUTE(VLOOKUP($D211,_xlpm._platform_range,3,FALSE),"+"&amp;CHAR(34),"+"),CHAR(34),""),", "),
_xlpm._exists, SUMPRODUCT(--ISNUMBER(MATCH(_xlpm._platform_keywords,_xlpm._original_keywords,0)))&gt;0,
_xlfn.IFS(AND(_xlpm._exists,LEFT($E211,1)="+"),"+",_xlpm._exists,"*",NOT(_xlpm._exists),"")
)</f>
        <v/>
      </c>
      <c r="K211" s="33" t="str" cm="1">
        <f t="array" aca="1" ref="K21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($E211=CLASSIFICATION[[Keyword Aggr]:[Keyword Aggr]])*($D211=CLASSIFICATION[[Functional Scope Aggr]:[Functional Scope Aggr]])),
_xlpm._platform_keywords, _xlfn.TEXTSPLIT(SUBSTITUTE(SUBSTITUTE(VLOOKUP($D211,_xlpm._platform_range,3,FALSE),"+"&amp;CHAR(34),"+"),CHAR(34),""),", "),
_xlpm._exists, SUMPRODUCT(--ISNUMBER(MATCH(_xlpm._platform_keywords,_xlpm._original_keywords,0)))&gt;0,
_xlfn.IFS(AND(_xlpm._exists,LEFT($E211,1)="+"),"+",_xlpm._exists,"*",NOT(_xlpm._exists),"")
)</f>
        <v/>
      </c>
      <c r="L211" s="33" t="str" cm="1">
        <f t="array" aca="1" ref="L21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($E211=CLASSIFICATION[[Keyword Aggr]:[Keyword Aggr]])*($D211=CLASSIFICATION[[Functional Scope Aggr]:[Functional Scope Aggr]])),
_xlpm._platform_keywords, _xlfn.TEXTSPLIT(SUBSTITUTE(SUBSTITUTE(VLOOKUP($D211,_xlpm._platform_range,3,FALSE),"+"&amp;CHAR(34),"+"),CHAR(34),""),", "),
_xlpm._exists, SUMPRODUCT(--ISNUMBER(MATCH(_xlpm._platform_keywords,_xlpm._original_keywords,0)))&gt;0,
_xlfn.IFS(AND(_xlpm._exists,LEFT($E211,1)="+"),"+",_xlpm._exists,"*",NOT(_xlpm._exists),"")
)</f>
        <v/>
      </c>
      <c r="M211" s="33" t="str" cm="1">
        <f t="array" aca="1" ref="M21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($E211=CLASSIFICATION[[Keyword Aggr]:[Keyword Aggr]])*($D211=CLASSIFICATION[[Functional Scope Aggr]:[Functional Scope Aggr]])),
_xlpm._platform_keywords, _xlfn.TEXTSPLIT(SUBSTITUTE(SUBSTITUTE(VLOOKUP($D211,_xlpm._platform_range,3,FALSE),"+"&amp;CHAR(34),"+"),CHAR(34),""),", "),
_xlpm._exists, SUMPRODUCT(--ISNUMBER(MATCH(_xlpm._platform_keywords,_xlpm._original_keywords,0)))&gt;0,
_xlfn.IFS(AND(_xlpm._exists,LEFT($E211,1)="+"),"+",_xlpm._exists,"*",NOT(_xlpm._exists),"")
)</f>
        <v/>
      </c>
      <c r="N211" s="33" t="str" cm="1">
        <f t="array" aca="1" ref="N21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($E211=CLASSIFICATION[[Keyword Aggr]:[Keyword Aggr]])*($D211=CLASSIFICATION[[Functional Scope Aggr]:[Functional Scope Aggr]])),
_xlpm._platform_keywords, _xlfn.TEXTSPLIT(SUBSTITUTE(SUBSTITUTE(VLOOKUP($D211,_xlpm._platform_range,3,FALSE),"+"&amp;CHAR(34),"+"),CHAR(34),""),", "),
_xlpm._exists, SUMPRODUCT(--ISNUMBER(MATCH(_xlpm._platform_keywords,_xlpm._original_keywords,0)))&gt;0,
_xlfn.IFS(AND(_xlpm._exists,LEFT($E211,1)="+"),"+",_xlpm._exists,"*",NOT(_xlpm._exists),"")
)</f>
        <v/>
      </c>
      <c r="O211" s="33" t="str" cm="1">
        <f t="array" aca="1" ref="O21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($E211=CLASSIFICATION[[Keyword Aggr]:[Keyword Aggr]])*($D211=CLASSIFICATION[[Functional Scope Aggr]:[Functional Scope Aggr]])),
_xlpm._platform_keywords, _xlfn.TEXTSPLIT(SUBSTITUTE(SUBSTITUTE(VLOOKUP($D211,_xlpm._platform_range,3,FALSE),"+"&amp;CHAR(34),"+"),CHAR(34),""),", "),
_xlpm._exists, SUMPRODUCT(--ISNUMBER(MATCH(_xlpm._platform_keywords,_xlpm._original_keywords,0)))&gt;0,
_xlfn.IFS(AND(_xlpm._exists,LEFT($E211,1)="+"),"+",_xlpm._exists,"*",NOT(_xlpm._exists),"")
)</f>
        <v/>
      </c>
      <c r="Q211" s="33" t="str" cm="1">
        <f t="array" aca="1" ref="Q211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($E211=CLASSIFICATION[[Keyword Aggr]:[Keyword Aggr]])*($D211=CLASSIFICATION[[Functional Scope Aggr]:[Functional Scope Aggr]])),
_xlpm._platform_keywords, _xlfn.TEXTSPLIT(SUBSTITUTE(SUBSTITUTE(VLOOKUP($D211,_xlpm._platform_range,3,FALSE),"+"&amp;CHAR(34),"+"),CHAR(34),""),", "),
_xlpm._exists, SUMPRODUCT(--ISNUMBER(MATCH(_xlpm._platform_keywords,_xlpm._original_keywords,0)))&gt;0,
_xlfn.IFS(_xlpm._exists,1,NOT(_xlpm._exists),"")
)</f>
        <v/>
      </c>
      <c r="R211" s="33" t="str" cm="1">
        <f t="array" aca="1" ref="R211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($E211=CLASSIFICATION[[Keyword Aggr]:[Keyword Aggr]])*($D211=CLASSIFICATION[[Functional Scope Aggr]:[Functional Scope Aggr]])),
_xlpm._platform_keywords, _xlfn.TEXTSPLIT(SUBSTITUTE(SUBSTITUTE(VLOOKUP($D211,_xlpm._platform_range,3,FALSE),"+"&amp;CHAR(34),"+"),CHAR(34),""),", "),
_xlpm._exists, SUMPRODUCT(--ISNUMBER(MATCH(_xlpm._platform_keywords,_xlpm._original_keywords,0)))&gt;0,
_xlfn.IFS(_xlpm._exists,1,NOT(_xlpm._exists),"")
)</f>
        <v/>
      </c>
      <c r="S211" s="33" t="str" cm="1">
        <f t="array" aca="1" ref="S211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($E211=CLASSIFICATION[[Keyword Aggr]:[Keyword Aggr]])*($D211=CLASSIFICATION[[Functional Scope Aggr]:[Functional Scope Aggr]])),
_xlpm._platform_keywords, _xlfn.TEXTSPLIT(SUBSTITUTE(SUBSTITUTE(VLOOKUP($D211,_xlpm._platform_range,3,FALSE),"+"&amp;CHAR(34),"+"),CHAR(34),""),", "),
_xlpm._exists, SUMPRODUCT(--ISNUMBER(MATCH(_xlpm._platform_keywords,_xlpm._original_keywords,0)))&gt;0,
_xlfn.IFS(_xlpm._exists,1,NOT(_xlpm._exists),"")
)</f>
        <v/>
      </c>
      <c r="T211" s="33" t="str" cm="1">
        <f t="array" aca="1" ref="T211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($E211=CLASSIFICATION[[Keyword Aggr]:[Keyword Aggr]])*($D211=CLASSIFICATION[[Functional Scope Aggr]:[Functional Scope Aggr]])),
_xlpm._platform_keywords, _xlfn.TEXTSPLIT(SUBSTITUTE(SUBSTITUTE(VLOOKUP($D211,_xlpm._platform_range,3,FALSE),"+"&amp;CHAR(34),"+"),CHAR(34),""),", "),
_xlpm._exists, SUMPRODUCT(--ISNUMBER(MATCH(_xlpm._platform_keywords,_xlpm._original_keywords,0)))&gt;0,
_xlfn.IFS(_xlpm._exists,1,NOT(_xlpm._exists),"")
)</f>
        <v/>
      </c>
      <c r="U211" s="33" t="str" cm="1">
        <f t="array" aca="1" ref="U211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($E211=CLASSIFICATION[[Keyword Aggr]:[Keyword Aggr]])*($D211=CLASSIFICATION[[Functional Scope Aggr]:[Functional Scope Aggr]])),
_xlpm._platform_keywords, _xlfn.TEXTSPLIT(SUBSTITUTE(SUBSTITUTE(VLOOKUP($D211,_xlpm._platform_range,3,FALSE),"+"&amp;CHAR(34),"+"),CHAR(34),""),", "),
_xlpm._exists, SUMPRODUCT(--ISNUMBER(MATCH(_xlpm._platform_keywords,_xlpm._original_keywords,0)))&gt;0,
_xlfn.IFS(_xlpm._exists,1,NOT(_xlpm._exists),"")
)</f>
        <v/>
      </c>
      <c r="V211" s="33" t="str" cm="1">
        <f t="array" aca="1" ref="V211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($E211=CLASSIFICATION[[Keyword Aggr]:[Keyword Aggr]])*($D211=CLASSIFICATION[[Functional Scope Aggr]:[Functional Scope Aggr]])),
_xlpm._platform_keywords, _xlfn.TEXTSPLIT(SUBSTITUTE(SUBSTITUTE(VLOOKUP($D211,_xlpm._platform_range,3,FALSE),"+"&amp;CHAR(34),"+"),CHAR(34),""),", "),
_xlpm._exists, SUMPRODUCT(--ISNUMBER(MATCH(_xlpm._platform_keywords,_xlpm._original_keywords,0)))&gt;0,
_xlfn.IFS(_xlpm._exists,1,NOT(_xlpm._exists),"")
)</f>
        <v/>
      </c>
      <c r="X211" s="33">
        <f t="shared" ca="1" si="32"/>
        <v>0</v>
      </c>
      <c r="Y211" s="33">
        <f t="shared" ca="1" si="33"/>
        <v>0</v>
      </c>
      <c r="Z211" s="33">
        <f t="shared" ca="1" si="34"/>
        <v>0</v>
      </c>
      <c r="AA211" s="33">
        <f t="shared" ca="1" si="35"/>
        <v>0</v>
      </c>
      <c r="AB211" s="33">
        <f t="shared" ca="1" si="36"/>
        <v>0</v>
      </c>
      <c r="AC211" s="33">
        <f t="shared" ca="1" si="37"/>
        <v>0</v>
      </c>
    </row>
    <row r="212" spans="1:29" x14ac:dyDescent="0.25">
      <c r="A212" s="19"/>
      <c r="B212" t="s">
        <v>377</v>
      </c>
      <c r="C212" s="19" t="e" cm="1">
        <f t="array" ref="C212">_xlfn.TEXTSPLIT(A212,",")</f>
        <v>#VALUE!</v>
      </c>
      <c r="D212" s="19"/>
      <c r="E212" s="19"/>
      <c r="F212" s="36" t="e" cm="1" vm="1">
        <f t="array" ref="F212">_xlfn.TEXTJOIN(",",TRUE,_xlfn._xlws.FILTER(CLASSIFICATION[Keyword], ($E212=CLASSIFICATION[Keyword Aggr])*($D212=CLASSIFICATION[Functional Scope Aggr])))</f>
        <v>#VALUE!</v>
      </c>
      <c r="G212" s="32" t="e">
        <f t="shared" si="29"/>
        <v>#VALUE!</v>
      </c>
      <c r="H212" s="32" t="str">
        <f t="shared" si="30"/>
        <v/>
      </c>
      <c r="I212" s="32">
        <f t="shared" si="31"/>
        <v>0</v>
      </c>
      <c r="J212" s="33" t="str" cm="1">
        <f t="array" aca="1" ref="J212" ca="1">_xlfn.LET(
_xlpm._platform_range, INDIRECT("'Platform review'!$C"&amp;_xlfn.XMATCH(J$1,'Platform review'!$A$1:$A$127)&amp;":$E"&amp;_xlfn.XMATCH(J$1,'Platform review'!$A$1:$A$127)+19),
_xlpm._original_keywords, _xlfn._xlws.FILTER(CLASSIFICATION[[Keyword]:[Keyword]], ($E212=CLASSIFICATION[[Keyword Aggr]:[Keyword Aggr]])*($D212=CLASSIFICATION[[Functional Scope Aggr]:[Functional Scope Aggr]])),
_xlpm._platform_keywords, _xlfn.TEXTSPLIT(SUBSTITUTE(SUBSTITUTE(VLOOKUP($D212,_xlpm._platform_range,3,FALSE),"+"&amp;CHAR(34),"+"),CHAR(34),""),", "),
_xlpm._exists, SUMPRODUCT(--ISNUMBER(MATCH(_xlpm._platform_keywords,_xlpm._original_keywords,0)))&gt;0,
_xlfn.IFS(AND(_xlpm._exists,LEFT($E212,1)="+"),"+",_xlpm._exists,"*",NOT(_xlpm._exists),"")
)</f>
        <v/>
      </c>
      <c r="K212" s="33" t="str" cm="1">
        <f t="array" aca="1" ref="K212" ca="1">_xlfn.LET(
_xlpm._platform_range, INDIRECT("'Platform review'!$C"&amp;_xlfn.XMATCH(K$1,'Platform review'!$A$1:$A$127)&amp;":$E"&amp;_xlfn.XMATCH(K$1,'Platform review'!$A$1:$A$127)+19),
_xlpm._original_keywords, _xlfn._xlws.FILTER(CLASSIFICATION[[Keyword]:[Keyword]], ($E212=CLASSIFICATION[[Keyword Aggr]:[Keyword Aggr]])*($D212=CLASSIFICATION[[Functional Scope Aggr]:[Functional Scope Aggr]])),
_xlpm._platform_keywords, _xlfn.TEXTSPLIT(SUBSTITUTE(SUBSTITUTE(VLOOKUP($D212,_xlpm._platform_range,3,FALSE),"+"&amp;CHAR(34),"+"),CHAR(34),""),", "),
_xlpm._exists, SUMPRODUCT(--ISNUMBER(MATCH(_xlpm._platform_keywords,_xlpm._original_keywords,0)))&gt;0,
_xlfn.IFS(AND(_xlpm._exists,LEFT($E212,1)="+"),"+",_xlpm._exists,"*",NOT(_xlpm._exists),"")
)</f>
        <v/>
      </c>
      <c r="L212" s="33" t="str" cm="1">
        <f t="array" aca="1" ref="L212" ca="1">_xlfn.LET(
_xlpm._platform_range, INDIRECT("'Platform review'!$C"&amp;_xlfn.XMATCH(L$1,'Platform review'!$A$1:$A$127)&amp;":$E"&amp;_xlfn.XMATCH(L$1,'Platform review'!$A$1:$A$127)+19),
_xlpm._original_keywords, _xlfn._xlws.FILTER(CLASSIFICATION[[Keyword]:[Keyword]], ($E212=CLASSIFICATION[[Keyword Aggr]:[Keyword Aggr]])*($D212=CLASSIFICATION[[Functional Scope Aggr]:[Functional Scope Aggr]])),
_xlpm._platform_keywords, _xlfn.TEXTSPLIT(SUBSTITUTE(SUBSTITUTE(VLOOKUP($D212,_xlpm._platform_range,3,FALSE),"+"&amp;CHAR(34),"+"),CHAR(34),""),", "),
_xlpm._exists, SUMPRODUCT(--ISNUMBER(MATCH(_xlpm._platform_keywords,_xlpm._original_keywords,0)))&gt;0,
_xlfn.IFS(AND(_xlpm._exists,LEFT($E212,1)="+"),"+",_xlpm._exists,"*",NOT(_xlpm._exists),"")
)</f>
        <v/>
      </c>
      <c r="M212" s="33" t="str" cm="1">
        <f t="array" aca="1" ref="M212" ca="1">_xlfn.LET(
_xlpm._platform_range, INDIRECT("'Platform review'!$C"&amp;_xlfn.XMATCH(M$1,'Platform review'!$A$1:$A$127)&amp;":$E"&amp;_xlfn.XMATCH(M$1,'Platform review'!$A$1:$A$127)+19),
_xlpm._original_keywords, _xlfn._xlws.FILTER(CLASSIFICATION[[Keyword]:[Keyword]], ($E212=CLASSIFICATION[[Keyword Aggr]:[Keyword Aggr]])*($D212=CLASSIFICATION[[Functional Scope Aggr]:[Functional Scope Aggr]])),
_xlpm._platform_keywords, _xlfn.TEXTSPLIT(SUBSTITUTE(SUBSTITUTE(VLOOKUP($D212,_xlpm._platform_range,3,FALSE),"+"&amp;CHAR(34),"+"),CHAR(34),""),", "),
_xlpm._exists, SUMPRODUCT(--ISNUMBER(MATCH(_xlpm._platform_keywords,_xlpm._original_keywords,0)))&gt;0,
_xlfn.IFS(AND(_xlpm._exists,LEFT($E212,1)="+"),"+",_xlpm._exists,"*",NOT(_xlpm._exists),"")
)</f>
        <v/>
      </c>
      <c r="N212" s="33" t="str" cm="1">
        <f t="array" aca="1" ref="N212" ca="1">_xlfn.LET(
_xlpm._platform_range, INDIRECT("'Platform review'!$C"&amp;_xlfn.XMATCH(N$1,'Platform review'!$A$1:$A$127)&amp;":$E"&amp;_xlfn.XMATCH(N$1,'Platform review'!$A$1:$A$127)+19),
_xlpm._original_keywords, _xlfn._xlws.FILTER(CLASSIFICATION[[Keyword]:[Keyword]], ($E212=CLASSIFICATION[[Keyword Aggr]:[Keyword Aggr]])*($D212=CLASSIFICATION[[Functional Scope Aggr]:[Functional Scope Aggr]])),
_xlpm._platform_keywords, _xlfn.TEXTSPLIT(SUBSTITUTE(SUBSTITUTE(VLOOKUP($D212,_xlpm._platform_range,3,FALSE),"+"&amp;CHAR(34),"+"),CHAR(34),""),", "),
_xlpm._exists, SUMPRODUCT(--ISNUMBER(MATCH(_xlpm._platform_keywords,_xlpm._original_keywords,0)))&gt;0,
_xlfn.IFS(AND(_xlpm._exists,LEFT($E212,1)="+"),"+",_xlpm._exists,"*",NOT(_xlpm._exists),"")
)</f>
        <v/>
      </c>
      <c r="O212" s="33" t="str" cm="1">
        <f t="array" aca="1" ref="O212" ca="1">_xlfn.LET(
_xlpm._platform_range, INDIRECT("'Platform review'!$C"&amp;_xlfn.XMATCH(O$1,'Platform review'!$A$1:$A$127)&amp;":$E"&amp;_xlfn.XMATCH(O$1,'Platform review'!$A$1:$A$127)+19),
_xlpm._original_keywords, _xlfn._xlws.FILTER(CLASSIFICATION[[Keyword]:[Keyword]], ($E212=CLASSIFICATION[[Keyword Aggr]:[Keyword Aggr]])*($D212=CLASSIFICATION[[Functional Scope Aggr]:[Functional Scope Aggr]])),
_xlpm._platform_keywords, _xlfn.TEXTSPLIT(SUBSTITUTE(SUBSTITUTE(VLOOKUP($D212,_xlpm._platform_range,3,FALSE),"+"&amp;CHAR(34),"+"),CHAR(34),""),", "),
_xlpm._exists, SUMPRODUCT(--ISNUMBER(MATCH(_xlpm._platform_keywords,_xlpm._original_keywords,0)))&gt;0,
_xlfn.IFS(AND(_xlpm._exists,LEFT($E212,1)="+"),"+",_xlpm._exists,"*",NOT(_xlpm._exists),"")
)</f>
        <v/>
      </c>
    </row>
    <row r="213" spans="1:29" x14ac:dyDescent="0.25">
      <c r="Q213" s="33" t="str">
        <f t="shared" ref="Q213:S216" si="38">IF($H213&lt;&gt;"",COUNTIFS(J$3:J$500,"~*",$D$3:$D$500,$H213),"")</f>
        <v/>
      </c>
      <c r="R213" s="33" t="str">
        <f t="shared" si="38"/>
        <v/>
      </c>
      <c r="S213" s="33" t="str">
        <f t="shared" si="38"/>
        <v/>
      </c>
      <c r="T213" s="33" t="str">
        <f t="shared" ref="T213:V216" si="39">IF($H213&lt;&gt;"",COUNTIFS(M$3:M$500,"~*",$D$3:$D$500,$H213),"")</f>
        <v/>
      </c>
      <c r="U213" s="33" t="str">
        <f t="shared" si="39"/>
        <v/>
      </c>
      <c r="V213" s="33" t="str">
        <f t="shared" si="39"/>
        <v/>
      </c>
      <c r="X213" s="33" t="str">
        <f t="shared" ref="X213:X216" si="40">IF($H213&lt;&gt;"",COUNTIFS(Q$3:Q$500,"~*",$D$3:$D$500,$H213),"")</f>
        <v/>
      </c>
      <c r="Y213" s="33" t="str">
        <f t="shared" ref="Y213:Y216" si="41">IF($H213&lt;&gt;"",COUNTIFS(R$3:R$500,"~*",$D$3:$D$500,$H213),"")</f>
        <v/>
      </c>
      <c r="Z213" s="33" t="str">
        <f t="shared" ref="Z213:Z216" si="42">IF($H213&lt;&gt;"",COUNTIFS(S$3:S$500,"~*",$D$3:$D$500,$H213),"")</f>
        <v/>
      </c>
      <c r="AA213" s="33" t="str">
        <f t="shared" ref="AA213:AA216" si="43">IF($H213&lt;&gt;"",COUNTIFS(T$3:T$500,"~*",$D$3:$D$500,$H213),"")</f>
        <v/>
      </c>
      <c r="AB213" s="33" t="str">
        <f t="shared" ref="AB213:AB216" si="44">IF($H213&lt;&gt;"",COUNTIFS(U$3:U$500,"~*",$D$3:$D$500,$H213),"")</f>
        <v/>
      </c>
      <c r="AC213" s="33" t="str">
        <f t="shared" ref="AC213:AC216" si="45">IF($H213&lt;&gt;"",COUNTIFS(V$3:V$500,"~*",$D$3:$D$500,$H213),"")</f>
        <v/>
      </c>
    </row>
    <row r="214" spans="1:29" x14ac:dyDescent="0.25">
      <c r="Q214" s="33" t="str">
        <f t="shared" si="38"/>
        <v/>
      </c>
      <c r="R214" s="33" t="str">
        <f t="shared" si="38"/>
        <v/>
      </c>
      <c r="S214" s="33" t="str">
        <f t="shared" si="38"/>
        <v/>
      </c>
      <c r="T214" s="33" t="str">
        <f t="shared" si="39"/>
        <v/>
      </c>
      <c r="U214" s="33" t="str">
        <f t="shared" si="39"/>
        <v/>
      </c>
      <c r="V214" s="33" t="str">
        <f t="shared" si="39"/>
        <v/>
      </c>
      <c r="X214" s="33" t="str">
        <f t="shared" si="40"/>
        <v/>
      </c>
      <c r="Y214" s="33" t="str">
        <f t="shared" si="41"/>
        <v/>
      </c>
      <c r="Z214" s="33" t="str">
        <f t="shared" si="42"/>
        <v/>
      </c>
      <c r="AA214" s="33" t="str">
        <f t="shared" si="43"/>
        <v/>
      </c>
      <c r="AB214" s="33" t="str">
        <f t="shared" si="44"/>
        <v/>
      </c>
      <c r="AC214" s="33" t="str">
        <f t="shared" si="45"/>
        <v/>
      </c>
    </row>
    <row r="215" spans="1:29" x14ac:dyDescent="0.25">
      <c r="Q215" s="33" t="str">
        <f t="shared" si="38"/>
        <v/>
      </c>
      <c r="R215" s="33" t="str">
        <f t="shared" si="38"/>
        <v/>
      </c>
      <c r="S215" s="33" t="str">
        <f t="shared" si="38"/>
        <v/>
      </c>
      <c r="T215" s="33" t="str">
        <f t="shared" si="39"/>
        <v/>
      </c>
      <c r="U215" s="33" t="str">
        <f t="shared" si="39"/>
        <v/>
      </c>
      <c r="V215" s="33" t="str">
        <f t="shared" si="39"/>
        <v/>
      </c>
      <c r="X215" s="33" t="str">
        <f t="shared" si="40"/>
        <v/>
      </c>
      <c r="Y215" s="33" t="str">
        <f t="shared" si="41"/>
        <v/>
      </c>
      <c r="Z215" s="33" t="str">
        <f t="shared" si="42"/>
        <v/>
      </c>
      <c r="AA215" s="33" t="str">
        <f t="shared" si="43"/>
        <v/>
      </c>
      <c r="AB215" s="33" t="str">
        <f t="shared" si="44"/>
        <v/>
      </c>
      <c r="AC215" s="33" t="str">
        <f t="shared" si="45"/>
        <v/>
      </c>
    </row>
    <row r="216" spans="1:29" x14ac:dyDescent="0.25">
      <c r="Q216" s="33" t="str">
        <f t="shared" si="38"/>
        <v/>
      </c>
      <c r="R216" s="33" t="str">
        <f t="shared" si="38"/>
        <v/>
      </c>
      <c r="S216" s="33" t="str">
        <f t="shared" si="38"/>
        <v/>
      </c>
      <c r="T216" s="33" t="str">
        <f t="shared" si="39"/>
        <v/>
      </c>
      <c r="U216" s="33" t="str">
        <f t="shared" si="39"/>
        <v/>
      </c>
      <c r="V216" s="33" t="str">
        <f t="shared" si="39"/>
        <v/>
      </c>
      <c r="X216" s="33" t="str">
        <f t="shared" si="40"/>
        <v/>
      </c>
      <c r="Y216" s="33" t="str">
        <f t="shared" si="41"/>
        <v/>
      </c>
      <c r="Z216" s="33" t="str">
        <f t="shared" si="42"/>
        <v/>
      </c>
      <c r="AA216" s="33" t="str">
        <f t="shared" si="43"/>
        <v/>
      </c>
      <c r="AB216" s="33" t="str">
        <f t="shared" si="44"/>
        <v/>
      </c>
      <c r="AC216" s="33" t="str">
        <f t="shared" si="45"/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28E6-3436-43EE-B119-719ACDD356CC}">
  <dimension ref="A1:C215"/>
  <sheetViews>
    <sheetView workbookViewId="0">
      <selection activeCell="A91" sqref="A91"/>
    </sheetView>
  </sheetViews>
  <sheetFormatPr defaultColWidth="8.875" defaultRowHeight="15.75" x14ac:dyDescent="0.25"/>
  <cols>
    <col min="1" max="1" width="84" customWidth="1"/>
  </cols>
  <sheetData>
    <row r="1" spans="1:3" ht="31.5" customHeight="1" x14ac:dyDescent="0.25">
      <c r="A1" s="1" t="str">
        <f>'LaTeX TAB DEF'!B13</f>
        <v>\begin{adjustwidth}{-\extralength}{-2cm}
\begin{longtblr}[
	theme = shortcaption,
	caption = {IT skills (*) and non-IT skills (+) necessary to build applications in individual LCDP platforms, divided into Project stage and Functional scope},
	entry = {IT and non-IT skills in LCDPs},
	label = {tab:lcdp_skills},
	note{1} = {* Source: own elaboration.},
]</v>
      </c>
    </row>
    <row r="2" spans="1:3" ht="31.5" customHeight="1" x14ac:dyDescent="0.25">
      <c r="A2" s="1" t="str">
        <f>'LaTeX TAB DEF'!B14</f>
        <v>{
	hlines, %vlines,
	colspec = {p{3cm} &gt;{\raggedright}p{3cm} l *{6}{c}}
	,cell{  2}{1} = {r= 56,c=1}{l,h} % Requirements documentation
	,cell{ 58}{1} = {r=104,c=1}{l,h} % Design and Development
	,cell{162}{1} = {r= 53,c=1}{l,h} % Implementation
	,cell{  2}{2} = {r= 2}{l,h} % Workflow model
	,cell{  4}{2} = {r=17}{l,h} % Database model
	,cell{ 21}{2} = {r=12}{l,h} % UI model
	,cell{ 33}{2} = {r= 7}{l,h} % Validations
	,cell{ 40}{2} = {r=18}{l,h} % Application logic
	,cell{ 58}{2} = {r= 8}{l,h} % Workflow design and development
	,cell{ 66}{2} = {r=14}{l,h} % Database design
	,cell{ 80}{2} = {r=16}{l,h} % Fetching data
	,cell{ 96}{2} = {r=20}{l,h} % GUI design and development
	,cell{116}{2} = {r= 6}{l,h} % Data validation development
	,cell{122}{2} = {r=11}{l,h} % Actions design and development
	,cell{133}{2} = {r=29}{l,h} % Programming
	,cell{162}{2} = {r=24}{l,h} % Runtime server installation
	,cell{186}{2} = {r= 4}{l,h} % Database installation
	,cell{190}{2} = {r= 8}{l,h} % Client module installation
	,cell{198}{2} = {r=14}{l,h} % Deployment
	,cell{212}{2} = {r= 3}{l,h} % Version control
}</v>
      </c>
    </row>
    <row r="3" spans="1:3" x14ac:dyDescent="0.25">
      <c r="A3" t="s">
        <v>433</v>
      </c>
      <c r="C3" t="str" cm="1">
        <f t="array" aca="1" ref="C3" ca="1">_xlfn.TEXTJOIN(" &amp; ",FALSE,
IF(MID('LaTeX TAB DEF'!$B$11,COLUMN(TABELA_UNIQUE!$G1:$O1)-COLUMN(INDIRECT('LaTeX TAB DEF'!$B$2))+1,1)="V",
"\rotatebox[origin=c]{90}{"&amp;TABELA_UNIQUE!$G1:$O1&amp;"}",
TABELA_UNIQUE!$G1:$O1)
)&amp;" \\ \midrule"</f>
        <v>Project stage &amp; Project tasks &amp; \rotatebox[origin=c]{90}{Keywords} &amp; \rotatebox[origin=c]{90}{Mendix} &amp; \rotatebox[origin=c]{90}{Outsystems} &amp; \rotatebox[origin=c]{90}{Zoho Creator} &amp; \rotatebox[origin=c]{90}{MS Power App} &amp; \rotatebox[origin=c]{90}{Google AppSheet} &amp; Aurea \\ \midrule</v>
      </c>
    </row>
    <row r="4" spans="1:3" x14ac:dyDescent="0.25">
      <c r="A4" t="str">
        <f ca="1">_xlfn.TEXTJOIN(" &amp; ",FALSE,TABELA_UNIQUE!G2:O2)&amp;" \\"</f>
        <v>Design &amp; Workflow model &amp; +BPMN Process Model &amp; + &amp;  &amp;  &amp;  &amp;  &amp; + \\</v>
      </c>
      <c r="B4" t="str" cm="1">
        <f t="array" aca="1" ref="B4" ca="1">_xlfn.LET(_xlpm.columns_orientation, 'LaTeX TAB DEF'!$B$9,
           _xlpm.table_range_begin, 'LaTeX TAB DEF'!$B$2,
      _xlfn.TEXTJOIN(" &amp; ",FALSE,
            IF(MID(_xlpm.columns_orientation,COLUMN(TABELA_UNIQUE!$G2:$O2)-COLUMN(INDIRECT(_xlpm.table_range_begin))+1,1)="V",
            IF(TABELA_UNIQUE!$G2:$O2="","","\multirow[m]{9}{*}{\rotatebox[origin=c]{90}{"&amp;TABELA_UNIQUE!$G2:$O2&amp;"}}"),
            TABELA_UNIQUE!$G2:$O2),
      )&amp;" \\"
)</f>
        <v>Design &amp; Workflow model &amp; +BPMN Process Model &amp; + &amp;  &amp;  &amp;  &amp;  &amp; + &amp;  \\</v>
      </c>
    </row>
    <row r="5" spans="1:3" x14ac:dyDescent="0.25">
      <c r="A5" t="str">
        <f ca="1">_xlfn.TEXTJOIN(" &amp; ",FALSE,TABELA_UNIQUE!G3:O3)&amp;" \\"</f>
        <v xml:space="preserve"> &amp;  &amp; Custom Process Model &amp;  &amp; * &amp; * &amp; * &amp; * &amp;  \\</v>
      </c>
    </row>
    <row r="6" spans="1:3" x14ac:dyDescent="0.25">
      <c r="A6" t="str">
        <f ca="1">_xlfn.TEXTJOIN(" &amp; ",FALSE,TABELA_UNIQUE!G4:O4)&amp;" \\"</f>
        <v xml:space="preserve"> &amp; Database model &amp; +Business Data Types &amp;  &amp;  &amp; + &amp;  &amp;  &amp; + \\</v>
      </c>
    </row>
    <row r="7" spans="1:3" x14ac:dyDescent="0.25">
      <c r="A7" t="str">
        <f ca="1">_xlfn.TEXTJOIN(" &amp; ",FALSE,TABELA_UNIQUE!G5:O5)&amp;" \\"</f>
        <v xml:space="preserve"> &amp;  &amp; +Form-based Data &amp;  &amp;  &amp; + &amp;  &amp;  &amp; + \\</v>
      </c>
    </row>
    <row r="8" spans="1:3" x14ac:dyDescent="0.25">
      <c r="A8" t="str">
        <f ca="1">_xlfn.TEXTJOIN(" &amp; ",FALSE,TABELA_UNIQUE!G6:O6)&amp;" \\"</f>
        <v xml:space="preserve"> &amp;  &amp; +Item-Detail &amp;  &amp;  &amp;  &amp;  &amp; + &amp;  \\</v>
      </c>
    </row>
    <row r="9" spans="1:3" x14ac:dyDescent="0.25">
      <c r="A9" t="str">
        <f ca="1">_xlfn.TEXTJOIN(" &amp; ",FALSE,TABELA_UNIQUE!G7:O7)&amp;" \\"</f>
        <v xml:space="preserve"> &amp;  &amp; +Lookup/Drop-down &amp;  &amp;  &amp;  &amp;  &amp; + &amp;  \\</v>
      </c>
    </row>
    <row r="10" spans="1:3" x14ac:dyDescent="0.25">
      <c r="A10" t="str">
        <f ca="1">_xlfn.TEXTJOIN(" &amp; ",FALSE,TABELA_UNIQUE!G8:O8)&amp;" \\"</f>
        <v xml:space="preserve"> &amp;  &amp; +Predefined Entities &amp;  &amp;  &amp;  &amp; + &amp;  &amp;  \\</v>
      </c>
    </row>
    <row r="11" spans="1:3" x14ac:dyDescent="0.25">
      <c r="A11" t="str">
        <f ca="1">_xlfn.TEXTJOIN(" &amp; ",FALSE,TABELA_UNIQUE!G9:O9)&amp;" \\"</f>
        <v xml:space="preserve"> &amp;  &amp; Domain Model &amp; * &amp;  &amp;  &amp;  &amp;  &amp;  \\</v>
      </c>
    </row>
    <row r="12" spans="1:3" x14ac:dyDescent="0.25">
      <c r="A12" t="str">
        <f ca="1">_xlfn.TEXTJOIN(" &amp; ",FALSE,TABELA_UNIQUE!G10:O10)&amp;" \\"</f>
        <v xml:space="preserve"> &amp;  &amp; Conditional Expressions &amp;  &amp;  &amp;  &amp;  &amp; * &amp;  \\</v>
      </c>
    </row>
    <row r="13" spans="1:3" x14ac:dyDescent="0.25">
      <c r="A13" t="str">
        <f ca="1">_xlfn.TEXTJOIN(" &amp; ",FALSE,TABELA_UNIQUE!G11:O11)&amp;" \\"</f>
        <v xml:space="preserve"> &amp;  &amp; Constraints &amp;  &amp;  &amp;  &amp;  &amp; * &amp;  \\</v>
      </c>
    </row>
    <row r="14" spans="1:3" x14ac:dyDescent="0.25">
      <c r="A14" t="str">
        <f ca="1">_xlfn.TEXTJOIN(" &amp; ",FALSE,TABELA_UNIQUE!G12:O12)&amp;" \\"</f>
        <v xml:space="preserve"> &amp;  &amp; Data Structure &amp; * &amp;  &amp;  &amp;  &amp;  &amp;  \\</v>
      </c>
    </row>
    <row r="15" spans="1:3" x14ac:dyDescent="0.25">
      <c r="A15" t="str">
        <f ca="1">_xlfn.TEXTJOIN(" &amp; ",FALSE,TABELA_UNIQUE!G13:O13)&amp;" \\"</f>
        <v xml:space="preserve"> &amp;  &amp; IT Data Types &amp;  &amp; * &amp;  &amp;  &amp; * &amp;  \\</v>
      </c>
    </row>
    <row r="16" spans="1:3" x14ac:dyDescent="0.25">
      <c r="A16" t="str">
        <f ca="1">_xlfn.TEXTJOIN(" &amp; ",FALSE,TABELA_UNIQUE!G14:O14)&amp;" \\"</f>
        <v xml:space="preserve"> &amp;  &amp; Denormalization &amp; * &amp;  &amp;  &amp;  &amp;  &amp;  \\</v>
      </c>
    </row>
    <row r="17" spans="1:1" x14ac:dyDescent="0.25">
      <c r="A17" t="str">
        <f ca="1">_xlfn.TEXTJOIN(" &amp; ",FALSE,TABELA_UNIQUE!G15:O15)&amp;" \\"</f>
        <v xml:space="preserve"> &amp;  &amp; Entity Diagrams &amp; * &amp; * &amp; * &amp; * &amp; * &amp;  \\</v>
      </c>
    </row>
    <row r="18" spans="1:1" x14ac:dyDescent="0.25">
      <c r="A18" t="str">
        <f ca="1">_xlfn.TEXTJOIN(" &amp; ",FALSE,TABELA_UNIQUE!G16:O16)&amp;" \\"</f>
        <v xml:space="preserve"> &amp;  &amp; Enumeration &amp;  &amp;  &amp;  &amp;  &amp;  &amp;  \\</v>
      </c>
    </row>
    <row r="19" spans="1:1" x14ac:dyDescent="0.25">
      <c r="A19" t="str">
        <f ca="1">_xlfn.TEXTJOIN(" &amp; ",FALSE,TABELA_UNIQUE!G17:O17)&amp;" \\"</f>
        <v xml:space="preserve"> &amp;  &amp; Expressions &amp;  &amp;  &amp;  &amp;  &amp; * &amp;  \\</v>
      </c>
    </row>
    <row r="20" spans="1:1" x14ac:dyDescent="0.25">
      <c r="A20" t="str">
        <f ca="1">_xlfn.TEXTJOIN(" &amp; ",FALSE,TABELA_UNIQUE!G18:O18)&amp;" \\"</f>
        <v xml:space="preserve"> &amp;  &amp; Relational Database &amp; * &amp; * &amp; * &amp; * &amp;  &amp;  \\</v>
      </c>
    </row>
    <row r="21" spans="1:1" x14ac:dyDescent="0.25">
      <c r="A21" t="str">
        <f ca="1">_xlfn.TEXTJOIN(" &amp; ",FALSE,TABELA_UNIQUE!G19:O19)&amp;" \\"</f>
        <v xml:space="preserve"> &amp;  &amp; XML/XPath &amp; * &amp;  &amp;  &amp;  &amp;  &amp; * \\</v>
      </c>
    </row>
    <row r="22" spans="1:1" x14ac:dyDescent="0.25">
      <c r="A22" t="str">
        <f ca="1">_xlfn.TEXTJOIN(" &amp; ",FALSE,TABELA_UNIQUE!G20:O20)&amp;" \\"</f>
        <v xml:space="preserve"> &amp; UI model &amp; +App templates &amp;  &amp;  &amp;  &amp;  &amp; + &amp; + \\</v>
      </c>
    </row>
    <row r="23" spans="1:1" x14ac:dyDescent="0.25">
      <c r="A23" t="str">
        <f ca="1">_xlfn.TEXTJOIN(" &amp; ",FALSE,TABELA_UNIQUE!G21:O21)&amp;" \\"</f>
        <v xml:space="preserve"> &amp;  &amp; +Business Data Types &amp;  &amp; + &amp; + &amp;  &amp;  &amp; + \\</v>
      </c>
    </row>
    <row r="24" spans="1:1" x14ac:dyDescent="0.25">
      <c r="A24" t="str">
        <f ca="1">_xlfn.TEXTJOIN(" &amp; ",FALSE,TABELA_UNIQUE!G22:O22)&amp;" \\"</f>
        <v xml:space="preserve"> &amp;  &amp; +Screen Templates &amp;  &amp; + &amp; + &amp; + &amp;  &amp;  \\</v>
      </c>
    </row>
    <row r="25" spans="1:1" x14ac:dyDescent="0.25">
      <c r="A25" t="str">
        <f ca="1">_xlfn.TEXTJOIN(" &amp; ",FALSE,TABELA_UNIQUE!G23:O23)&amp;" \\"</f>
        <v xml:space="preserve"> &amp;  &amp; +UI Branding &amp;  &amp;  &amp;  &amp;  &amp; + &amp;  \\</v>
      </c>
    </row>
    <row r="26" spans="1:1" x14ac:dyDescent="0.25">
      <c r="A26" t="str">
        <f ca="1">_xlfn.TEXTJOIN(" &amp; ",FALSE,TABELA_UNIQUE!G24:O24)&amp;" \\"</f>
        <v xml:space="preserve"> &amp;  &amp; +View Types &amp;  &amp;  &amp;  &amp;  &amp; + &amp; + \\</v>
      </c>
    </row>
    <row r="27" spans="1:1" x14ac:dyDescent="0.25">
      <c r="A27" t="str">
        <f ca="1">_xlfn.TEXTJOIN(" &amp; ",FALSE,TABELA_UNIQUE!G25:O25)&amp;" \\"</f>
        <v xml:space="preserve"> &amp;  &amp; Expressions &amp; * &amp; * &amp; * &amp;  &amp; * &amp; * \\</v>
      </c>
    </row>
    <row r="28" spans="1:1" x14ac:dyDescent="0.25">
      <c r="A28" t="str">
        <f ca="1">_xlfn.TEXTJOIN(" &amp; ",FALSE,TABELA_UNIQUE!G26:O26)&amp;" \\"</f>
        <v xml:space="preserve"> &amp;  &amp; IT Data Types &amp; * &amp;  &amp;  &amp;  &amp;  &amp;  \\</v>
      </c>
    </row>
    <row r="29" spans="1:1" x14ac:dyDescent="0.25">
      <c r="A29" t="str">
        <f ca="1">_xlfn.TEXTJOIN(" &amp; ",FALSE,TABELA_UNIQUE!G27:O27)&amp;" \\"</f>
        <v xml:space="preserve"> &amp;  &amp; Functions &amp;  &amp;  &amp;  &amp;  &amp; * &amp;  \\</v>
      </c>
    </row>
    <row r="30" spans="1:1" x14ac:dyDescent="0.25">
      <c r="A30" t="str">
        <f ca="1">_xlfn.TEXTJOIN(" &amp; ",FALSE,TABELA_UNIQUE!G28:O28)&amp;" \\"</f>
        <v xml:space="preserve"> &amp;  &amp; Model-driven Apps &amp;  &amp;  &amp;  &amp; * &amp;  &amp;  \\</v>
      </c>
    </row>
    <row r="31" spans="1:1" x14ac:dyDescent="0.25">
      <c r="A31" t="str">
        <f ca="1">_xlfn.TEXTJOIN(" &amp; ",FALSE,TABELA_UNIQUE!G29:O29)&amp;" \\"</f>
        <v xml:space="preserve"> &amp;  &amp; Reactive Web App &amp;  &amp; * &amp;  &amp;  &amp;  &amp;  \\</v>
      </c>
    </row>
    <row r="32" spans="1:1" x14ac:dyDescent="0.25">
      <c r="A32" t="str">
        <f ca="1">_xlfn.TEXTJOIN(" &amp; ",FALSE,TABELA_UNIQUE!G30:O30)&amp;" \\"</f>
        <v xml:space="preserve"> &amp;  &amp; Responsive Web Design &amp; * &amp;  &amp;  &amp; * &amp;  &amp;  \\</v>
      </c>
    </row>
    <row r="33" spans="1:1" x14ac:dyDescent="0.25">
      <c r="A33" t="str">
        <f ca="1">_xlfn.TEXTJOIN(" &amp; ",FALSE,TABELA_UNIQUE!G31:O31)&amp;" \\"</f>
        <v xml:space="preserve"> &amp;  &amp; Variables &amp;  &amp; * &amp; * &amp;  &amp;  &amp; * \\</v>
      </c>
    </row>
    <row r="34" spans="1:1" x14ac:dyDescent="0.25">
      <c r="A34" t="str">
        <f ca="1">_xlfn.TEXTJOIN(" &amp; ",FALSE,TABELA_UNIQUE!G32:O32)&amp;" \\"</f>
        <v xml:space="preserve"> &amp; Validations &amp; +Business Rules &amp;  &amp;  &amp;  &amp; + &amp;  &amp; + \\</v>
      </c>
    </row>
    <row r="35" spans="1:1" x14ac:dyDescent="0.25">
      <c r="A35" t="str">
        <f ca="1">_xlfn.TEXTJOIN(" &amp; ",FALSE,TABELA_UNIQUE!G33:O33)&amp;" \\"</f>
        <v xml:space="preserve"> &amp;  &amp; +Lookup/Drop-down &amp;  &amp;  &amp;  &amp;  &amp; + &amp; + \\</v>
      </c>
    </row>
    <row r="36" spans="1:1" x14ac:dyDescent="0.25">
      <c r="A36" t="str">
        <f ca="1">_xlfn.TEXTJOIN(" &amp; ",FALSE,TABELA_UNIQUE!G34:O34)&amp;" \\"</f>
        <v xml:space="preserve"> &amp;  &amp; Expressions &amp; * &amp; * &amp; * &amp; * &amp; * &amp; * \\</v>
      </c>
    </row>
    <row r="37" spans="1:1" x14ac:dyDescent="0.25">
      <c r="A37" t="str">
        <f ca="1">_xlfn.TEXTJOIN(" &amp; ",FALSE,TABELA_UNIQUE!G35:O35)&amp;" \\"</f>
        <v xml:space="preserve"> &amp;  &amp; Enumerations &amp; * &amp;  &amp;  &amp;  &amp;  &amp;  \\</v>
      </c>
    </row>
    <row r="38" spans="1:1" x14ac:dyDescent="0.25">
      <c r="A38" t="str">
        <f ca="1">_xlfn.TEXTJOIN(" &amp; ",FALSE,TABELA_UNIQUE!G36:O36)&amp;" \\"</f>
        <v xml:space="preserve"> &amp;  &amp; JavaScript &amp; * &amp;  &amp;  &amp;  &amp;  &amp;  \\</v>
      </c>
    </row>
    <row r="39" spans="1:1" x14ac:dyDescent="0.25">
      <c r="A39" t="str">
        <f ca="1">_xlfn.TEXTJOIN(" &amp; ",FALSE,TABELA_UNIQUE!G37:O37)&amp;" \\"</f>
        <v xml:space="preserve"> &amp;  &amp; Scripts &amp;  &amp;  &amp; * &amp;  &amp;  &amp; * \\</v>
      </c>
    </row>
    <row r="40" spans="1:1" x14ac:dyDescent="0.25">
      <c r="A40" t="str">
        <f ca="1">_xlfn.TEXTJOIN(" &amp; ",FALSE,TABELA_UNIQUE!G38:O38)&amp;" \\"</f>
        <v xml:space="preserve"> &amp;  &amp; Transactions &amp; * &amp;  &amp;  &amp;  &amp;  &amp;  \\</v>
      </c>
    </row>
    <row r="41" spans="1:1" x14ac:dyDescent="0.25">
      <c r="A41" t="str">
        <f ca="1">_xlfn.TEXTJOIN(" &amp; ",FALSE,TABELA_UNIQUE!G39:O39)&amp;" \\"</f>
        <v xml:space="preserve"> &amp; Application logic &amp; +Actions &amp;  &amp;  &amp;  &amp;  &amp; + &amp; + \\</v>
      </c>
    </row>
    <row r="42" spans="1:1" x14ac:dyDescent="0.25">
      <c r="A42" t="str">
        <f ca="1">_xlfn.TEXTJOIN(" &amp; ",FALSE,TABELA_UNIQUE!G40:O40)&amp;" \\"</f>
        <v xml:space="preserve"> &amp;  &amp; +Graphical actions &amp;  &amp; + &amp;  &amp;  &amp;  &amp;  \\</v>
      </c>
    </row>
    <row r="43" spans="1:1" x14ac:dyDescent="0.25">
      <c r="A43" t="str">
        <f ca="1">_xlfn.TEXTJOIN(" &amp; ",FALSE,TABELA_UNIQUE!G41:O41)&amp;" \\"</f>
        <v xml:space="preserve"> &amp;  &amp; +NLP &amp;  &amp;  &amp;  &amp; + &amp;  &amp;  \\</v>
      </c>
    </row>
    <row r="44" spans="1:1" x14ac:dyDescent="0.25">
      <c r="A44" t="str">
        <f ca="1">_xlfn.TEXTJOIN(" &amp; ",FALSE,TABELA_UNIQUE!G42:O42)&amp;" \\"</f>
        <v xml:space="preserve"> &amp;  &amp; +Custom Language &amp;  &amp;  &amp;  &amp; + &amp;  &amp;  \\</v>
      </c>
    </row>
    <row r="45" spans="1:1" x14ac:dyDescent="0.25">
      <c r="A45" t="str">
        <f ca="1">_xlfn.TEXTJOIN(" &amp; ",FALSE,TABELA_UNIQUE!G43:O43)&amp;" \\"</f>
        <v xml:space="preserve"> &amp;  &amp; +Predefined Tasks &amp;  &amp;  &amp;  &amp;  &amp; + &amp;  \\</v>
      </c>
    </row>
    <row r="46" spans="1:1" x14ac:dyDescent="0.25">
      <c r="A46" t="str">
        <f ca="1">_xlfn.TEXTJOIN(" &amp; ",FALSE,TABELA_UNIQUE!G44:O44)&amp;" \\"</f>
        <v xml:space="preserve"> &amp;  &amp; UML &amp; * &amp;  &amp;  &amp;  &amp;  &amp;  \\</v>
      </c>
    </row>
    <row r="47" spans="1:1" x14ac:dyDescent="0.25">
      <c r="A47" t="str">
        <f ca="1">_xlfn.TEXTJOIN(" &amp; ",FALSE,TABELA_UNIQUE!G45:O45)&amp;" \\"</f>
        <v xml:space="preserve"> &amp;  &amp; Algorithms &amp; * &amp;  &amp;  &amp;  &amp;  &amp;  \\</v>
      </c>
    </row>
    <row r="48" spans="1:1" x14ac:dyDescent="0.25">
      <c r="A48" t="str">
        <f ca="1">_xlfn.TEXTJOIN(" &amp; ",FALSE,TABELA_UNIQUE!G46:O46)&amp;" \\"</f>
        <v xml:space="preserve"> &amp;  &amp; Expressions &amp; * &amp;  &amp;  &amp; * &amp; * &amp; * \\</v>
      </c>
    </row>
    <row r="49" spans="1:1" x14ac:dyDescent="0.25">
      <c r="A49" t="str">
        <f ca="1">_xlfn.TEXTJOIN(" &amp; ",FALSE,TABELA_UNIQUE!G47:O47)&amp;" \\"</f>
        <v xml:space="preserve"> &amp;  &amp; Control Structures &amp; * &amp;  &amp;  &amp;  &amp;  &amp;  \\</v>
      </c>
    </row>
    <row r="50" spans="1:1" x14ac:dyDescent="0.25">
      <c r="A50" t="str">
        <f ca="1">_xlfn.TEXTJOIN(" &amp; ",FALSE,TABELA_UNIQUE!G48:O48)&amp;" \\"</f>
        <v xml:space="preserve"> &amp;  &amp; IT Data Types &amp; * &amp;  &amp;  &amp;  &amp;  &amp;  \\</v>
      </c>
    </row>
    <row r="51" spans="1:1" x14ac:dyDescent="0.25">
      <c r="A51" t="str">
        <f ca="1">_xlfn.TEXTJOIN(" &amp; ",FALSE,TABELA_UNIQUE!G49:O49)&amp;" \\"</f>
        <v xml:space="preserve"> &amp;  &amp; Events &amp;  &amp;  &amp;  &amp;  &amp; * &amp; * \\</v>
      </c>
    </row>
    <row r="52" spans="1:1" x14ac:dyDescent="0.25">
      <c r="A52" t="str">
        <f ca="1">_xlfn.TEXTJOIN(" &amp; ",FALSE,TABELA_UNIQUE!G50:O50)&amp;" \\"</f>
        <v xml:space="preserve"> &amp;  &amp; Formulas &amp;  &amp;  &amp;  &amp; * &amp; * &amp;  \\</v>
      </c>
    </row>
    <row r="53" spans="1:1" x14ac:dyDescent="0.25">
      <c r="A53" t="str">
        <f ca="1">_xlfn.TEXTJOIN(" &amp; ",FALSE,TABELA_UNIQUE!G51:O51)&amp;" \\"</f>
        <v xml:space="preserve"> &amp;  &amp; Functions &amp;  &amp;  &amp;  &amp;  &amp; * &amp;  \\</v>
      </c>
    </row>
    <row r="54" spans="1:1" x14ac:dyDescent="0.25">
      <c r="A54" t="str">
        <f ca="1">_xlfn.TEXTJOIN(" &amp; ",FALSE,TABELA_UNIQUE!G52:O52)&amp;" \\"</f>
        <v xml:space="preserve"> &amp;  &amp; Java &amp; * &amp;  &amp;  &amp;  &amp;  &amp;  \\</v>
      </c>
    </row>
    <row r="55" spans="1:1" x14ac:dyDescent="0.25">
      <c r="A55" t="str">
        <f ca="1">_xlfn.TEXTJOIN(" &amp; ",FALSE,TABELA_UNIQUE!G53:O53)&amp;" \\"</f>
        <v xml:space="preserve"> &amp;  &amp; JavaScript &amp; * &amp;  &amp;  &amp;  &amp;  &amp;  \\</v>
      </c>
    </row>
    <row r="56" spans="1:1" x14ac:dyDescent="0.25">
      <c r="A56" t="str">
        <f ca="1">_xlfn.TEXTJOIN(" &amp; ",FALSE,TABELA_UNIQUE!G54:O54)&amp;" \\"</f>
        <v xml:space="preserve"> &amp;  &amp; Microservices &amp;  &amp;  &amp; * &amp;  &amp;  &amp;  \\</v>
      </c>
    </row>
    <row r="57" spans="1:1" x14ac:dyDescent="0.25">
      <c r="A57" t="str">
        <f ca="1">_xlfn.TEXTJOIN(" &amp; ",FALSE,TABELA_UNIQUE!G55:O55)&amp;" \\"</f>
        <v xml:space="preserve"> &amp;  &amp; SQL &amp; * &amp;  &amp;  &amp;  &amp;  &amp; * \\</v>
      </c>
    </row>
    <row r="58" spans="1:1" x14ac:dyDescent="0.25">
      <c r="A58" t="str">
        <f ca="1">_xlfn.TEXTJOIN(" &amp; ",FALSE,TABELA_UNIQUE!G56:O56)&amp;" \\"</f>
        <v xml:space="preserve"> &amp;  &amp; Variables &amp; * &amp; * &amp; * &amp; * &amp; * &amp; * \\</v>
      </c>
    </row>
    <row r="59" spans="1:1" x14ac:dyDescent="0.25">
      <c r="A59" t="str">
        <f ca="1">_xlfn.TEXTJOIN(" &amp; ",FALSE,TABELA_UNIQUE!G57:O57)&amp;" \\"</f>
        <v>Development &amp; Workflow design and development &amp; +BPMN Process Model &amp; + &amp;  &amp;  &amp;  &amp;  &amp; + \\</v>
      </c>
    </row>
    <row r="60" spans="1:1" x14ac:dyDescent="0.25">
      <c r="A60" t="str">
        <f ca="1">_xlfn.TEXTJOIN(" &amp; ",FALSE,TABELA_UNIQUE!G58:O58)&amp;" \\"</f>
        <v xml:space="preserve"> &amp;  &amp; Expressions &amp;  &amp;  &amp;  &amp;  &amp; * &amp;  \\</v>
      </c>
    </row>
    <row r="61" spans="1:1" x14ac:dyDescent="0.25">
      <c r="A61" t="str">
        <f ca="1">_xlfn.TEXTJOIN(" &amp; ",FALSE,TABELA_UNIQUE!G59:O59)&amp;" \\"</f>
        <v xml:space="preserve"> &amp;  &amp; Custom Process Model &amp;  &amp; * &amp; * &amp; * &amp; * &amp;  \\</v>
      </c>
    </row>
    <row r="62" spans="1:1" x14ac:dyDescent="0.25">
      <c r="A62" t="str">
        <f ca="1">_xlfn.TEXTJOIN(" &amp; ",FALSE,TABELA_UNIQUE!G60:O60)&amp;" \\"</f>
        <v xml:space="preserve"> &amp;  &amp; Events &amp; * &amp;  &amp;  &amp;  &amp;  &amp;  \\</v>
      </c>
    </row>
    <row r="63" spans="1:1" x14ac:dyDescent="0.25">
      <c r="A63" t="str">
        <f ca="1">_xlfn.TEXTJOIN(" &amp; ",FALSE,TABELA_UNIQUE!G61:O61)&amp;" \\"</f>
        <v xml:space="preserve"> &amp;  &amp; Java API &amp; * &amp;  &amp;  &amp;  &amp;  &amp;  \\</v>
      </c>
    </row>
    <row r="64" spans="1:1" x14ac:dyDescent="0.25">
      <c r="A64" t="str">
        <f ca="1">_xlfn.TEXTJOIN(" &amp; ",FALSE,TABELA_UNIQUE!G62:O62)&amp;" \\"</f>
        <v xml:space="preserve"> &amp;  &amp; JavaScript &amp;  &amp;  &amp;  &amp;  &amp; * &amp;  \\</v>
      </c>
    </row>
    <row r="65" spans="1:1" x14ac:dyDescent="0.25">
      <c r="A65" t="str">
        <f ca="1">_xlfn.TEXTJOIN(" &amp; ",FALSE,TABELA_UNIQUE!G63:O63)&amp;" \\"</f>
        <v xml:space="preserve"> &amp;  &amp; REST API &amp;  &amp;  &amp;  &amp;  &amp; * &amp;  \\</v>
      </c>
    </row>
    <row r="66" spans="1:1" x14ac:dyDescent="0.25">
      <c r="A66" t="str">
        <f ca="1">_xlfn.TEXTJOIN(" &amp; ",FALSE,TABELA_UNIQUE!G64:O64)&amp;" \\"</f>
        <v xml:space="preserve"> &amp;  &amp; Triggers &amp; * &amp;  &amp;  &amp;  &amp;  &amp;  \\</v>
      </c>
    </row>
    <row r="67" spans="1:1" x14ac:dyDescent="0.25">
      <c r="A67" t="str">
        <f ca="1">_xlfn.TEXTJOIN(" &amp; ",FALSE,TABELA_UNIQUE!G65:O65)&amp;" \\"</f>
        <v xml:space="preserve"> &amp; Database design &amp; +Business Data Types &amp;  &amp;  &amp; + &amp; + &amp; + &amp; + \\</v>
      </c>
    </row>
    <row r="68" spans="1:1" x14ac:dyDescent="0.25">
      <c r="A68" t="str">
        <f ca="1">_xlfn.TEXTJOIN(" &amp; ",FALSE,TABELA_UNIQUE!G66:O66)&amp;" \\"</f>
        <v xml:space="preserve"> &amp;  &amp; +Custom Database Model &amp;  &amp;  &amp; + &amp;  &amp;  &amp;  \\</v>
      </c>
    </row>
    <row r="69" spans="1:1" x14ac:dyDescent="0.25">
      <c r="A69" t="str">
        <f ca="1">_xlfn.TEXTJOIN(" &amp; ",FALSE,TABELA_UNIQUE!G67:O67)&amp;" \\"</f>
        <v xml:space="preserve"> &amp;  &amp; +References &amp;  &amp;  &amp;  &amp;  &amp; + &amp; + \\</v>
      </c>
    </row>
    <row r="70" spans="1:1" x14ac:dyDescent="0.25">
      <c r="A70" t="str">
        <f ca="1">_xlfn.TEXTJOIN(" &amp; ",FALSE,TABELA_UNIQUE!G68:O68)&amp;" \\"</f>
        <v xml:space="preserve"> &amp;  &amp; +Slices &amp;  &amp;  &amp;  &amp;  &amp; + &amp;  \\</v>
      </c>
    </row>
    <row r="71" spans="1:1" x14ac:dyDescent="0.25">
      <c r="A71" t="str">
        <f ca="1">_xlfn.TEXTJOIN(" &amp; ",FALSE,TABELA_UNIQUE!G69:O69)&amp;" \\"</f>
        <v xml:space="preserve"> &amp;  &amp; Actions &amp;  &amp;  &amp;  &amp; * &amp;  &amp;  \\</v>
      </c>
    </row>
    <row r="72" spans="1:1" x14ac:dyDescent="0.25">
      <c r="A72" t="str">
        <f ca="1">_xlfn.TEXTJOIN(" &amp; ",FALSE,TABELA_UNIQUE!G70:O70)&amp;" \\"</f>
        <v xml:space="preserve"> &amp;  &amp; Expressions &amp;  &amp;  &amp;  &amp;  &amp; * &amp;  \\</v>
      </c>
    </row>
    <row r="73" spans="1:1" x14ac:dyDescent="0.25">
      <c r="A73" t="str">
        <f ca="1">_xlfn.TEXTJOIN(" &amp; ",FALSE,TABELA_UNIQUE!G71:O71)&amp;" \\"</f>
        <v xml:space="preserve"> &amp;  &amp; Relational Database &amp; * &amp; * &amp; * &amp; * &amp; * &amp;  \\</v>
      </c>
    </row>
    <row r="74" spans="1:1" x14ac:dyDescent="0.25">
      <c r="A74" t="str">
        <f ca="1">_xlfn.TEXTJOIN(" &amp; ",FALSE,TABELA_UNIQUE!G72:O72)&amp;" \\"</f>
        <v xml:space="preserve"> &amp;  &amp; Entity Diagrams &amp;  &amp;  &amp; * &amp;  &amp;  &amp;  \\</v>
      </c>
    </row>
    <row r="75" spans="1:1" x14ac:dyDescent="0.25">
      <c r="A75" t="str">
        <f ca="1">_xlfn.TEXTJOIN(" &amp; ",FALSE,TABELA_UNIQUE!G73:O73)&amp;" \\"</f>
        <v xml:space="preserve"> &amp;  &amp; Functions &amp;  &amp;  &amp;  &amp; * &amp; * &amp;  \\</v>
      </c>
    </row>
    <row r="76" spans="1:1" x14ac:dyDescent="0.25">
      <c r="A76" t="str">
        <f ca="1">_xlfn.TEXTJOIN(" &amp; ",FALSE,TABELA_UNIQUE!G74:O74)&amp;" \\"</f>
        <v xml:space="preserve"> &amp;  &amp; SQL &amp; * &amp; * &amp;  &amp;  &amp;  &amp;  \\</v>
      </c>
    </row>
    <row r="77" spans="1:1" x14ac:dyDescent="0.25">
      <c r="A77" t="str">
        <f ca="1">_xlfn.TEXTJOIN(" &amp; ",FALSE,TABELA_UNIQUE!G75:O75)&amp;" \\"</f>
        <v xml:space="preserve"> &amp;  &amp; IT Data Types &amp;  &amp;  &amp;  &amp; * &amp; * &amp; * \\</v>
      </c>
    </row>
    <row r="78" spans="1:1" x14ac:dyDescent="0.25">
      <c r="A78" t="str">
        <f ca="1">_xlfn.TEXTJOIN(" &amp; ",FALSE,TABELA_UNIQUE!G76:O76)&amp;" \\"</f>
        <v xml:space="preserve"> &amp;  &amp; Web API &amp;  &amp;  &amp;  &amp; * &amp;  &amp;  \\</v>
      </c>
    </row>
    <row r="79" spans="1:1" x14ac:dyDescent="0.25">
      <c r="A79" t="str">
        <f ca="1">_xlfn.TEXTJOIN(" &amp; ",FALSE,TABELA_UNIQUE!G77:O77)&amp;" \\"</f>
        <v xml:space="preserve"> &amp; Fetching data &amp; .NET &amp;  &amp;  &amp;  &amp; * &amp;  &amp;  \\</v>
      </c>
    </row>
    <row r="80" spans="1:1" x14ac:dyDescent="0.25">
      <c r="A80" t="str">
        <f ca="1">_xlfn.TEXTJOIN(" &amp; ",FALSE,TABELA_UNIQUE!G78:O78)&amp;" \\"</f>
        <v xml:space="preserve"> &amp;  &amp; +Cloud-based Spreadsheets &amp;  &amp;  &amp;  &amp;  &amp; + &amp;  \\</v>
      </c>
    </row>
    <row r="81" spans="1:1" x14ac:dyDescent="0.25">
      <c r="A81" t="str">
        <f ca="1">_xlfn.TEXTJOIN(" &amp; ",FALSE,TABELA_UNIQUE!G79:O79)&amp;" \\"</f>
        <v xml:space="preserve"> &amp;  &amp; +GUI Queries &amp;  &amp; + &amp;  &amp;  &amp;  &amp;  \\</v>
      </c>
    </row>
    <row r="82" spans="1:1" x14ac:dyDescent="0.25">
      <c r="A82" t="str">
        <f ca="1">_xlfn.TEXTJOIN(" &amp; ",FALSE,TABELA_UNIQUE!G80:O80)&amp;" \\"</f>
        <v xml:space="preserve"> &amp;  &amp; +Human Language &amp;  &amp; + &amp;  &amp;  &amp;  &amp;  \\</v>
      </c>
    </row>
    <row r="83" spans="1:1" x14ac:dyDescent="0.25">
      <c r="A83" t="str">
        <f ca="1">_xlfn.TEXTJOIN(" &amp; ",FALSE,TABELA_UNIQUE!G81:O81)&amp;" \\"</f>
        <v xml:space="preserve"> &amp;  &amp; +Integrated Data Sources &amp;  &amp;  &amp; + &amp;  &amp;  &amp;  \\</v>
      </c>
    </row>
    <row r="84" spans="1:1" x14ac:dyDescent="0.25">
      <c r="A84" t="str">
        <f ca="1">_xlfn.TEXTJOIN(" &amp; ",FALSE,TABELA_UNIQUE!G82:O82)&amp;" \\"</f>
        <v xml:space="preserve"> &amp;  &amp; Cloud Services &amp;  &amp;  &amp; * &amp;  &amp;  &amp;  \\</v>
      </c>
    </row>
    <row r="85" spans="1:1" x14ac:dyDescent="0.25">
      <c r="A85" t="str">
        <f ca="1">_xlfn.TEXTJOIN(" &amp; ",FALSE,TABELA_UNIQUE!G83:O83)&amp;" \\"</f>
        <v xml:space="preserve"> &amp;  &amp; Custom Query Language &amp;  &amp;  &amp;  &amp; * &amp;  &amp;  \\</v>
      </c>
    </row>
    <row r="86" spans="1:1" x14ac:dyDescent="0.25">
      <c r="A86" t="str">
        <f ca="1">_xlfn.TEXTJOIN(" &amp; ",FALSE,TABELA_UNIQUE!G84:O84)&amp;" \\"</f>
        <v xml:space="preserve"> &amp;  &amp; Data Source Integration &amp;  &amp;  &amp;  &amp;  &amp; * &amp; * \\</v>
      </c>
    </row>
    <row r="87" spans="1:1" x14ac:dyDescent="0.25">
      <c r="A87" t="str">
        <f ca="1">_xlfn.TEXTJOIN(" &amp; ",FALSE,TABELA_UNIQUE!G85:O85)&amp;" \\"</f>
        <v xml:space="preserve"> &amp;  &amp; Formulas &amp;  &amp;  &amp;  &amp; * &amp;  &amp; * \\</v>
      </c>
    </row>
    <row r="88" spans="1:1" x14ac:dyDescent="0.25">
      <c r="A88" t="str">
        <f ca="1">_xlfn.TEXTJOIN(" &amp; ",FALSE,TABELA_UNIQUE!G86:O86)&amp;" \\"</f>
        <v xml:space="preserve"> &amp;  &amp; Local Storage &amp;  &amp;  &amp; * &amp;  &amp;  &amp;  \\</v>
      </c>
    </row>
    <row r="89" spans="1:1" x14ac:dyDescent="0.25">
      <c r="A89" t="str">
        <f ca="1">_xlfn.TEXTJOIN(" &amp; ",FALSE,TABELA_UNIQUE!G87:O87)&amp;" \\"</f>
        <v xml:space="preserve"> &amp;  &amp; OAuth &amp;  &amp;  &amp; * &amp;  &amp;  &amp;  \\</v>
      </c>
    </row>
    <row r="90" spans="1:1" x14ac:dyDescent="0.25">
      <c r="A90" t="str">
        <f ca="1">_xlfn.TEXTJOIN(" &amp; ",FALSE,TABELA_UNIQUE!G88:O88)&amp;" \\"</f>
        <v xml:space="preserve"> &amp;  &amp; REST API &amp;  &amp;  &amp; * &amp;  &amp;  &amp;  \\</v>
      </c>
    </row>
    <row r="91" spans="1:1" x14ac:dyDescent="0.25">
      <c r="A91" t="str">
        <f ca="1">_xlfn.TEXTJOIN(" &amp; ",FALSE,TABELA_UNIQUE!G89:O89)&amp;" \\"</f>
        <v xml:space="preserve"> &amp;  &amp; SDK &amp;  &amp;  &amp;  &amp; * &amp;  &amp;  \\</v>
      </c>
    </row>
    <row r="92" spans="1:1" x14ac:dyDescent="0.25">
      <c r="A92" t="str">
        <f ca="1">_xlfn.TEXTJOIN(" &amp; ",FALSE,TABELA_UNIQUE!G90:O90)&amp;" \\"</f>
        <v xml:space="preserve"> &amp;  &amp; SQL &amp;  &amp; * &amp;  &amp; * &amp; * &amp;  \\</v>
      </c>
    </row>
    <row r="93" spans="1:1" x14ac:dyDescent="0.25">
      <c r="A93" t="str">
        <f ca="1">_xlfn.TEXTJOIN(" &amp; ",FALSE,TABELA_UNIQUE!G91:O91)&amp;" \\"</f>
        <v xml:space="preserve"> &amp;  &amp; URL &amp;  &amp;  &amp; * &amp;  &amp;  &amp;  \\</v>
      </c>
    </row>
    <row r="94" spans="1:1" x14ac:dyDescent="0.25">
      <c r="A94" t="str">
        <f ca="1">_xlfn.TEXTJOIN(" &amp; ",FALSE,TABELA_UNIQUE!G92:O92)&amp;" \\"</f>
        <v xml:space="preserve"> &amp;  &amp; Web API &amp;  &amp;  &amp;  &amp; * &amp; * &amp;  \\</v>
      </c>
    </row>
    <row r="95" spans="1:1" x14ac:dyDescent="0.25">
      <c r="A95" t="str">
        <f ca="1">_xlfn.TEXTJOIN(" &amp; ",FALSE,TABELA_UNIQUE!G93:O93)&amp;" \\"</f>
        <v xml:space="preserve"> &amp; GUI design and development &amp; +AI Support &amp;  &amp;  &amp;  &amp; + &amp;  &amp;  \\</v>
      </c>
    </row>
    <row r="96" spans="1:1" x14ac:dyDescent="0.25">
      <c r="A96" t="str">
        <f ca="1">_xlfn.TEXTJOIN(" &amp; ",FALSE,TABELA_UNIQUE!G94:O94)&amp;" \\"</f>
        <v xml:space="preserve"> &amp;  &amp; +Business Data Types &amp;  &amp;  &amp;  &amp;  &amp; + &amp; + \\</v>
      </c>
    </row>
    <row r="97" spans="1:1" x14ac:dyDescent="0.25">
      <c r="A97" t="str">
        <f ca="1">_xlfn.TEXTJOIN(" &amp; ",FALSE,TABELA_UNIQUE!G95:O95)&amp;" \\"</f>
        <v xml:space="preserve"> &amp;  &amp; +Conditional Formatting &amp;  &amp;  &amp;  &amp;  &amp; + &amp;  \\</v>
      </c>
    </row>
    <row r="98" spans="1:1" x14ac:dyDescent="0.25">
      <c r="A98" t="str">
        <f ca="1">_xlfn.TEXTJOIN(" &amp; ",FALSE,TABELA_UNIQUE!G96:O96)&amp;" \\"</f>
        <v xml:space="preserve"> &amp;  &amp; +GUI Style Editor &amp; + &amp;  &amp; + &amp;  &amp;  &amp;  \\</v>
      </c>
    </row>
    <row r="99" spans="1:1" x14ac:dyDescent="0.25">
      <c r="A99" t="str">
        <f ca="1">_xlfn.TEXTJOIN(" &amp; ",FALSE,TABELA_UNIQUE!G97:O97)&amp;" \\"</f>
        <v xml:space="preserve"> &amp;  &amp; +Templatized Formulas &amp;  &amp;  &amp;  &amp; + &amp;  &amp;  \\</v>
      </c>
    </row>
    <row r="100" spans="1:1" x14ac:dyDescent="0.25">
      <c r="A100" t="str">
        <f ca="1">_xlfn.TEXTJOIN(" &amp; ",FALSE,TABELA_UNIQUE!G98:O98)&amp;" \\"</f>
        <v xml:space="preserve"> &amp;  &amp; +UI Branding &amp;  &amp;  &amp;  &amp;  &amp; + &amp;  \\</v>
      </c>
    </row>
    <row r="101" spans="1:1" x14ac:dyDescent="0.25">
      <c r="A101" t="str">
        <f ca="1">_xlfn.TEXTJOIN(" &amp; ",FALSE,TABELA_UNIQUE!G99:O99)&amp;" \\"</f>
        <v xml:space="preserve"> &amp;  &amp; +View Types &amp;  &amp;  &amp;  &amp;  &amp; + &amp;  \\</v>
      </c>
    </row>
    <row r="102" spans="1:1" x14ac:dyDescent="0.25">
      <c r="A102" t="str">
        <f ca="1">_xlfn.TEXTJOIN(" &amp; ",FALSE,TABELA_UNIQUE!G100:O100)&amp;" \\"</f>
        <v xml:space="preserve"> &amp;  &amp; +WYSIWYG &amp;  &amp;  &amp; + &amp;  &amp;  &amp; + \\</v>
      </c>
    </row>
    <row r="103" spans="1:1" x14ac:dyDescent="0.25">
      <c r="A103" t="str">
        <f ca="1">_xlfn.TEXTJOIN(" &amp; ",FALSE,TABELA_UNIQUE!G101:O101)&amp;" \\"</f>
        <v xml:space="preserve"> &amp;  &amp; CSS/SCSS &amp; * &amp; * &amp;  &amp;  &amp;  &amp;  \\</v>
      </c>
    </row>
    <row r="104" spans="1:1" x14ac:dyDescent="0.25">
      <c r="A104" t="str">
        <f ca="1">_xlfn.TEXTJOIN(" &amp; ",FALSE,TABELA_UNIQUE!G102:O102)&amp;" \\"</f>
        <v xml:space="preserve"> &amp;  &amp; Event Propagation &amp;  &amp; * &amp;  &amp;  &amp;  &amp;  \\</v>
      </c>
    </row>
    <row r="105" spans="1:1" x14ac:dyDescent="0.25">
      <c r="A105" t="str">
        <f ca="1">_xlfn.TEXTJOIN(" &amp; ",FALSE,TABELA_UNIQUE!G103:O103)&amp;" \\"</f>
        <v xml:space="preserve"> &amp;  &amp; Responsive Web Design &amp;  &amp; * &amp;  &amp;  &amp;  &amp;  \\</v>
      </c>
    </row>
    <row r="106" spans="1:1" x14ac:dyDescent="0.25">
      <c r="A106" t="str">
        <f ca="1">_xlfn.TEXTJOIN(" &amp; ",FALSE,TABELA_UNIQUE!G104:O104)&amp;" \\"</f>
        <v xml:space="preserve"> &amp;  &amp; HTML &amp; * &amp; * &amp; * &amp;  &amp;  &amp;  \\</v>
      </c>
    </row>
    <row r="107" spans="1:1" x14ac:dyDescent="0.25">
      <c r="A107" t="str">
        <f ca="1">_xlfn.TEXTJOIN(" &amp; ",FALSE,TABELA_UNIQUE!G105:O105)&amp;" \\"</f>
        <v xml:space="preserve"> &amp;  &amp; IT Data Types &amp;  &amp; * &amp; * &amp; * &amp;  &amp;  \\</v>
      </c>
    </row>
    <row r="108" spans="1:1" x14ac:dyDescent="0.25">
      <c r="A108" t="str">
        <f ca="1">_xlfn.TEXTJOIN(" &amp; ",FALSE,TABELA_UNIQUE!G106:O106)&amp;" \\"</f>
        <v xml:space="preserve"> &amp;  &amp; JavaScript &amp;  &amp;  &amp;  &amp; * &amp;  &amp;  \\</v>
      </c>
    </row>
    <row r="109" spans="1:1" x14ac:dyDescent="0.25">
      <c r="A109" t="str">
        <f ca="1">_xlfn.TEXTJOIN(" &amp; ",FALSE,TABELA_UNIQUE!G107:O107)&amp;" \\"</f>
        <v xml:space="preserve"> &amp;  &amp; Master Detail &amp;  &amp; * &amp;  &amp;  &amp;  &amp;  \\</v>
      </c>
    </row>
    <row r="110" spans="1:1" x14ac:dyDescent="0.25">
      <c r="A110" t="str">
        <f ca="1">_xlfn.TEXTJOIN(" &amp; ",FALSE,TABELA_UNIQUE!G108:O108)&amp;" \\"</f>
        <v xml:space="preserve"> &amp;  &amp; Programming Functions &amp;  &amp; * &amp; * &amp; * &amp;  &amp;  \\</v>
      </c>
    </row>
    <row r="111" spans="1:1" x14ac:dyDescent="0.25">
      <c r="A111" t="str">
        <f ca="1">_xlfn.TEXTJOIN(" &amp; ",FALSE,TABELA_UNIQUE!G109:O109)&amp;" \\"</f>
        <v xml:space="preserve"> &amp;  &amp; Scripts &amp;  &amp;  &amp; * &amp;  &amp;  &amp;  \\</v>
      </c>
    </row>
    <row r="112" spans="1:1" x14ac:dyDescent="0.25">
      <c r="A112" t="str">
        <f ca="1">_xlfn.TEXTJOIN(" &amp; ",FALSE,TABELA_UNIQUE!G110:O110)&amp;" \\"</f>
        <v xml:space="preserve"> &amp;  &amp; Snippets &amp;  &amp;  &amp; * &amp;  &amp;  &amp;  \\</v>
      </c>
    </row>
    <row r="113" spans="1:1" x14ac:dyDescent="0.25">
      <c r="A113" t="str">
        <f ca="1">_xlfn.TEXTJOIN(" &amp; ",FALSE,TABELA_UNIQUE!G111:O111)&amp;" \\"</f>
        <v xml:space="preserve"> &amp;  &amp; Variables &amp;  &amp;  &amp; * &amp;  &amp;  &amp;  \\</v>
      </c>
    </row>
    <row r="114" spans="1:1" x14ac:dyDescent="0.25">
      <c r="A114" t="str">
        <f ca="1">_xlfn.TEXTJOIN(" &amp; ",FALSE,TABELA_UNIQUE!G112:O112)&amp;" \\"</f>
        <v xml:space="preserve"> &amp;  &amp; XML &amp;  &amp;  &amp;  &amp; * &amp;  &amp; * \\</v>
      </c>
    </row>
    <row r="115" spans="1:1" x14ac:dyDescent="0.25">
      <c r="A115" t="str">
        <f ca="1">_xlfn.TEXTJOIN(" &amp; ",FALSE,TABELA_UNIQUE!G113:O113)&amp;" \\"</f>
        <v xml:space="preserve"> &amp; Data validation development &amp; +Business Rules &amp;  &amp;  &amp;  &amp; + &amp;  &amp; + \\</v>
      </c>
    </row>
    <row r="116" spans="1:1" x14ac:dyDescent="0.25">
      <c r="A116" t="str">
        <f ca="1">_xlfn.TEXTJOIN(" &amp; ",FALSE,TABELA_UNIQUE!G114:O114)&amp;" \\"</f>
        <v xml:space="preserve"> &amp;  &amp; +Column Expressions &amp;  &amp;  &amp;  &amp;  &amp; + &amp;  \\</v>
      </c>
    </row>
    <row r="117" spans="1:1" x14ac:dyDescent="0.25">
      <c r="A117" t="str">
        <f ca="1">_xlfn.TEXTJOIN(" &amp; ",FALSE,TABELA_UNIQUE!G115:O115)&amp;" \\"</f>
        <v xml:space="preserve"> &amp;  &amp; Expressions &amp; * &amp; * &amp; * &amp; * &amp; * &amp; * \\</v>
      </c>
    </row>
    <row r="118" spans="1:1" x14ac:dyDescent="0.25">
      <c r="A118" t="str">
        <f ca="1">_xlfn.TEXTJOIN(" &amp; ",FALSE,TABELA_UNIQUE!G116:O116)&amp;" \\"</f>
        <v xml:space="preserve"> &amp;  &amp; Data Fields &amp;  &amp; * &amp;  &amp;  &amp;  &amp; * \\</v>
      </c>
    </row>
    <row r="119" spans="1:1" x14ac:dyDescent="0.25">
      <c r="A119" t="str">
        <f ca="1">_xlfn.TEXTJOIN(" &amp; ",FALSE,TABELA_UNIQUE!G117:O117)&amp;" \\"</f>
        <v xml:space="preserve"> &amp;  &amp; Domain Model &amp; * &amp;  &amp;  &amp;  &amp;  &amp;  \\</v>
      </c>
    </row>
    <row r="120" spans="1:1" x14ac:dyDescent="0.25">
      <c r="A120" t="str">
        <f ca="1">_xlfn.TEXTJOIN(" &amp; ",FALSE,TABELA_UNIQUE!G118:O118)&amp;" \\"</f>
        <v xml:space="preserve"> &amp;  &amp; Scripts &amp;  &amp;  &amp; * &amp;  &amp;  &amp; * \\</v>
      </c>
    </row>
    <row r="121" spans="1:1" x14ac:dyDescent="0.25">
      <c r="A121" t="str">
        <f ca="1">_xlfn.TEXTJOIN(" &amp; ",FALSE,TABELA_UNIQUE!G119:O119)&amp;" \\"</f>
        <v xml:space="preserve"> &amp; Actions design and development &amp; +AI Assisted Development &amp;  &amp; + &amp;  &amp;  &amp;  &amp;  \\</v>
      </c>
    </row>
    <row r="122" spans="1:1" x14ac:dyDescent="0.25">
      <c r="A122" t="str">
        <f ca="1">_xlfn.TEXTJOIN(" &amp; ",FALSE,TABELA_UNIQUE!G120:O120)&amp;" \\"</f>
        <v xml:space="preserve"> &amp;  &amp; +Automations &amp;  &amp;  &amp;  &amp;  &amp; + &amp;  \\</v>
      </c>
    </row>
    <row r="123" spans="1:1" x14ac:dyDescent="0.25">
      <c r="A123" t="str">
        <f ca="1">_xlfn.TEXTJOIN(" &amp; ",FALSE,TABELA_UNIQUE!G121:O121)&amp;" \\"</f>
        <v xml:space="preserve"> &amp;  &amp; +Built-in Connectors &amp;  &amp;  &amp; + &amp;  &amp;  &amp;  \\</v>
      </c>
    </row>
    <row r="124" spans="1:1" x14ac:dyDescent="0.25">
      <c r="A124" t="str">
        <f ca="1">_xlfn.TEXTJOIN(" &amp; ",FALSE,TABELA_UNIQUE!G122:O122)&amp;" \\"</f>
        <v xml:space="preserve"> &amp;  &amp; API &amp; * &amp; * &amp; * &amp; * &amp;  &amp; * \\</v>
      </c>
    </row>
    <row r="125" spans="1:1" x14ac:dyDescent="0.25">
      <c r="A125" t="str">
        <f ca="1">_xlfn.TEXTJOIN(" &amp; ",FALSE,TABELA_UNIQUE!G123:O123)&amp;" \\"</f>
        <v xml:space="preserve"> &amp;  &amp; Expressions &amp;  &amp; * &amp; * &amp; * &amp; * &amp; * \\</v>
      </c>
    </row>
    <row r="126" spans="1:1" x14ac:dyDescent="0.25">
      <c r="A126" t="str">
        <f ca="1">_xlfn.TEXTJOIN(" &amp; ",FALSE,TABELA_UNIQUE!G124:O124)&amp;" \\"</f>
        <v xml:space="preserve"> &amp;  &amp; Functions &amp;  &amp;  &amp;  &amp;  &amp; * &amp;  \\</v>
      </c>
    </row>
    <row r="127" spans="1:1" x14ac:dyDescent="0.25">
      <c r="A127" t="str">
        <f ca="1">_xlfn.TEXTJOIN(" &amp; ",FALSE,TABELA_UNIQUE!G125:O125)&amp;" \\"</f>
        <v xml:space="preserve"> &amp;  &amp; Java &amp; * &amp;  &amp;  &amp;  &amp;  &amp;  \\</v>
      </c>
    </row>
    <row r="128" spans="1:1" x14ac:dyDescent="0.25">
      <c r="A128" t="str">
        <f ca="1">_xlfn.TEXTJOIN(" &amp; ",FALSE,TABELA_UNIQUE!G126:O126)&amp;" \\"</f>
        <v xml:space="preserve"> &amp;  &amp; JavaScript &amp; * &amp; * &amp;  &amp; * &amp;  &amp;  \\</v>
      </c>
    </row>
    <row r="129" spans="1:1" x14ac:dyDescent="0.25">
      <c r="A129" t="str">
        <f ca="1">_xlfn.TEXTJOIN(" &amp; ",FALSE,TABELA_UNIQUE!G127:O127)&amp;" \\"</f>
        <v xml:space="preserve"> &amp;  &amp; Object Model &amp;  &amp;  &amp;  &amp; * &amp;  &amp;  \\</v>
      </c>
    </row>
    <row r="130" spans="1:1" x14ac:dyDescent="0.25">
      <c r="A130" t="str">
        <f ca="1">_xlfn.TEXTJOIN(" &amp; ",FALSE,TABELA_UNIQUE!G128:O128)&amp;" \\"</f>
        <v xml:space="preserve"> &amp;  &amp; Scripts &amp;  &amp;  &amp; * &amp;  &amp;  &amp; * \\</v>
      </c>
    </row>
    <row r="131" spans="1:1" x14ac:dyDescent="0.25">
      <c r="A131" t="str">
        <f ca="1">_xlfn.TEXTJOIN(" &amp; ",FALSE,TABELA_UNIQUE!G129:O129)&amp;" \\"</f>
        <v xml:space="preserve"> &amp;  &amp; SOAP &amp;  &amp; * &amp;  &amp;  &amp;  &amp;  \\</v>
      </c>
    </row>
    <row r="132" spans="1:1" x14ac:dyDescent="0.25">
      <c r="A132" t="str">
        <f ca="1">_xlfn.TEXTJOIN(" &amp; ",FALSE,TABELA_UNIQUE!G130:O130)&amp;" \\"</f>
        <v xml:space="preserve"> &amp; Programming &amp; .NET &amp;  &amp; * &amp;  &amp; * &amp;  &amp;  \\</v>
      </c>
    </row>
    <row r="133" spans="1:1" x14ac:dyDescent="0.25">
      <c r="A133" t="str">
        <f ca="1">_xlfn.TEXTJOIN(" &amp; ",FALSE,TABELA_UNIQUE!G131:O131)&amp;" \\"</f>
        <v xml:space="preserve"> &amp;  &amp; +Visual Programming &amp;  &amp; + &amp;  &amp;  &amp;  &amp;  \\</v>
      </c>
    </row>
    <row r="134" spans="1:1" x14ac:dyDescent="0.25">
      <c r="A134" t="str">
        <f ca="1">_xlfn.TEXTJOIN(" &amp; ",FALSE,TABELA_UNIQUE!G132:O132)&amp;" \\"</f>
        <v xml:space="preserve"> &amp;  &amp; Expressions &amp;  &amp; * &amp; * &amp; * &amp; * &amp; * \\</v>
      </c>
    </row>
    <row r="135" spans="1:1" x14ac:dyDescent="0.25">
      <c r="A135" t="str">
        <f ca="1">_xlfn.TEXTJOIN(" &amp; ",FALSE,TABELA_UNIQUE!G133:O133)&amp;" \\"</f>
        <v xml:space="preserve"> &amp;  &amp; CLI &amp;  &amp;  &amp;  &amp; * &amp;  &amp;  \\</v>
      </c>
    </row>
    <row r="136" spans="1:1" x14ac:dyDescent="0.25">
      <c r="A136" t="str">
        <f ca="1">_xlfn.TEXTJOIN(" &amp; ",FALSE,TABELA_UNIQUE!G134:O134)&amp;" \\"</f>
        <v xml:space="preserve"> &amp;  &amp; IT Data Types &amp;  &amp;  &amp;  &amp; * &amp;  &amp;  \\</v>
      </c>
    </row>
    <row r="137" spans="1:1" x14ac:dyDescent="0.25">
      <c r="A137" t="str">
        <f ca="1">_xlfn.TEXTJOIN(" &amp; ",FALSE,TABELA_UNIQUE!G135:O135)&amp;" \\"</f>
        <v xml:space="preserve"> &amp;  &amp; Eclipse &amp; * &amp;  &amp;  &amp;  &amp;  &amp;  \\</v>
      </c>
    </row>
    <row r="138" spans="1:1" x14ac:dyDescent="0.25">
      <c r="A138" t="str">
        <f ca="1">_xlfn.TEXTJOIN(" &amp; ",FALSE,TABELA_UNIQUE!G136:O136)&amp;" \\"</f>
        <v xml:space="preserve"> &amp;  &amp; Emulators &amp; * &amp;  &amp;  &amp;  &amp;  &amp;  \\</v>
      </c>
    </row>
    <row r="139" spans="1:1" x14ac:dyDescent="0.25">
      <c r="A139" t="str">
        <f ca="1">_xlfn.TEXTJOIN(" &amp; ",FALSE,TABELA_UNIQUE!G137:O137)&amp;" \\"</f>
        <v xml:space="preserve"> &amp;  &amp; Entity Types &amp;  &amp;  &amp;  &amp; * &amp;  &amp;  \\</v>
      </c>
    </row>
    <row r="140" spans="1:1" x14ac:dyDescent="0.25">
      <c r="A140" t="str">
        <f ca="1">_xlfn.TEXTJOIN(" &amp; ",FALSE,TABELA_UNIQUE!G138:O138)&amp;" \\"</f>
        <v xml:space="preserve"> &amp;  &amp; Enumerations &amp;  &amp;  &amp;  &amp; * &amp;  &amp;  \\</v>
      </c>
    </row>
    <row r="141" spans="1:1" x14ac:dyDescent="0.25">
      <c r="A141" t="str">
        <f ca="1">_xlfn.TEXTJOIN(" &amp; ",FALSE,TABELA_UNIQUE!G139:O139)&amp;" \\"</f>
        <v xml:space="preserve"> &amp;  &amp; Functions &amp;  &amp;  &amp;  &amp; * &amp; * &amp;  \\</v>
      </c>
    </row>
    <row r="142" spans="1:1" x14ac:dyDescent="0.25">
      <c r="A142" t="str">
        <f ca="1">_xlfn.TEXTJOIN(" &amp; ",FALSE,TABELA_UNIQUE!G140:O140)&amp;" \\"</f>
        <v xml:space="preserve"> &amp;  &amp; HTML &amp;  &amp; * &amp; * &amp;  &amp; * &amp; * \\</v>
      </c>
    </row>
    <row r="143" spans="1:1" x14ac:dyDescent="0.25">
      <c r="A143" t="str">
        <f ca="1">_xlfn.TEXTJOIN(" &amp; ",FALSE,TABELA_UNIQUE!G141:O141)&amp;" \\"</f>
        <v xml:space="preserve"> &amp;  &amp; SDK/IDE &amp;  &amp;  &amp; * &amp; * &amp;  &amp;  \\</v>
      </c>
    </row>
    <row r="144" spans="1:1" x14ac:dyDescent="0.25">
      <c r="A144" t="str">
        <f ca="1">_xlfn.TEXTJOIN(" &amp; ",FALSE,TABELA_UNIQUE!G142:O142)&amp;" \\"</f>
        <v xml:space="preserve"> &amp;  &amp; Iteration Statements &amp;  &amp; * &amp; * &amp; * &amp;  &amp;  \\</v>
      </c>
    </row>
    <row r="145" spans="1:1" x14ac:dyDescent="0.25">
      <c r="A145" t="str">
        <f ca="1">_xlfn.TEXTJOIN(" &amp; ",FALSE,TABELA_UNIQUE!G143:O143)&amp;" \\"</f>
        <v xml:space="preserve"> &amp;  &amp; Java &amp; * &amp;  &amp;  &amp;  &amp;  &amp;  \\</v>
      </c>
    </row>
    <row r="146" spans="1:1" x14ac:dyDescent="0.25">
      <c r="A146" t="str">
        <f ca="1">_xlfn.TEXTJOIN(" &amp; ",FALSE,TABELA_UNIQUE!G144:O144)&amp;" \\"</f>
        <v xml:space="preserve"> &amp;  &amp; Java API &amp; * &amp;  &amp;  &amp;  &amp;  &amp;  \\</v>
      </c>
    </row>
    <row r="147" spans="1:1" x14ac:dyDescent="0.25">
      <c r="A147" t="str">
        <f ca="1">_xlfn.TEXTJOIN(" &amp; ",FALSE,TABELA_UNIQUE!G145:O145)&amp;" \\"</f>
        <v xml:space="preserve"> &amp;  &amp; JavaScript &amp;  &amp;  &amp;  &amp;  &amp; * &amp; * \\</v>
      </c>
    </row>
    <row r="148" spans="1:1" x14ac:dyDescent="0.25">
      <c r="A148" t="str">
        <f ca="1">_xlfn.TEXTJOIN(" &amp; ",FALSE,TABELA_UNIQUE!G146:O146)&amp;" \\"</f>
        <v xml:space="preserve"> &amp;  &amp; JSON &amp;  &amp;  &amp;  &amp;  &amp; * &amp;  \\</v>
      </c>
    </row>
    <row r="149" spans="1:1" x14ac:dyDescent="0.25">
      <c r="A149" t="str">
        <f ca="1">_xlfn.TEXTJOIN(" &amp; ",FALSE,TABELA_UNIQUE!G147:O147)&amp;" \\"</f>
        <v xml:space="preserve"> &amp;  &amp; Markup Language &amp;  &amp;  &amp; * &amp;  &amp;  &amp;  \\</v>
      </c>
    </row>
    <row r="150" spans="1:1" x14ac:dyDescent="0.25">
      <c r="A150" t="str">
        <f ca="1">_xlfn.TEXTJOIN(" &amp; ",FALSE,TABELA_UNIQUE!G148:O148)&amp;" \\"</f>
        <v xml:space="preserve"> &amp;  &amp; Metadata &amp;  &amp;  &amp;  &amp; * &amp;  &amp;  \\</v>
      </c>
    </row>
    <row r="151" spans="1:1" x14ac:dyDescent="0.25">
      <c r="A151" t="str">
        <f ca="1">_xlfn.TEXTJOIN(" &amp; ",FALSE,TABELA_UNIQUE!G149:O149)&amp;" \\"</f>
        <v xml:space="preserve"> &amp;  &amp; Native Mobile App &amp; * &amp;  &amp;  &amp;  &amp;  &amp;  \\</v>
      </c>
    </row>
    <row r="152" spans="1:1" x14ac:dyDescent="0.25">
      <c r="A152" t="str">
        <f ca="1">_xlfn.TEXTJOIN(" &amp; ",FALSE,TABELA_UNIQUE!G150:O150)&amp;" \\"</f>
        <v xml:space="preserve"> &amp;  &amp; node.js &amp;  &amp;  &amp;  &amp; * &amp;  &amp;  \\</v>
      </c>
    </row>
    <row r="153" spans="1:1" x14ac:dyDescent="0.25">
      <c r="A153" t="str">
        <f ca="1">_xlfn.TEXTJOIN(" &amp; ",FALSE,TABELA_UNIQUE!G151:O151)&amp;" \\"</f>
        <v xml:space="preserve"> &amp;  &amp; PWA &amp; * &amp;  &amp;  &amp;  &amp;  &amp;  \\</v>
      </c>
    </row>
    <row r="154" spans="1:1" x14ac:dyDescent="0.25">
      <c r="A154" t="str">
        <f ca="1">_xlfn.TEXTJOIN(" &amp; ",FALSE,TABELA_UNIQUE!G152:O152)&amp;" \\"</f>
        <v xml:space="preserve"> &amp;  &amp; Query Functions &amp;  &amp;  &amp;  &amp; * &amp;  &amp;  \\</v>
      </c>
    </row>
    <row r="155" spans="1:1" x14ac:dyDescent="0.25">
      <c r="A155" t="str">
        <f ca="1">_xlfn.TEXTJOIN(" &amp; ",FALSE,TABELA_UNIQUE!G153:O153)&amp;" \\"</f>
        <v xml:space="preserve"> &amp;  &amp; Scripts &amp;  &amp;  &amp; * &amp;  &amp;  &amp;  \\</v>
      </c>
    </row>
    <row r="156" spans="1:1" x14ac:dyDescent="0.25">
      <c r="A156" t="str">
        <f ca="1">_xlfn.TEXTJOIN(" &amp; ",FALSE,TABELA_UNIQUE!G154:O154)&amp;" \\"</f>
        <v xml:space="preserve"> &amp;  &amp; Snippets &amp;  &amp;  &amp; * &amp;  &amp;  &amp;  \\</v>
      </c>
    </row>
    <row r="157" spans="1:1" x14ac:dyDescent="0.25">
      <c r="A157" t="str">
        <f ca="1">_xlfn.TEXTJOIN(" &amp; ",FALSE,TABELA_UNIQUE!G155:O155)&amp;" \\"</f>
        <v xml:space="preserve"> &amp;  &amp; TypeScript &amp;  &amp;  &amp;  &amp; * &amp;  &amp;  \\</v>
      </c>
    </row>
    <row r="158" spans="1:1" x14ac:dyDescent="0.25">
      <c r="A158" t="str">
        <f ca="1">_xlfn.TEXTJOIN(" &amp; ",FALSE,TABELA_UNIQUE!G156:O156)&amp;" \\"</f>
        <v xml:space="preserve"> &amp;  &amp; Web API &amp;  &amp;  &amp;  &amp; * &amp; * &amp;  \\</v>
      </c>
    </row>
    <row r="159" spans="1:1" x14ac:dyDescent="0.25">
      <c r="A159" t="str">
        <f ca="1">_xlfn.TEXTJOIN(" &amp; ",FALSE,TABELA_UNIQUE!G157:O157)&amp;" \\"</f>
        <v xml:space="preserve"> &amp;  &amp; XML &amp;  &amp;  &amp;  &amp;  &amp; * &amp; * \\</v>
      </c>
    </row>
    <row r="160" spans="1:1" x14ac:dyDescent="0.25">
      <c r="A160" t="str">
        <f ca="1">_xlfn.TEXTJOIN(" &amp; ",FALSE,TABELA_UNIQUE!G158:O158)&amp;" \\"</f>
        <v>Implementation &amp; Runtime server installation &amp; +Cloud Based Environment &amp;  &amp;  &amp;  &amp; + &amp; + &amp; + \\</v>
      </c>
    </row>
    <row r="161" spans="1:1" x14ac:dyDescent="0.25">
      <c r="A161" t="str">
        <f ca="1">_xlfn.TEXTJOIN(" &amp; ",FALSE,TABELA_UNIQUE!G159:O159)&amp;" \\"</f>
        <v xml:space="preserve"> &amp;  &amp; API &amp; * &amp;  &amp;  &amp;  &amp;  &amp;  \\</v>
      </c>
    </row>
    <row r="162" spans="1:1" x14ac:dyDescent="0.25">
      <c r="A162" t="str">
        <f ca="1">_xlfn.TEXTJOIN(" &amp; ",FALSE,TABELA_UNIQUE!G160:O160)&amp;" \\"</f>
        <v xml:space="preserve"> &amp;  &amp; Compiler Service &amp;  &amp; * &amp;  &amp;  &amp;  &amp;  \\</v>
      </c>
    </row>
    <row r="163" spans="1:1" x14ac:dyDescent="0.25">
      <c r="A163" t="str">
        <f ca="1">_xlfn.TEXTJOIN(" &amp; ",FALSE,TABELA_UNIQUE!G161:O161)&amp;" \\"</f>
        <v xml:space="preserve"> &amp;  &amp; Database Synchronization &amp; * &amp;  &amp;  &amp;  &amp;  &amp;  \\</v>
      </c>
    </row>
    <row r="164" spans="1:1" x14ac:dyDescent="0.25">
      <c r="A164" t="str">
        <f ca="1">_xlfn.TEXTJOIN(" &amp; ",FALSE,TABELA_UNIQUE!G162:O162)&amp;" \\"</f>
        <v xml:space="preserve"> &amp;  &amp; Deployment Controller Service &amp;  &amp; * &amp;  &amp;  &amp;  &amp;  \\</v>
      </c>
    </row>
    <row r="165" spans="1:1" x14ac:dyDescent="0.25">
      <c r="A165" t="str">
        <f ca="1">_xlfn.TEXTJOIN(" &amp; ",FALSE,TABELA_UNIQUE!G163:O163)&amp;" \\"</f>
        <v xml:space="preserve"> &amp;  &amp; Email Server (SMTP) &amp;  &amp;  &amp; * &amp;  &amp;  &amp; * \\</v>
      </c>
    </row>
    <row r="166" spans="1:1" x14ac:dyDescent="0.25">
      <c r="A166" t="str">
        <f ca="1">_xlfn.TEXTJOIN(" &amp; ",FALSE,TABELA_UNIQUE!G164:O164)&amp;" \\"</f>
        <v xml:space="preserve"> &amp;  &amp; File Storage &amp; * &amp;  &amp;  &amp;  &amp;  &amp;  \\</v>
      </c>
    </row>
    <row r="167" spans="1:1" x14ac:dyDescent="0.25">
      <c r="A167" t="str">
        <f ca="1">_xlfn.TEXTJOIN(" &amp; ",FALSE,TABELA_UNIQUE!G165:O165)&amp;" \\"</f>
        <v xml:space="preserve"> &amp;  &amp; HTTPS Server &amp; * &amp; * &amp;  &amp;  &amp;  &amp;  \\</v>
      </c>
    </row>
    <row r="168" spans="1:1" x14ac:dyDescent="0.25">
      <c r="A168" t="str">
        <f ca="1">_xlfn.TEXTJOIN(" &amp; ",FALSE,TABELA_UNIQUE!G166:O166)&amp;" \\"</f>
        <v xml:space="preserve"> &amp;  &amp; Java &amp; * &amp;  &amp;  &amp;  &amp;  &amp;  \\</v>
      </c>
    </row>
    <row r="169" spans="1:1" x14ac:dyDescent="0.25">
      <c r="A169" t="str">
        <f ca="1">_xlfn.TEXTJOIN(" &amp; ",FALSE,TABELA_UNIQUE!G167:O167)&amp;" \\"</f>
        <v xml:space="preserve"> &amp;  &amp; Load Balancing &amp;  &amp; * &amp;  &amp;  &amp;  &amp;  \\</v>
      </c>
    </row>
    <row r="170" spans="1:1" x14ac:dyDescent="0.25">
      <c r="A170" t="str">
        <f ca="1">_xlfn.TEXTJOIN(" &amp; ",FALSE,TABELA_UNIQUE!G168:O168)&amp;" \\"</f>
        <v xml:space="preserve"> &amp;  &amp; Log Service &amp;  &amp; * &amp;  &amp;  &amp;  &amp;  \\</v>
      </c>
    </row>
    <row r="171" spans="1:1" x14ac:dyDescent="0.25">
      <c r="A171" t="str">
        <f ca="1">_xlfn.TEXTJOIN(" &amp; ",FALSE,TABELA_UNIQUE!G169:O169)&amp;" \\"</f>
        <v xml:space="preserve"> &amp;  &amp; Mobile App &amp;  &amp;  &amp;  &amp;  &amp; * &amp;  \\</v>
      </c>
    </row>
    <row r="172" spans="1:1" x14ac:dyDescent="0.25">
      <c r="A172" t="str">
        <f ca="1">_xlfn.TEXTJOIN(" &amp; ",FALSE,TABELA_UNIQUE!G170:O170)&amp;" \\"</f>
        <v xml:space="preserve"> &amp;  &amp; OQL &amp; * &amp;  &amp;  &amp;  &amp;  &amp;  \\</v>
      </c>
    </row>
    <row r="173" spans="1:1" x14ac:dyDescent="0.25">
      <c r="A173" t="str">
        <f ca="1">_xlfn.TEXTJOIN(" &amp; ",FALSE,TABELA_UNIQUE!G171:O171)&amp;" \\"</f>
        <v xml:space="preserve"> &amp;  &amp; Proxy server &amp;  &amp;  &amp; * &amp;  &amp;  &amp;  \\</v>
      </c>
    </row>
    <row r="174" spans="1:1" x14ac:dyDescent="0.25">
      <c r="A174" t="str">
        <f ca="1">_xlfn.TEXTJOIN(" &amp; ",FALSE,TABELA_UNIQUE!G172:O172)&amp;" \\"</f>
        <v xml:space="preserve"> &amp;  &amp; Relational Database &amp; * &amp;  &amp;  &amp;  &amp;  &amp;  \\</v>
      </c>
    </row>
    <row r="175" spans="1:1" x14ac:dyDescent="0.25">
      <c r="A175" t="str">
        <f ca="1">_xlfn.TEXTJOIN(" &amp; ",FALSE,TABELA_UNIQUE!G173:O173)&amp;" \\"</f>
        <v xml:space="preserve"> &amp;  &amp; REST API &amp; * &amp;  &amp;  &amp;  &amp;  &amp;  \\</v>
      </c>
    </row>
    <row r="176" spans="1:1" x14ac:dyDescent="0.25">
      <c r="A176" t="str">
        <f ca="1">_xlfn.TEXTJOIN(" &amp; ",FALSE,TABELA_UNIQUE!G174:O174)&amp;" \\"</f>
        <v xml:space="preserve"> &amp;  &amp; SAML Authentication &amp;  &amp;  &amp; * &amp;  &amp;  &amp;  \\</v>
      </c>
    </row>
    <row r="177" spans="1:1" x14ac:dyDescent="0.25">
      <c r="A177" t="str">
        <f ca="1">_xlfn.TEXTJOIN(" &amp; ",FALSE,TABELA_UNIQUE!G175:O175)&amp;" \\"</f>
        <v xml:space="preserve"> &amp;  &amp; Scheduler Service &amp;  &amp; * &amp;  &amp;  &amp;  &amp;  \\</v>
      </c>
    </row>
    <row r="178" spans="1:1" x14ac:dyDescent="0.25">
      <c r="A178" t="str">
        <f ca="1">_xlfn.TEXTJOIN(" &amp; ",FALSE,TABELA_UNIQUE!G176:O176)&amp;" \\"</f>
        <v xml:space="preserve"> &amp;  &amp; Shared Libraries &amp;  &amp; * &amp;  &amp;  &amp;  &amp;  \\</v>
      </c>
    </row>
    <row r="179" spans="1:1" x14ac:dyDescent="0.25">
      <c r="A179" t="str">
        <f ca="1">_xlfn.TEXTJOIN(" &amp; ",FALSE,TABELA_UNIQUE!G177:O177)&amp;" \\"</f>
        <v xml:space="preserve"> &amp;  &amp; SOAP &amp; * &amp;  &amp;  &amp;  &amp;  &amp;  \\</v>
      </c>
    </row>
    <row r="180" spans="1:1" x14ac:dyDescent="0.25">
      <c r="A180" t="str">
        <f ca="1">_xlfn.TEXTJOIN(" &amp; ",FALSE,TABELA_UNIQUE!G178:O178)&amp;" \\"</f>
        <v xml:space="preserve"> &amp;  &amp; SSL Certificates &amp;  &amp;  &amp; * &amp;  &amp;  &amp;  \\</v>
      </c>
    </row>
    <row r="181" spans="1:1" x14ac:dyDescent="0.25">
      <c r="A181" t="str">
        <f ca="1">_xlfn.TEXTJOIN(" &amp; ",FALSE,TABELA_UNIQUE!G179:O179)&amp;" \\"</f>
        <v xml:space="preserve"> &amp;  &amp; Swagger &amp; * &amp;  &amp;  &amp;  &amp;  &amp;  \\</v>
      </c>
    </row>
    <row r="182" spans="1:1" x14ac:dyDescent="0.25">
      <c r="A182" t="str">
        <f ca="1">_xlfn.TEXTJOIN(" &amp; ",FALSE,TABELA_UNIQUE!G180:O180)&amp;" \\"</f>
        <v xml:space="preserve"> &amp;  &amp; WSDL &amp; * &amp;  &amp;  &amp;  &amp;  &amp;  \\</v>
      </c>
    </row>
    <row r="183" spans="1:1" x14ac:dyDescent="0.25">
      <c r="A183" t="str">
        <f ca="1">_xlfn.TEXTJOIN(" &amp; ",FALSE,TABELA_UNIQUE!G181:O181)&amp;" \\"</f>
        <v xml:space="preserve"> &amp;  &amp; XML/XPath &amp; * &amp;  &amp;  &amp;  &amp;  &amp;  \\</v>
      </c>
    </row>
    <row r="184" spans="1:1" x14ac:dyDescent="0.25">
      <c r="A184" t="str">
        <f ca="1">_xlfn.TEXTJOIN(" &amp; ",FALSE,TABELA_UNIQUE!G182:O182)&amp;" \\"</f>
        <v xml:space="preserve"> &amp; Database installation &amp; +Embedded Database &amp;  &amp;  &amp; + &amp; + &amp; + &amp; + \\</v>
      </c>
    </row>
    <row r="185" spans="1:1" x14ac:dyDescent="0.25">
      <c r="A185" t="str">
        <f ca="1">_xlfn.TEXTJOIN(" &amp; ",FALSE,TABELA_UNIQUE!G183:O183)&amp;" \\"</f>
        <v xml:space="preserve"> &amp;  &amp; File Storage &amp; * &amp; * &amp;  &amp;  &amp;  &amp;  \\</v>
      </c>
    </row>
    <row r="186" spans="1:1" x14ac:dyDescent="0.25">
      <c r="A186" t="str">
        <f ca="1">_xlfn.TEXTJOIN(" &amp; ",FALSE,TABELA_UNIQUE!G184:O184)&amp;" \\"</f>
        <v xml:space="preserve"> &amp;  &amp; Relational Database &amp; * &amp; * &amp; * &amp; * &amp; * &amp; * \\</v>
      </c>
    </row>
    <row r="187" spans="1:1" x14ac:dyDescent="0.25">
      <c r="A187" t="str">
        <f ca="1">_xlfn.TEXTJOIN(" &amp; ",FALSE,TABELA_UNIQUE!G185:O185)&amp;" \\"</f>
        <v xml:space="preserve"> &amp;  &amp; REST API &amp;  &amp;  &amp;  &amp;  &amp; * &amp;  \\</v>
      </c>
    </row>
    <row r="188" spans="1:1" x14ac:dyDescent="0.25">
      <c r="A188" t="str">
        <f ca="1">_xlfn.TEXTJOIN(" &amp; ",FALSE,TABELA_UNIQUE!G186:O186)&amp;" \\"</f>
        <v xml:space="preserve"> &amp; Client module installation &amp; .NET Framework &amp;  &amp; * &amp;  &amp;  &amp;  &amp;  \\</v>
      </c>
    </row>
    <row r="189" spans="1:1" x14ac:dyDescent="0.25">
      <c r="A189" t="str">
        <f ca="1">_xlfn.TEXTJOIN(" &amp; ",FALSE,TABELA_UNIQUE!G187:O187)&amp;" \\"</f>
        <v xml:space="preserve"> &amp;  &amp; +Mobile App &amp;  &amp;  &amp;  &amp; + &amp; + &amp;  \\</v>
      </c>
    </row>
    <row r="190" spans="1:1" x14ac:dyDescent="0.25">
      <c r="A190" t="str">
        <f ca="1">_xlfn.TEXTJOIN(" &amp; ",FALSE,TABELA_UNIQUE!G188:O188)&amp;" \\"</f>
        <v xml:space="preserve"> &amp;  &amp; +Web Browser &amp;  &amp;  &amp;  &amp; + &amp; + &amp; + \\</v>
      </c>
    </row>
    <row r="191" spans="1:1" x14ac:dyDescent="0.25">
      <c r="A191" t="str">
        <f ca="1">_xlfn.TEXTJOIN(" &amp; ",FALSE,TABELA_UNIQUE!G189:O189)&amp;" \\"</f>
        <v xml:space="preserve"> &amp;  &amp; API &amp; * &amp;  &amp;  &amp;  &amp;  &amp;  \\</v>
      </c>
    </row>
    <row r="192" spans="1:1" x14ac:dyDescent="0.25">
      <c r="A192" t="str">
        <f ca="1">_xlfn.TEXTJOIN(" &amp; ",FALSE,TABELA_UNIQUE!G190:O190)&amp;" \\"</f>
        <v xml:space="preserve"> &amp;  &amp; Binaries &amp;  &amp; * &amp; * &amp;  &amp;  &amp;  \\</v>
      </c>
    </row>
    <row r="193" spans="1:1" x14ac:dyDescent="0.25">
      <c r="A193" t="str">
        <f ca="1">_xlfn.TEXTJOIN(" &amp; ",FALSE,TABELA_UNIQUE!G191:O191)&amp;" \\"</f>
        <v xml:space="preserve"> &amp;  &amp; HTTPS Server &amp; * &amp;  &amp;  &amp;  &amp;  &amp;  \\</v>
      </c>
    </row>
    <row r="194" spans="1:1" x14ac:dyDescent="0.25">
      <c r="A194" t="str">
        <f ca="1">_xlfn.TEXTJOIN(" &amp; ",FALSE,TABELA_UNIQUE!G192:O192)&amp;" \\"</f>
        <v xml:space="preserve"> &amp;  &amp; URL Configuration &amp;  &amp;  &amp; * &amp;  &amp;  &amp;  \\</v>
      </c>
    </row>
    <row r="195" spans="1:1" x14ac:dyDescent="0.25">
      <c r="A195" t="str">
        <f ca="1">_xlfn.TEXTJOIN(" &amp; ",FALSE,TABELA_UNIQUE!G193:O193)&amp;" \\"</f>
        <v xml:space="preserve"> &amp;  &amp; Web Services &amp;  &amp;  &amp;  &amp; * &amp;  &amp;  \\</v>
      </c>
    </row>
    <row r="196" spans="1:1" x14ac:dyDescent="0.25">
      <c r="A196" t="str">
        <f ca="1">_xlfn.TEXTJOIN(" &amp; ",FALSE,TABELA_UNIQUE!G194:O194)&amp;" \\"</f>
        <v xml:space="preserve"> &amp; Deployment &amp; +App Gallery &amp;  &amp;  &amp;  &amp;  &amp; + &amp;  \\</v>
      </c>
    </row>
    <row r="197" spans="1:1" x14ac:dyDescent="0.25">
      <c r="A197" t="str">
        <f ca="1">_xlfn.TEXTJOIN(" &amp; ",FALSE,TABELA_UNIQUE!G195:O195)&amp;" \\"</f>
        <v xml:space="preserve"> &amp;  &amp; +Software as a Service &amp;  &amp;  &amp;  &amp; + &amp; + &amp; + \\</v>
      </c>
    </row>
    <row r="198" spans="1:1" x14ac:dyDescent="0.25">
      <c r="A198" t="str">
        <f ca="1">_xlfn.TEXTJOIN(" &amp; ",FALSE,TABELA_UNIQUE!G196:O196)&amp;" \\"</f>
        <v xml:space="preserve"> &amp;  &amp; Application IDE &amp;  &amp;  &amp; * &amp;  &amp;  &amp;  \\</v>
      </c>
    </row>
    <row r="199" spans="1:1" x14ac:dyDescent="0.25">
      <c r="A199" t="str">
        <f ca="1">_xlfn.TEXTJOIN(" &amp; ",FALSE,TABELA_UNIQUE!G197:O197)&amp;" \\"</f>
        <v xml:space="preserve"> &amp;  &amp; CI/CD &amp; * &amp; * &amp;  &amp;  &amp;  &amp;  \\</v>
      </c>
    </row>
    <row r="200" spans="1:1" x14ac:dyDescent="0.25">
      <c r="A200" t="str">
        <f ca="1">_xlfn.TEXTJOIN(" &amp; ",FALSE,TABELA_UNIQUE!G198:O198)&amp;" \\"</f>
        <v xml:space="preserve"> &amp;  &amp; Cloud Computing &amp;  &amp; * &amp; * &amp;  &amp;  &amp;  \\</v>
      </c>
    </row>
    <row r="201" spans="1:1" x14ac:dyDescent="0.25">
      <c r="A201" t="str">
        <f ca="1">_xlfn.TEXTJOIN(" &amp; ",FALSE,TABELA_UNIQUE!G199:O199)&amp;" \\"</f>
        <v xml:space="preserve"> &amp;  &amp; Cloud Services &amp; * &amp;  &amp;  &amp;  &amp;  &amp;  \\</v>
      </c>
    </row>
    <row r="202" spans="1:1" x14ac:dyDescent="0.25">
      <c r="A202" t="str">
        <f ca="1">_xlfn.TEXTJOIN(" &amp; ",FALSE,TABELA_UNIQUE!G200:O200)&amp;" \\"</f>
        <v xml:space="preserve"> &amp;  &amp; Docker &amp; * &amp;  &amp;  &amp;  &amp;  &amp;  \\</v>
      </c>
    </row>
    <row r="203" spans="1:1" x14ac:dyDescent="0.25">
      <c r="A203" t="str">
        <f ca="1">_xlfn.TEXTJOIN(" &amp; ",FALSE,TABELA_UNIQUE!G201:O201)&amp;" \\"</f>
        <v xml:space="preserve"> &amp;  &amp; Import/Export &amp;  &amp;  &amp; * &amp;  &amp;  &amp;  \\</v>
      </c>
    </row>
    <row r="204" spans="1:1" x14ac:dyDescent="0.25">
      <c r="A204" t="str">
        <f ca="1">_xlfn.TEXTJOIN(" &amp; ",FALSE,TABELA_UNIQUE!G202:O202)&amp;" \\"</f>
        <v xml:space="preserve"> &amp;  &amp; Kubernetes &amp; * &amp;  &amp;  &amp;  &amp;  &amp;  \\</v>
      </c>
    </row>
    <row r="205" spans="1:1" x14ac:dyDescent="0.25">
      <c r="A205" t="str">
        <f ca="1">_xlfn.TEXTJOIN(" &amp; ",FALSE,TABELA_UNIQUE!G203:O203)&amp;" \\"</f>
        <v xml:space="preserve"> &amp;  &amp; On-Premise &amp;  &amp;  &amp; * &amp;  &amp;  &amp;  \\</v>
      </c>
    </row>
    <row r="206" spans="1:1" x14ac:dyDescent="0.25">
      <c r="A206" t="str">
        <f ca="1">_xlfn.TEXTJOIN(" &amp; ",FALSE,TABELA_UNIQUE!G204:O204)&amp;" \\"</f>
        <v xml:space="preserve"> &amp;  &amp; On-premises Data Gateway &amp;  &amp;  &amp;  &amp; * &amp; * &amp;  \\</v>
      </c>
    </row>
    <row r="207" spans="1:1" x14ac:dyDescent="0.25">
      <c r="A207" t="str">
        <f ca="1">_xlfn.TEXTJOIN(" &amp; ",FALSE,TABELA_UNIQUE!G205:O205)&amp;" \\"</f>
        <v xml:space="preserve"> &amp;  &amp; REST API &amp;  &amp; * &amp;  &amp;  &amp;  &amp;  \\</v>
      </c>
    </row>
    <row r="208" spans="1:1" x14ac:dyDescent="0.25">
      <c r="A208" t="str">
        <f ca="1">_xlfn.TEXTJOIN(" &amp; ",FALSE,TABELA_UNIQUE!G206:O206)&amp;" \\"</f>
        <v xml:space="preserve"> &amp;  &amp; Scripts &amp;  &amp;  &amp; * &amp;  &amp;  &amp;  \\</v>
      </c>
    </row>
    <row r="209" spans="1:1" x14ac:dyDescent="0.25">
      <c r="A209" t="str">
        <f ca="1">_xlfn.TEXTJOIN(" &amp; ",FALSE,TABELA_UNIQUE!G207:O207)&amp;" \\"</f>
        <v xml:space="preserve"> &amp;  &amp; SOAP &amp;  &amp; * &amp;  &amp;  &amp;  &amp;  \\</v>
      </c>
    </row>
    <row r="210" spans="1:1" x14ac:dyDescent="0.25">
      <c r="A210" t="str">
        <f ca="1">_xlfn.TEXTJOIN(" &amp; ",FALSE,TABELA_UNIQUE!G208:O208)&amp;" \\"</f>
        <v xml:space="preserve"> &amp; Version control &amp; Code Repository Concept &amp; * &amp;  &amp;  &amp; * &amp;  &amp;  \\</v>
      </c>
    </row>
    <row r="211" spans="1:1" x14ac:dyDescent="0.25">
      <c r="A211" t="str">
        <f ca="1">_xlfn.TEXTJOIN(" &amp; ",FALSE,TABELA_UNIQUE!G209:O209)&amp;" \\"</f>
        <v xml:space="preserve"> &amp;  &amp; Custom Version Control &amp;  &amp; * &amp; * &amp;  &amp; * &amp; * \\</v>
      </c>
    </row>
    <row r="212" spans="1:1" x14ac:dyDescent="0.25">
      <c r="A212" t="str">
        <f ca="1">_xlfn.TEXTJOIN(" &amp; ",FALSE,TABELA_UNIQUE!G210:O210)&amp;" \\"</f>
        <v xml:space="preserve"> &amp;  &amp; Git &amp; * &amp;  &amp;  &amp; * &amp;  &amp;  \\</v>
      </c>
    </row>
    <row r="213" spans="1:1" x14ac:dyDescent="0.25">
      <c r="A213" t="e">
        <f>_xlfn.TEXTJOIN(" &amp; ",FALSE,TABELA_UNIQUE!G211:O211)&amp;" \\"</f>
        <v>#VALUE!</v>
      </c>
    </row>
    <row r="214" spans="1:1" x14ac:dyDescent="0.25">
      <c r="A214" t="e">
        <f>_xlfn.TEXTJOIN(" &amp; ",FALSE,TABELA_UNIQUE!G212:O212)&amp;" \\"</f>
        <v>#VALUE!</v>
      </c>
    </row>
    <row r="215" spans="1:1" ht="31.5" x14ac:dyDescent="0.25">
      <c r="A215" s="1" t="str">
        <f>'LaTeX TAB DEF'!B15</f>
        <v>\end{longtblr}
\end{adjustwidth}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F5193-6352-4156-B9AC-E363DBBBF3DE}">
  <dimension ref="A1:AE216"/>
  <sheetViews>
    <sheetView topLeftCell="A67" zoomScaleNormal="100" workbookViewId="0">
      <selection activeCell="Q4" sqref="Q4"/>
    </sheetView>
  </sheetViews>
  <sheetFormatPr defaultColWidth="8.875" defaultRowHeight="15.75" x14ac:dyDescent="0.25"/>
  <cols>
    <col min="1" max="1" width="17.125" customWidth="1"/>
    <col min="3" max="3" width="14.625" bestFit="1" customWidth="1"/>
    <col min="4" max="4" width="19.625" customWidth="1"/>
    <col min="5" max="5" width="21.875" customWidth="1"/>
    <col min="6" max="6" width="23.5" style="8" customWidth="1"/>
    <col min="7" max="7" width="14.625" bestFit="1" customWidth="1"/>
    <col min="8" max="8" width="17.875" customWidth="1"/>
    <col min="9" max="9" width="23.125" customWidth="1"/>
    <col min="10" max="10" width="3.625" style="2" customWidth="1"/>
    <col min="11" max="15" width="3.625" style="2" bestFit="1" customWidth="1"/>
    <col min="16" max="16" width="13.125" customWidth="1"/>
    <col min="17" max="22" width="3.625" bestFit="1" customWidth="1"/>
    <col min="24" max="24" width="13.625" bestFit="1" customWidth="1"/>
    <col min="25" max="25" width="29.625" bestFit="1" customWidth="1"/>
    <col min="26" max="31" width="3.625" customWidth="1"/>
  </cols>
  <sheetData>
    <row r="1" spans="1:31" x14ac:dyDescent="0.25">
      <c r="J1" s="2">
        <f t="shared" ref="J1:O1" ca="1" si="0">COUNTIF(J3:J500,"~*")</f>
        <v>39</v>
      </c>
      <c r="K1" s="2">
        <f t="shared" ca="1" si="0"/>
        <v>24</v>
      </c>
      <c r="L1" s="2">
        <f t="shared" ca="1" si="0"/>
        <v>30</v>
      </c>
      <c r="M1" s="2">
        <f t="shared" ca="1" si="0"/>
        <v>30</v>
      </c>
      <c r="N1" s="2">
        <f t="shared" ca="1" si="0"/>
        <v>20</v>
      </c>
      <c r="O1" s="2">
        <f t="shared" ca="1" si="0"/>
        <v>16</v>
      </c>
      <c r="Q1" s="2">
        <f t="shared" ref="Q1:V1" ca="1" si="1">SUM(Q3:Q216)</f>
        <v>39</v>
      </c>
      <c r="R1" s="2">
        <f t="shared" ca="1" si="1"/>
        <v>24</v>
      </c>
      <c r="S1" s="2">
        <f t="shared" ca="1" si="1"/>
        <v>30</v>
      </c>
      <c r="T1" s="2">
        <f t="shared" ca="1" si="1"/>
        <v>30</v>
      </c>
      <c r="U1" s="2">
        <f t="shared" ca="1" si="1"/>
        <v>20</v>
      </c>
      <c r="V1" s="2">
        <f t="shared" ca="1" si="1"/>
        <v>16</v>
      </c>
    </row>
    <row r="2" spans="1:31" s="4" customFormat="1" ht="99.75" customHeight="1" x14ac:dyDescent="0.25">
      <c r="A2" s="27" t="str" cm="1">
        <f t="array" ref="A2:A93">_xlfn.UNIQUE(_xlfn._xlws.FILTER(CLASSIFICATION[[#All],[CONC generalized keywords]],(ABS(IF(ISNUMBER(CLASSIFICATION[[#All],[Importance]]),CLASSIFICATION[[#All],[Importance]],0)) &gt; 3)*(LEFT(CLASSIFICATION[[#All],[Keyword Aggr]],1)&lt;&gt;"+")),FALSE,FALSE)</f>
        <v>Design,Workflow model,Custom Process Model</v>
      </c>
      <c r="C2" s="27" t="str">
        <f>'Platform review'!B1</f>
        <v>Project stage</v>
      </c>
      <c r="D2" s="27" t="str">
        <f>'Platform review'!C1</f>
        <v>Project tasks</v>
      </c>
      <c r="E2" s="27" t="str">
        <f>'Platform review'!E1</f>
        <v>Keywords</v>
      </c>
      <c r="F2" s="35" t="s">
        <v>406</v>
      </c>
      <c r="G2" s="30" t="str">
        <f>C2</f>
        <v>Project stage</v>
      </c>
      <c r="H2" s="30" t="str">
        <f t="shared" ref="H2:I17" si="2">D2</f>
        <v>Project tasks</v>
      </c>
      <c r="I2" s="30" t="str">
        <f t="shared" si="2"/>
        <v>Keywords</v>
      </c>
      <c r="J2" s="31" t="str">
        <f>'Platform review'!$A$2</f>
        <v>Mendix</v>
      </c>
      <c r="K2" s="31" t="str">
        <f>'Platform review'!$A$23</f>
        <v>Outsystems</v>
      </c>
      <c r="L2" s="31" t="str">
        <f>'Platform review'!$A$44</f>
        <v>Zoho Creator</v>
      </c>
      <c r="M2" s="31" t="str">
        <f>'Platform review'!$A$65</f>
        <v>MS Power App</v>
      </c>
      <c r="N2" s="31" t="str">
        <f>'Platform review'!$A$86</f>
        <v>Google AppSheet</v>
      </c>
      <c r="O2" s="31" t="str">
        <f>'Platform review'!$A$107</f>
        <v>Aurea</v>
      </c>
      <c r="Q2" s="31" t="str">
        <f>'Platform review'!$A$2</f>
        <v>Mendix</v>
      </c>
      <c r="R2" s="31" t="str">
        <f>'Platform review'!$A$23</f>
        <v>Outsystems</v>
      </c>
      <c r="S2" s="31" t="str">
        <f>'Platform review'!$A$44</f>
        <v>Zoho Creator</v>
      </c>
      <c r="T2" s="31" t="str">
        <f>'Platform review'!$A$65</f>
        <v>MS Power App</v>
      </c>
      <c r="U2" s="31" t="str">
        <f>'Platform review'!$A$86</f>
        <v>Google AppSheet</v>
      </c>
      <c r="V2" s="31" t="str">
        <f>'Platform review'!$A$107</f>
        <v>Aurea</v>
      </c>
      <c r="Z2" s="31" t="str">
        <f>'Platform review'!$A$2</f>
        <v>Mendix</v>
      </c>
      <c r="AA2" s="31" t="str">
        <f>'Platform review'!$A$23</f>
        <v>Outsystems</v>
      </c>
      <c r="AB2" s="31" t="str">
        <f>'Platform review'!$A$44</f>
        <v>Zoho Creator</v>
      </c>
      <c r="AC2" s="31" t="str">
        <f>'Platform review'!$A$65</f>
        <v>MS Power App</v>
      </c>
      <c r="AD2" s="31" t="str">
        <f>'Platform review'!$A$86</f>
        <v>Google AppSheet</v>
      </c>
      <c r="AE2" s="31" t="str">
        <f>'Platform review'!$A$107</f>
        <v>Aurea</v>
      </c>
    </row>
    <row r="3" spans="1:31" x14ac:dyDescent="0.25">
      <c r="A3" s="19" t="str">
        <v>Design,Database model,IT Data Types</v>
      </c>
      <c r="B3" t="s">
        <v>377</v>
      </c>
      <c r="C3" s="19" t="str" cm="1">
        <f t="array" ref="C3:E3">IF(_xlfn.CHOOSECOLS(_xlfn.TEXTSPLIT(A3,","), 1)&lt;&gt;_xlfn.CHOOSECOLS(_xlfn.TEXTSPLIT(A2,","), 1),_xlfn.TEXTSPLIT(A3,","),"")</f>
        <v/>
      </c>
      <c r="D3" s="19" t="str">
        <v/>
      </c>
      <c r="E3" s="19" t="str">
        <v/>
      </c>
      <c r="F3" s="36" t="e" cm="1" vm="1">
        <f t="array" ref="F3">_xlfn.TEXTJOIN(",",TRUE,_xlfn._xlws.FILTER(CLASSIFICATION[Keyword], ($E3=CLASSIFICATION[Keyword Aggr])*($D3=CLASSIFICATION[Functional Scope Aggr])))</f>
        <v>#VALUE!</v>
      </c>
      <c r="G3" s="32" t="str">
        <f>IF(C3&lt;&gt;C2,C3,"")</f>
        <v/>
      </c>
      <c r="H3" s="32" t="str">
        <f>IF(D3&lt;&gt;D2,D3,"")</f>
        <v/>
      </c>
      <c r="I3" s="32" t="str">
        <f t="shared" si="2"/>
        <v/>
      </c>
      <c r="J3" s="33" t="str" cm="1">
        <f t="array" aca="1" ref="J3" ca="1">_xlfn.LET(
_xlpm._platform_range, INDIRECT("'Platform review'!$C"&amp;_xlfn.XMATCH(J$2,'Platform review'!$A$1:$A$127)&amp;":$E"&amp;_xlfn.XMATCH(J$2,'Platform review'!$A$1:$A$127)+19),
_xlpm._original_keywords, _xlfn._xlws.FILTER(CLASSIFICATION[[Keyword]:[Keyword]], ($E3=CLASSIFICATION[[Keyword Aggr]:[Keyword Aggr]])*($D3=CLASSIFICATION[[Functional Scope Aggr]:[Functional Scope Aggr]])),
_xlpm._platform_keywords, _xlfn.TEXTSPLIT(SUBSTITUTE(SUBSTITUTE(VLOOKUP($D3,_xlpm._platform_range,3,FALSE),"+"&amp;CHAR(34),"+"),CHAR(34),""),", "),
_xlpm._exists, SUMPRODUCT(--ISNUMBER(MATCH(_xlpm._platform_keywords,_xlpm._original_keywords,0)))&gt;0,
_xlfn.IFS(AND(_xlpm._exists,LEFT($E3,1)="+"),"+",_xlpm._exists,"*",NOT(_xlpm._exists),"")
)</f>
        <v/>
      </c>
      <c r="K3" s="33" t="str" cm="1">
        <f t="array" aca="1" ref="K3" ca="1">_xlfn.LET(
_xlpm._platform_range, INDIRECT("'Platform review'!$C"&amp;_xlfn.XMATCH(K$2,'Platform review'!$A$1:$A$127)&amp;":$E"&amp;_xlfn.XMATCH(K$2,'Platform review'!$A$1:$A$127)+19),
_xlpm._original_keywords, _xlfn._xlws.FILTER(CLASSIFICATION[[Keyword]:[Keyword]], ($E3=CLASSIFICATION[[Keyword Aggr]:[Keyword Aggr]])*($D3=CLASSIFICATION[[Functional Scope Aggr]:[Functional Scope Aggr]])),
_xlpm._platform_keywords, _xlfn.TEXTSPLIT(SUBSTITUTE(SUBSTITUTE(VLOOKUP($D3,_xlpm._platform_range,3,FALSE),"+"&amp;CHAR(34),"+"),CHAR(34),""),", "),
_xlpm._exists, SUMPRODUCT(--ISNUMBER(MATCH(_xlpm._platform_keywords,_xlpm._original_keywords,0)))&gt;0,
_xlfn.IFS(AND(_xlpm._exists,LEFT($E3,1)="+"),"+",_xlpm._exists,"*",NOT(_xlpm._exists),"")
)</f>
        <v/>
      </c>
      <c r="L3" s="33" t="str" cm="1">
        <f t="array" aca="1" ref="L3" ca="1">_xlfn.LET(
_xlpm._platform_range, INDIRECT("'Platform review'!$C"&amp;_xlfn.XMATCH(L$2,'Platform review'!$A$1:$A$127)&amp;":$E"&amp;_xlfn.XMATCH(L$2,'Platform review'!$A$1:$A$127)+19),
_xlpm._original_keywords, _xlfn._xlws.FILTER(CLASSIFICATION[[Keyword]:[Keyword]], ($E3=CLASSIFICATION[[Keyword Aggr]:[Keyword Aggr]])*($D3=CLASSIFICATION[[Functional Scope Aggr]:[Functional Scope Aggr]])),
_xlpm._platform_keywords, _xlfn.TEXTSPLIT(SUBSTITUTE(SUBSTITUTE(VLOOKUP($D3,_xlpm._platform_range,3,FALSE),"+"&amp;CHAR(34),"+"),CHAR(34),""),", "),
_xlpm._exists, SUMPRODUCT(--ISNUMBER(MATCH(_xlpm._platform_keywords,_xlpm._original_keywords,0)))&gt;0,
_xlfn.IFS(AND(_xlpm._exists,LEFT($E3,1)="+"),"+",_xlpm._exists,"*",NOT(_xlpm._exists),"")
)</f>
        <v/>
      </c>
      <c r="M3" s="33" t="str" cm="1">
        <f t="array" aca="1" ref="M3" ca="1">_xlfn.LET(
_xlpm._platform_range, INDIRECT("'Platform review'!$C"&amp;_xlfn.XMATCH(M$2,'Platform review'!$A$1:$A$127)&amp;":$E"&amp;_xlfn.XMATCH(M$2,'Platform review'!$A$1:$A$127)+19),
_xlpm._original_keywords, _xlfn._xlws.FILTER(CLASSIFICATION[[Keyword]:[Keyword]], ($E3=CLASSIFICATION[[Keyword Aggr]:[Keyword Aggr]])*($D3=CLASSIFICATION[[Functional Scope Aggr]:[Functional Scope Aggr]])),
_xlpm._platform_keywords, _xlfn.TEXTSPLIT(SUBSTITUTE(SUBSTITUTE(VLOOKUP($D3,_xlpm._platform_range,3,FALSE),"+"&amp;CHAR(34),"+"),CHAR(34),""),", "),
_xlpm._exists, SUMPRODUCT(--ISNUMBER(MATCH(_xlpm._platform_keywords,_xlpm._original_keywords,0)))&gt;0,
_xlfn.IFS(AND(_xlpm._exists,LEFT($E3,1)="+"),"+",_xlpm._exists,"*",NOT(_xlpm._exists),"")
)</f>
        <v/>
      </c>
      <c r="N3" s="33" t="str" cm="1">
        <f t="array" aca="1" ref="N3" ca="1">_xlfn.LET(
_xlpm._platform_range, INDIRECT("'Platform review'!$C"&amp;_xlfn.XMATCH(N$2,'Platform review'!$A$1:$A$127)&amp;":$E"&amp;_xlfn.XMATCH(N$2,'Platform review'!$A$1:$A$127)+19),
_xlpm._original_keywords, _xlfn._xlws.FILTER(CLASSIFICATION[[Keyword]:[Keyword]], ($E3=CLASSIFICATION[[Keyword Aggr]:[Keyword Aggr]])*($D3=CLASSIFICATION[[Functional Scope Aggr]:[Functional Scope Aggr]])),
_xlpm._platform_keywords, _xlfn.TEXTSPLIT(SUBSTITUTE(SUBSTITUTE(VLOOKUP($D3,_xlpm._platform_range,3,FALSE),"+"&amp;CHAR(34),"+"),CHAR(34),""),", "),
_xlpm._exists, SUMPRODUCT(--ISNUMBER(MATCH(_xlpm._platform_keywords,_xlpm._original_keywords,0)))&gt;0,
_xlfn.IFS(AND(_xlpm._exists,LEFT($E3,1)="+"),"+",_xlpm._exists,"*",NOT(_xlpm._exists),"")
)</f>
        <v/>
      </c>
      <c r="O3" s="33" t="str" cm="1">
        <f t="array" aca="1" ref="O3" ca="1">_xlfn.LET(
_xlpm._platform_range, INDIRECT("'Platform review'!$C"&amp;_xlfn.XMATCH(O$2,'Platform review'!$A$1:$A$127)&amp;":$E"&amp;_xlfn.XMATCH(O$2,'Platform review'!$A$1:$A$127)+19),
_xlpm._original_keywords, _xlfn._xlws.FILTER(CLASSIFICATION[[Keyword]:[Keyword]], ($E3=CLASSIFICATION[[Keyword Aggr]:[Keyword Aggr]])*($D3=CLASSIFICATION[[Functional Scope Aggr]:[Functional Scope Aggr]])),
_xlpm._platform_keywords, _xlfn.TEXTSPLIT(SUBSTITUTE(SUBSTITUTE(VLOOKUP($D3,_xlpm._platform_range,3,FALSE),"+"&amp;CHAR(34),"+"),CHAR(34),""),", "),
_xlpm._exists, SUMPRODUCT(--ISNUMBER(MATCH(_xlpm._platform_keywords,_xlpm._original_keywords,0)))&gt;0,
_xlfn.IFS(AND(_xlpm._exists,LEFT($E3,1)="+"),"+",_xlpm._exists,"*",NOT(_xlpm._exists),"")
)</f>
        <v/>
      </c>
      <c r="Q3" s="33" t="str">
        <f t="shared" ref="Q3:V5" si="3">IF($H3&lt;&gt;"",COUNTIFS(J$3:J$500,"~*",$D$3:$D$500,$H3),"")</f>
        <v/>
      </c>
      <c r="R3" s="33" t="str">
        <f t="shared" si="3"/>
        <v/>
      </c>
      <c r="S3" s="33" t="str">
        <f t="shared" si="3"/>
        <v/>
      </c>
      <c r="T3" s="33" t="str">
        <f t="shared" si="3"/>
        <v/>
      </c>
      <c r="U3" s="33" t="str">
        <f t="shared" si="3"/>
        <v/>
      </c>
      <c r="V3" s="33" t="str">
        <f t="shared" si="3"/>
        <v/>
      </c>
      <c r="X3" s="33" t="str">
        <f>_xlfn.XLOOKUP(Y3,H2:H216,G2:G216)</f>
        <v>Design</v>
      </c>
      <c r="Y3" s="32" t="str" cm="1">
        <f t="array" ref="Y3:Y19">_xlfn._xlws.FILTER($H3:$H216,$H3:$H216&lt;&gt;"")</f>
        <v>Database model</v>
      </c>
      <c r="Z3" s="32" cm="1">
        <f t="array" aca="1" ref="Z3:Z19" ca="1">_xlfn._xlws.FILTER(Q3:Q216,Q3:Q216&lt;&gt;"")</f>
        <v>3</v>
      </c>
      <c r="AA3" s="32" cm="1">
        <f t="array" aca="1" ref="AA3:AA19" ca="1">_xlfn._xlws.FILTER(R3:R216,R3:R216&lt;&gt;"")</f>
        <v>2</v>
      </c>
      <c r="AB3" s="32" cm="1">
        <f t="array" aca="1" ref="AB3:AB19" ca="1">_xlfn._xlws.FILTER(S3:S216,S3:S216&lt;&gt;"")</f>
        <v>2</v>
      </c>
      <c r="AC3" s="32" cm="1">
        <f t="array" aca="1" ref="AC3:AC19" ca="1">_xlfn._xlws.FILTER(T3:T216,T3:T216&lt;&gt;"")</f>
        <v>2</v>
      </c>
      <c r="AD3" s="32" cm="1">
        <f t="array" aca="1" ref="AD3:AD19" ca="1">_xlfn._xlws.FILTER(U3:U216,U3:U216&lt;&gt;"")</f>
        <v>1</v>
      </c>
      <c r="AE3" s="32" cm="1">
        <f t="array" aca="1" ref="AE3:AE19" ca="1">_xlfn._xlws.FILTER(V3:V216,V3:V216&lt;&gt;"")</f>
        <v>1</v>
      </c>
    </row>
    <row r="4" spans="1:31" x14ac:dyDescent="0.25">
      <c r="A4" s="19" t="str">
        <v>Design,Database model,Entity Diagrams</v>
      </c>
      <c r="B4" t="s">
        <v>377</v>
      </c>
      <c r="C4" s="19" t="str" cm="1">
        <f t="array" ref="C4:E4">_xlfn.TEXTSPLIT(A4,",")</f>
        <v>Design</v>
      </c>
      <c r="D4" s="19" t="str">
        <v>Database model</v>
      </c>
      <c r="E4" s="19" t="str">
        <v>Entity Diagrams</v>
      </c>
      <c r="F4" s="36" t="str" cm="1">
        <f t="array" ref="F4">_xlfn.TEXTJOIN(",",TRUE,_xlfn._xlws.FILTER(CLASSIFICATION[Keyword], ($E4=CLASSIFICATION[Keyword Aggr])*($D4=CLASSIFICATION[Functional Scope Aggr])))</f>
        <v>Entity Diagrams,Entity relationships</v>
      </c>
      <c r="G4" s="32" t="str">
        <f t="shared" ref="G4:H67" si="4">IF(C4&lt;&gt;C3,C4,"")</f>
        <v>Design</v>
      </c>
      <c r="H4" s="32" t="str">
        <f t="shared" si="4"/>
        <v>Database model</v>
      </c>
      <c r="I4" s="32" t="str">
        <f t="shared" si="2"/>
        <v>Entity Diagrams</v>
      </c>
      <c r="J4" s="33" t="str" cm="1">
        <f t="array" aca="1" ref="J4" ca="1">_xlfn.LET(
_xlpm._platform_range, INDIRECT("'Platform review'!$C"&amp;_xlfn.XMATCH(J$2,'Platform review'!$A$1:$A$127)&amp;":$E"&amp;_xlfn.XMATCH(J$2,'Platform review'!$A$1:$A$127)+19),
_xlpm._original_keywords, _xlfn._xlws.FILTER(CLASSIFICATION[[Keyword]:[Keyword]], ($E4=CLASSIFICATION[[Keyword Aggr]:[Keyword Aggr]])*($D4=CLASSIFICATION[[Functional Scope Aggr]:[Functional Scope Aggr]])),
_xlpm._platform_keywords, _xlfn.TEXTSPLIT(SUBSTITUTE(SUBSTITUTE(VLOOKUP($D4,_xlpm._platform_range,3,FALSE),"+"&amp;CHAR(34),"+"),CHAR(34),""),", "),
_xlpm._exists, SUMPRODUCT(--ISNUMBER(MATCH(_xlpm._platform_keywords,_xlpm._original_keywords,0)))&gt;0,
_xlfn.IFS(AND(_xlpm._exists,LEFT($E4,1)="+"),"+",_xlpm._exists,"*",NOT(_xlpm._exists),"")
)</f>
        <v>*</v>
      </c>
      <c r="K4" s="33" t="str" cm="1">
        <f t="array" aca="1" ref="K4" ca="1">_xlfn.LET(
_xlpm._platform_range, INDIRECT("'Platform review'!$C"&amp;_xlfn.XMATCH(K$2,'Platform review'!$A$1:$A$127)&amp;":$E"&amp;_xlfn.XMATCH(K$2,'Platform review'!$A$1:$A$127)+19),
_xlpm._original_keywords, _xlfn._xlws.FILTER(CLASSIFICATION[[Keyword]:[Keyword]], ($E4=CLASSIFICATION[[Keyword Aggr]:[Keyword Aggr]])*($D4=CLASSIFICATION[[Functional Scope Aggr]:[Functional Scope Aggr]])),
_xlpm._platform_keywords, _xlfn.TEXTSPLIT(SUBSTITUTE(SUBSTITUTE(VLOOKUP($D4,_xlpm._platform_range,3,FALSE),"+"&amp;CHAR(34),"+"),CHAR(34),""),", "),
_xlpm._exists, SUMPRODUCT(--ISNUMBER(MATCH(_xlpm._platform_keywords,_xlpm._original_keywords,0)))&gt;0,
_xlfn.IFS(AND(_xlpm._exists,LEFT($E4,1)="+"),"+",_xlpm._exists,"*",NOT(_xlpm._exists),"")
)</f>
        <v>*</v>
      </c>
      <c r="L4" s="33" t="str" cm="1">
        <f t="array" aca="1" ref="L4" ca="1">_xlfn.LET(
_xlpm._platform_range, INDIRECT("'Platform review'!$C"&amp;_xlfn.XMATCH(L$2,'Platform review'!$A$1:$A$127)&amp;":$E"&amp;_xlfn.XMATCH(L$2,'Platform review'!$A$1:$A$127)+19),
_xlpm._original_keywords, _xlfn._xlws.FILTER(CLASSIFICATION[[Keyword]:[Keyword]], ($E4=CLASSIFICATION[[Keyword Aggr]:[Keyword Aggr]])*($D4=CLASSIFICATION[[Functional Scope Aggr]:[Functional Scope Aggr]])),
_xlpm._platform_keywords, _xlfn.TEXTSPLIT(SUBSTITUTE(SUBSTITUTE(VLOOKUP($D4,_xlpm._platform_range,3,FALSE),"+"&amp;CHAR(34),"+"),CHAR(34),""),", "),
_xlpm._exists, SUMPRODUCT(--ISNUMBER(MATCH(_xlpm._platform_keywords,_xlpm._original_keywords,0)))&gt;0,
_xlfn.IFS(AND(_xlpm._exists,LEFT($E4,1)="+"),"+",_xlpm._exists,"*",NOT(_xlpm._exists),"")
)</f>
        <v>*</v>
      </c>
      <c r="M4" s="33" t="str" cm="1">
        <f t="array" aca="1" ref="M4" ca="1">_xlfn.LET(
_xlpm._platform_range, INDIRECT("'Platform review'!$C"&amp;_xlfn.XMATCH(M$2,'Platform review'!$A$1:$A$127)&amp;":$E"&amp;_xlfn.XMATCH(M$2,'Platform review'!$A$1:$A$127)+19),
_xlpm._original_keywords, _xlfn._xlws.FILTER(CLASSIFICATION[[Keyword]:[Keyword]], ($E4=CLASSIFICATION[[Keyword Aggr]:[Keyword Aggr]])*($D4=CLASSIFICATION[[Functional Scope Aggr]:[Functional Scope Aggr]])),
_xlpm._platform_keywords, _xlfn.TEXTSPLIT(SUBSTITUTE(SUBSTITUTE(VLOOKUP($D4,_xlpm._platform_range,3,FALSE),"+"&amp;CHAR(34),"+"),CHAR(34),""),", "),
_xlpm._exists, SUMPRODUCT(--ISNUMBER(MATCH(_xlpm._platform_keywords,_xlpm._original_keywords,0)))&gt;0,
_xlfn.IFS(AND(_xlpm._exists,LEFT($E4,1)="+"),"+",_xlpm._exists,"*",NOT(_xlpm._exists),"")
)</f>
        <v>*</v>
      </c>
      <c r="N4" s="33" t="str" cm="1">
        <f t="array" aca="1" ref="N4" ca="1">_xlfn.LET(
_xlpm._platform_range, INDIRECT("'Platform review'!$C"&amp;_xlfn.XMATCH(N$2,'Platform review'!$A$1:$A$127)&amp;":$E"&amp;_xlfn.XMATCH(N$2,'Platform review'!$A$1:$A$127)+19),
_xlpm._original_keywords, _xlfn._xlws.FILTER(CLASSIFICATION[[Keyword]:[Keyword]], ($E4=CLASSIFICATION[[Keyword Aggr]:[Keyword Aggr]])*($D4=CLASSIFICATION[[Functional Scope Aggr]:[Functional Scope Aggr]])),
_xlpm._platform_keywords, _xlfn.TEXTSPLIT(SUBSTITUTE(SUBSTITUTE(VLOOKUP($D4,_xlpm._platform_range,3,FALSE),"+"&amp;CHAR(34),"+"),CHAR(34),""),", "),
_xlpm._exists, SUMPRODUCT(--ISNUMBER(MATCH(_xlpm._platform_keywords,_xlpm._original_keywords,0)))&gt;0,
_xlfn.IFS(AND(_xlpm._exists,LEFT($E4,1)="+"),"+",_xlpm._exists,"*",NOT(_xlpm._exists),"")
)</f>
        <v>*</v>
      </c>
      <c r="O4" s="33" t="str" cm="1">
        <f t="array" aca="1" ref="O4" ca="1">_xlfn.LET(
_xlpm._platform_range, INDIRECT("'Platform review'!$C"&amp;_xlfn.XMATCH(O$2,'Platform review'!$A$1:$A$127)&amp;":$E"&amp;_xlfn.XMATCH(O$2,'Platform review'!$A$1:$A$127)+19),
_xlpm._original_keywords, _xlfn._xlws.FILTER(CLASSIFICATION[[Keyword]:[Keyword]], ($E4=CLASSIFICATION[[Keyword Aggr]:[Keyword Aggr]])*($D4=CLASSIFICATION[[Functional Scope Aggr]:[Functional Scope Aggr]])),
_xlpm._platform_keywords, _xlfn.TEXTSPLIT(SUBSTITUTE(SUBSTITUTE(VLOOKUP($D4,_xlpm._platform_range,3,FALSE),"+"&amp;CHAR(34),"+"),CHAR(34),""),", "),
_xlpm._exists, SUMPRODUCT(--ISNUMBER(MATCH(_xlpm._platform_keywords,_xlpm._original_keywords,0)))&gt;0,
_xlfn.IFS(AND(_xlpm._exists,LEFT($E4,1)="+"),"+",_xlpm._exists,"*",NOT(_xlpm._exists),"")
)</f>
        <v/>
      </c>
      <c r="Q4" s="33">
        <f t="shared" ca="1" si="3"/>
        <v>3</v>
      </c>
      <c r="R4" s="33">
        <f t="shared" ca="1" si="3"/>
        <v>2</v>
      </c>
      <c r="S4" s="33">
        <f t="shared" ca="1" si="3"/>
        <v>2</v>
      </c>
      <c r="T4" s="33">
        <f t="shared" ca="1" si="3"/>
        <v>2</v>
      </c>
      <c r="U4" s="33">
        <f t="shared" ca="1" si="3"/>
        <v>1</v>
      </c>
      <c r="V4" s="33">
        <f t="shared" ca="1" si="3"/>
        <v>1</v>
      </c>
      <c r="X4" s="33" t="str">
        <f t="shared" ref="X4:X19" si="5">_xlfn.SINGLE(_xlfn.XLOOKUP(Y4,H3:H217,G3:G217))</f>
        <v/>
      </c>
      <c r="Y4" s="32" t="str">
        <v>UI model</v>
      </c>
      <c r="Z4" s="32">
        <f ca="1"/>
        <v>2</v>
      </c>
      <c r="AA4" s="32">
        <f ca="1"/>
        <v>1</v>
      </c>
      <c r="AB4" s="32">
        <f ca="1"/>
        <v>1</v>
      </c>
      <c r="AC4" s="32">
        <f ca="1"/>
        <v>1</v>
      </c>
      <c r="AD4" s="32">
        <f ca="1"/>
        <v>0</v>
      </c>
      <c r="AE4" s="32">
        <f ca="1"/>
        <v>1</v>
      </c>
    </row>
    <row r="5" spans="1:31" x14ac:dyDescent="0.25">
      <c r="A5" s="19" t="str">
        <v>Design,Database model,Relational Database</v>
      </c>
      <c r="B5" t="s">
        <v>377</v>
      </c>
      <c r="C5" s="19" t="str" cm="1">
        <f t="array" ref="C5:E5">_xlfn.TEXTSPLIT(A5,",")</f>
        <v>Design</v>
      </c>
      <c r="D5" s="19" t="str">
        <v>Database model</v>
      </c>
      <c r="E5" s="19" t="str">
        <v>Relational Database</v>
      </c>
      <c r="F5" s="36" t="str" cm="1">
        <f t="array" ref="F5">_xlfn.TEXTJOIN(",",TRUE,_xlfn._xlws.FILTER(CLASSIFICATION[Keyword], ($E5=CLASSIFICATION[Keyword Aggr])*($D5=CLASSIFICATION[Functional Scope Aggr])))</f>
        <v>Foreign Key,Indexes,Many-to-Many,One-to-Many,One-to-One,Primary Key</v>
      </c>
      <c r="G5" s="32" t="str">
        <f t="shared" si="4"/>
        <v/>
      </c>
      <c r="H5" s="32" t="str">
        <f t="shared" si="4"/>
        <v/>
      </c>
      <c r="I5" s="32" t="str">
        <f t="shared" si="2"/>
        <v>Relational Database</v>
      </c>
      <c r="J5" s="33" t="str" cm="1">
        <f t="array" aca="1" ref="J5" ca="1">_xlfn.LET(
_xlpm._platform_range, INDIRECT("'Platform review'!$C"&amp;_xlfn.XMATCH(J$2,'Platform review'!$A$1:$A$127)&amp;":$E"&amp;_xlfn.XMATCH(J$2,'Platform review'!$A$1:$A$127)+19),
_xlpm._original_keywords, _xlfn._xlws.FILTER(CLASSIFICATION[[Keyword]:[Keyword]], ($E5=CLASSIFICATION[[Keyword Aggr]:[Keyword Aggr]])*($D5=CLASSIFICATION[[Functional Scope Aggr]:[Functional Scope Aggr]])),
_xlpm._platform_keywords, _xlfn.TEXTSPLIT(SUBSTITUTE(SUBSTITUTE(VLOOKUP($D5,_xlpm._platform_range,3,FALSE),"+"&amp;CHAR(34),"+"),CHAR(34),""),", "),
_xlpm._exists, SUMPRODUCT(--ISNUMBER(MATCH(_xlpm._platform_keywords,_xlpm._original_keywords,0)))&gt;0,
_xlfn.IFS(AND(_xlpm._exists,LEFT($E5,1)="+"),"+",_xlpm._exists,"*",NOT(_xlpm._exists),"")
)</f>
        <v>*</v>
      </c>
      <c r="K5" s="33" t="str" cm="1">
        <f t="array" aca="1" ref="K5" ca="1">_xlfn.LET(
_xlpm._platform_range, INDIRECT("'Platform review'!$C"&amp;_xlfn.XMATCH(K$2,'Platform review'!$A$1:$A$127)&amp;":$E"&amp;_xlfn.XMATCH(K$2,'Platform review'!$A$1:$A$127)+19),
_xlpm._original_keywords, _xlfn._xlws.FILTER(CLASSIFICATION[[Keyword]:[Keyword]], ($E5=CLASSIFICATION[[Keyword Aggr]:[Keyword Aggr]])*($D5=CLASSIFICATION[[Functional Scope Aggr]:[Functional Scope Aggr]])),
_xlpm._platform_keywords, _xlfn.TEXTSPLIT(SUBSTITUTE(SUBSTITUTE(VLOOKUP($D5,_xlpm._platform_range,3,FALSE),"+"&amp;CHAR(34),"+"),CHAR(34),""),", "),
_xlpm._exists, SUMPRODUCT(--ISNUMBER(MATCH(_xlpm._platform_keywords,_xlpm._original_keywords,0)))&gt;0,
_xlfn.IFS(AND(_xlpm._exists,LEFT($E5,1)="+"),"+",_xlpm._exists,"*",NOT(_xlpm._exists),"")
)</f>
        <v>*</v>
      </c>
      <c r="L5" s="33" t="str" cm="1">
        <f t="array" aca="1" ref="L5" ca="1">_xlfn.LET(
_xlpm._platform_range, INDIRECT("'Platform review'!$C"&amp;_xlfn.XMATCH(L$2,'Platform review'!$A$1:$A$127)&amp;":$E"&amp;_xlfn.XMATCH(L$2,'Platform review'!$A$1:$A$127)+19),
_xlpm._original_keywords, _xlfn._xlws.FILTER(CLASSIFICATION[[Keyword]:[Keyword]], ($E5=CLASSIFICATION[[Keyword Aggr]:[Keyword Aggr]])*($D5=CLASSIFICATION[[Functional Scope Aggr]:[Functional Scope Aggr]])),
_xlpm._platform_keywords, _xlfn.TEXTSPLIT(SUBSTITUTE(SUBSTITUTE(VLOOKUP($D5,_xlpm._platform_range,3,FALSE),"+"&amp;CHAR(34),"+"),CHAR(34),""),", "),
_xlpm._exists, SUMPRODUCT(--ISNUMBER(MATCH(_xlpm._platform_keywords,_xlpm._original_keywords,0)))&gt;0,
_xlfn.IFS(AND(_xlpm._exists,LEFT($E5,1)="+"),"+",_xlpm._exists,"*",NOT(_xlpm._exists),"")
)</f>
        <v>*</v>
      </c>
      <c r="M5" s="33" t="str" cm="1">
        <f t="array" aca="1" ref="M5" ca="1">_xlfn.LET(
_xlpm._platform_range, INDIRECT("'Platform review'!$C"&amp;_xlfn.XMATCH(M$2,'Platform review'!$A$1:$A$127)&amp;":$E"&amp;_xlfn.XMATCH(M$2,'Platform review'!$A$1:$A$127)+19),
_xlpm._original_keywords, _xlfn._xlws.FILTER(CLASSIFICATION[[Keyword]:[Keyword]], ($E5=CLASSIFICATION[[Keyword Aggr]:[Keyword Aggr]])*($D5=CLASSIFICATION[[Functional Scope Aggr]:[Functional Scope Aggr]])),
_xlpm._platform_keywords, _xlfn.TEXTSPLIT(SUBSTITUTE(SUBSTITUTE(VLOOKUP($D5,_xlpm._platform_range,3,FALSE),"+"&amp;CHAR(34),"+"),CHAR(34),""),", "),
_xlpm._exists, SUMPRODUCT(--ISNUMBER(MATCH(_xlpm._platform_keywords,_xlpm._original_keywords,0)))&gt;0,
_xlfn.IFS(AND(_xlpm._exists,LEFT($E5,1)="+"),"+",_xlpm._exists,"*",NOT(_xlpm._exists),"")
)</f>
        <v>*</v>
      </c>
      <c r="N5" s="33" t="str" cm="1">
        <f t="array" aca="1" ref="N5" ca="1">_xlfn.LET(
_xlpm._platform_range, INDIRECT("'Platform review'!$C"&amp;_xlfn.XMATCH(N$2,'Platform review'!$A$1:$A$127)&amp;":$E"&amp;_xlfn.XMATCH(N$2,'Platform review'!$A$1:$A$127)+19),
_xlpm._original_keywords, _xlfn._xlws.FILTER(CLASSIFICATION[[Keyword]:[Keyword]], ($E5=CLASSIFICATION[[Keyword Aggr]:[Keyword Aggr]])*($D5=CLASSIFICATION[[Functional Scope Aggr]:[Functional Scope Aggr]])),
_xlpm._platform_keywords, _xlfn.TEXTSPLIT(SUBSTITUTE(SUBSTITUTE(VLOOKUP($D5,_xlpm._platform_range,3,FALSE),"+"&amp;CHAR(34),"+"),CHAR(34),""),", "),
_xlpm._exists, SUMPRODUCT(--ISNUMBER(MATCH(_xlpm._platform_keywords,_xlpm._original_keywords,0)))&gt;0,
_xlfn.IFS(AND(_xlpm._exists,LEFT($E5,1)="+"),"+",_xlpm._exists,"*",NOT(_xlpm._exists),"")
)</f>
        <v/>
      </c>
      <c r="O5" s="33" t="str" cm="1">
        <f t="array" aca="1" ref="O5" ca="1">_xlfn.LET(
_xlpm._platform_range, INDIRECT("'Platform review'!$C"&amp;_xlfn.XMATCH(O$2,'Platform review'!$A$1:$A$127)&amp;":$E"&amp;_xlfn.XMATCH(O$2,'Platform review'!$A$1:$A$127)+19),
_xlpm._original_keywords, _xlfn._xlws.FILTER(CLASSIFICATION[[Keyword]:[Keyword]], ($E5=CLASSIFICATION[[Keyword Aggr]:[Keyword Aggr]])*($D5=CLASSIFICATION[[Functional Scope Aggr]:[Functional Scope Aggr]])),
_xlpm._platform_keywords, _xlfn.TEXTSPLIT(SUBSTITUTE(SUBSTITUTE(VLOOKUP($D5,_xlpm._platform_range,3,FALSE),"+"&amp;CHAR(34),"+"),CHAR(34),""),", "),
_xlpm._exists, SUMPRODUCT(--ISNUMBER(MATCH(_xlpm._platform_keywords,_xlpm._original_keywords,0)))&gt;0,
_xlfn.IFS(AND(_xlpm._exists,LEFT($E5,1)="+"),"+",_xlpm._exists,"*",NOT(_xlpm._exists),"")
)</f>
        <v/>
      </c>
      <c r="Q5" s="33" t="str">
        <f t="shared" si="3"/>
        <v/>
      </c>
      <c r="R5" s="33" t="str">
        <f t="shared" si="3"/>
        <v/>
      </c>
      <c r="S5" s="33" t="str">
        <f t="shared" si="3"/>
        <v/>
      </c>
      <c r="T5" s="33" t="str">
        <f t="shared" si="3"/>
        <v/>
      </c>
      <c r="U5" s="33" t="str">
        <f t="shared" si="3"/>
        <v/>
      </c>
      <c r="V5" s="33" t="str">
        <f t="shared" si="3"/>
        <v/>
      </c>
      <c r="X5" s="33" t="str">
        <f t="shared" si="5"/>
        <v/>
      </c>
      <c r="Y5" s="32" t="str">
        <v>Validations</v>
      </c>
      <c r="Z5" s="32">
        <f ca="1"/>
        <v>1</v>
      </c>
      <c r="AA5" s="32">
        <f ca="1"/>
        <v>0</v>
      </c>
      <c r="AB5" s="32">
        <f ca="1"/>
        <v>1</v>
      </c>
      <c r="AC5" s="32">
        <f ca="1"/>
        <v>0</v>
      </c>
      <c r="AD5" s="32">
        <f ca="1"/>
        <v>0</v>
      </c>
      <c r="AE5" s="32">
        <f ca="1"/>
        <v>1</v>
      </c>
    </row>
    <row r="6" spans="1:31" x14ac:dyDescent="0.25">
      <c r="A6" s="19" t="str">
        <v>Design,Database model,XML/XPath</v>
      </c>
      <c r="B6" t="s">
        <v>377</v>
      </c>
      <c r="C6" s="19" t="str" cm="1">
        <f t="array" ref="C6:E6">_xlfn.TEXTSPLIT(A6,",")</f>
        <v>Design</v>
      </c>
      <c r="D6" s="19" t="str">
        <v>Database model</v>
      </c>
      <c r="E6" s="19" t="str">
        <v>XML/XPath</v>
      </c>
      <c r="F6" s="36" t="str" cm="1">
        <f t="array" ref="F6">_xlfn.TEXTJOIN(",",TRUE,_xlfn._xlws.FILTER(CLASSIFICATION[Keyword], ($E6=CLASSIFICATION[Keyword Aggr])*($D6=CLASSIFICATION[Functional Scope Aggr])))</f>
        <v>XML,XPath,XML/Xpath</v>
      </c>
      <c r="G6" s="32" t="str">
        <f t="shared" si="4"/>
        <v/>
      </c>
      <c r="H6" s="32" t="str">
        <f t="shared" si="4"/>
        <v/>
      </c>
      <c r="I6" s="32" t="str">
        <f t="shared" si="2"/>
        <v>XML/XPath</v>
      </c>
      <c r="J6" s="33" t="str" cm="1">
        <f t="array" aca="1" ref="J6" ca="1">_xlfn.LET(
_xlpm._platform_range, INDIRECT("'Platform review'!$C"&amp;_xlfn.XMATCH(J$2,'Platform review'!$A$1:$A$127)&amp;":$E"&amp;_xlfn.XMATCH(J$2,'Platform review'!$A$1:$A$127)+19),
_xlpm._original_keywords, _xlfn._xlws.FILTER(CLASSIFICATION[[Keyword]:[Keyword]], ($E6=CLASSIFICATION[[Keyword Aggr]:[Keyword Aggr]])*($D6=CLASSIFICATION[[Functional Scope Aggr]:[Functional Scope Aggr]])),
_xlpm._platform_keywords, _xlfn.TEXTSPLIT(SUBSTITUTE(SUBSTITUTE(VLOOKUP($D6,_xlpm._platform_range,3,FALSE),"+"&amp;CHAR(34),"+"),CHAR(34),""),", "),
_xlpm._exists, SUMPRODUCT(--ISNUMBER(MATCH(_xlpm._platform_keywords,_xlpm._original_keywords,0)))&gt;0,
_xlfn.IFS(AND(_xlpm._exists,LEFT($E6,1)="+"),"+",_xlpm._exists,"*",NOT(_xlpm._exists),"")
)</f>
        <v>*</v>
      </c>
      <c r="K6" s="33" t="str" cm="1">
        <f t="array" aca="1" ref="K6" ca="1">_xlfn.LET(
_xlpm._platform_range, INDIRECT("'Platform review'!$C"&amp;_xlfn.XMATCH(K$2,'Platform review'!$A$1:$A$127)&amp;":$E"&amp;_xlfn.XMATCH(K$2,'Platform review'!$A$1:$A$127)+19),
_xlpm._original_keywords, _xlfn._xlws.FILTER(CLASSIFICATION[[Keyword]:[Keyword]], ($E6=CLASSIFICATION[[Keyword Aggr]:[Keyword Aggr]])*($D6=CLASSIFICATION[[Functional Scope Aggr]:[Functional Scope Aggr]])),
_xlpm._platform_keywords, _xlfn.TEXTSPLIT(SUBSTITUTE(SUBSTITUTE(VLOOKUP($D6,_xlpm._platform_range,3,FALSE),"+"&amp;CHAR(34),"+"),CHAR(34),""),", "),
_xlpm._exists, SUMPRODUCT(--ISNUMBER(MATCH(_xlpm._platform_keywords,_xlpm._original_keywords,0)))&gt;0,
_xlfn.IFS(AND(_xlpm._exists,LEFT($E6,1)="+"),"+",_xlpm._exists,"*",NOT(_xlpm._exists),"")
)</f>
        <v/>
      </c>
      <c r="L6" s="33" t="str" cm="1">
        <f t="array" aca="1" ref="L6" ca="1">_xlfn.LET(
_xlpm._platform_range, INDIRECT("'Platform review'!$C"&amp;_xlfn.XMATCH(L$2,'Platform review'!$A$1:$A$127)&amp;":$E"&amp;_xlfn.XMATCH(L$2,'Platform review'!$A$1:$A$127)+19),
_xlpm._original_keywords, _xlfn._xlws.FILTER(CLASSIFICATION[[Keyword]:[Keyword]], ($E6=CLASSIFICATION[[Keyword Aggr]:[Keyword Aggr]])*($D6=CLASSIFICATION[[Functional Scope Aggr]:[Functional Scope Aggr]])),
_xlpm._platform_keywords, _xlfn.TEXTSPLIT(SUBSTITUTE(SUBSTITUTE(VLOOKUP($D6,_xlpm._platform_range,3,FALSE),"+"&amp;CHAR(34),"+"),CHAR(34),""),", "),
_xlpm._exists, SUMPRODUCT(--ISNUMBER(MATCH(_xlpm._platform_keywords,_xlpm._original_keywords,0)))&gt;0,
_xlfn.IFS(AND(_xlpm._exists,LEFT($E6,1)="+"),"+",_xlpm._exists,"*",NOT(_xlpm._exists),"")
)</f>
        <v/>
      </c>
      <c r="M6" s="33" t="str" cm="1">
        <f t="array" aca="1" ref="M6" ca="1">_xlfn.LET(
_xlpm._platform_range, INDIRECT("'Platform review'!$C"&amp;_xlfn.XMATCH(M$2,'Platform review'!$A$1:$A$127)&amp;":$E"&amp;_xlfn.XMATCH(M$2,'Platform review'!$A$1:$A$127)+19),
_xlpm._original_keywords, _xlfn._xlws.FILTER(CLASSIFICATION[[Keyword]:[Keyword]], ($E6=CLASSIFICATION[[Keyword Aggr]:[Keyword Aggr]])*($D6=CLASSIFICATION[[Functional Scope Aggr]:[Functional Scope Aggr]])),
_xlpm._platform_keywords, _xlfn.TEXTSPLIT(SUBSTITUTE(SUBSTITUTE(VLOOKUP($D6,_xlpm._platform_range,3,FALSE),"+"&amp;CHAR(34),"+"),CHAR(34),""),", "),
_xlpm._exists, SUMPRODUCT(--ISNUMBER(MATCH(_xlpm._platform_keywords,_xlpm._original_keywords,0)))&gt;0,
_xlfn.IFS(AND(_xlpm._exists,LEFT($E6,1)="+"),"+",_xlpm._exists,"*",NOT(_xlpm._exists),"")
)</f>
        <v/>
      </c>
      <c r="N6" s="33" t="str" cm="1">
        <f t="array" aca="1" ref="N6" ca="1">_xlfn.LET(
_xlpm._platform_range, INDIRECT("'Platform review'!$C"&amp;_xlfn.XMATCH(N$2,'Platform review'!$A$1:$A$127)&amp;":$E"&amp;_xlfn.XMATCH(N$2,'Platform review'!$A$1:$A$127)+19),
_xlpm._original_keywords, _xlfn._xlws.FILTER(CLASSIFICATION[[Keyword]:[Keyword]], ($E6=CLASSIFICATION[[Keyword Aggr]:[Keyword Aggr]])*($D6=CLASSIFICATION[[Functional Scope Aggr]:[Functional Scope Aggr]])),
_xlpm._platform_keywords, _xlfn.TEXTSPLIT(SUBSTITUTE(SUBSTITUTE(VLOOKUP($D6,_xlpm._platform_range,3,FALSE),"+"&amp;CHAR(34),"+"),CHAR(34),""),", "),
_xlpm._exists, SUMPRODUCT(--ISNUMBER(MATCH(_xlpm._platform_keywords,_xlpm._original_keywords,0)))&gt;0,
_xlfn.IFS(AND(_xlpm._exists,LEFT($E6,1)="+"),"+",_xlpm._exists,"*",NOT(_xlpm._exists),"")
)</f>
        <v/>
      </c>
      <c r="O6" s="33" t="str" cm="1">
        <f t="array" aca="1" ref="O6" ca="1">_xlfn.LET(
_xlpm._platform_range, INDIRECT("'Platform review'!$C"&amp;_xlfn.XMATCH(O$2,'Platform review'!$A$1:$A$127)&amp;":$E"&amp;_xlfn.XMATCH(O$2,'Platform review'!$A$1:$A$127)+19),
_xlpm._original_keywords, _xlfn._xlws.FILTER(CLASSIFICATION[[Keyword]:[Keyword]], ($E6=CLASSIFICATION[[Keyword Aggr]:[Keyword Aggr]])*($D6=CLASSIFICATION[[Functional Scope Aggr]:[Functional Scope Aggr]])),
_xlpm._platform_keywords, _xlfn.TEXTSPLIT(SUBSTITUTE(SUBSTITUTE(VLOOKUP($D6,_xlpm._platform_range,3,FALSE),"+"&amp;CHAR(34),"+"),CHAR(34),""),", "),
_xlpm._exists, SUMPRODUCT(--ISNUMBER(MATCH(_xlpm._platform_keywords,_xlpm._original_keywords,0)))&gt;0,
_xlfn.IFS(AND(_xlpm._exists,LEFT($E6,1)="+"),"+",_xlpm._exists,"*",NOT(_xlpm._exists),"")
)</f>
        <v>*</v>
      </c>
      <c r="Q6" s="33" t="str">
        <f t="shared" ref="Q6:Q69" si="6">IF($H6&lt;&gt;"",COUNTIFS(J$3:J$500,"~*",$D$3:$D$500,$H6),"")</f>
        <v/>
      </c>
      <c r="R6" s="33" t="str">
        <f>IF($H6&lt;&gt;"",COUNTIFS(K$3:K$500,"~*",$D$3:$D$500,$H6),"")</f>
        <v/>
      </c>
      <c r="S6" s="33" t="str">
        <f>IF($H6&lt;&gt;"",COUNTIFS(L$3:L$500,"~*",$D$3:$D$500,$H6),"")</f>
        <v/>
      </c>
      <c r="T6" s="33" t="str">
        <f>IF($H6&lt;&gt;"",COUNTIFS(M$3:M$500,"~*",$D$3:$D$500,$H6),"")</f>
        <v/>
      </c>
      <c r="U6" s="33" t="str">
        <f>IF($H6&lt;&gt;"",COUNTIFS(N$3:N$500,"~*",$D$3:$D$500,$H6),"")</f>
        <v/>
      </c>
      <c r="V6" s="33" t="str">
        <f>IF($H6&lt;&gt;"",COUNTIFS(O$3:O$500,"~*",$D$3:$D$500,$H6),"")</f>
        <v/>
      </c>
      <c r="X6" s="33" t="str">
        <f t="shared" si="5"/>
        <v/>
      </c>
      <c r="Y6" s="32" t="str">
        <v>Application logic</v>
      </c>
      <c r="Z6" s="32">
        <f ca="1"/>
        <v>3</v>
      </c>
      <c r="AA6" s="32">
        <f ca="1"/>
        <v>1</v>
      </c>
      <c r="AB6" s="32">
        <f ca="1"/>
        <v>2</v>
      </c>
      <c r="AC6" s="32">
        <f ca="1"/>
        <v>1</v>
      </c>
      <c r="AD6" s="32">
        <f ca="1"/>
        <v>2</v>
      </c>
      <c r="AE6" s="32">
        <f ca="1"/>
        <v>3</v>
      </c>
    </row>
    <row r="7" spans="1:31" x14ac:dyDescent="0.25">
      <c r="A7" s="19" t="str">
        <v>Design,UI model,IT Data Types</v>
      </c>
      <c r="B7" t="s">
        <v>377</v>
      </c>
      <c r="C7" s="19" t="str" cm="1">
        <f t="array" ref="C7:E7">_xlfn.TEXTSPLIT(A7,",")</f>
        <v>Design</v>
      </c>
      <c r="D7" s="19" t="str">
        <v>UI model</v>
      </c>
      <c r="E7" s="19" t="str">
        <v>IT Data Types</v>
      </c>
      <c r="F7" s="36" t="str" cm="1">
        <f t="array" ref="F7">_xlfn.TEXTJOIN(",",TRUE,_xlfn._xlws.FILTER(CLASSIFICATION[Keyword], ($E7=CLASSIFICATION[Keyword Aggr])*($D7=CLASSIFICATION[Functional Scope Aggr])))</f>
        <v>Data Types</v>
      </c>
      <c r="G7" s="32" t="str">
        <f t="shared" si="4"/>
        <v/>
      </c>
      <c r="H7" s="32" t="str">
        <f t="shared" si="4"/>
        <v>UI model</v>
      </c>
      <c r="I7" s="32" t="str">
        <f t="shared" si="2"/>
        <v>IT Data Types</v>
      </c>
      <c r="J7" s="33" t="str" cm="1">
        <f t="array" aca="1" ref="J7" ca="1">_xlfn.LET(
_xlpm._platform_range, INDIRECT("'Platform review'!$C"&amp;_xlfn.XMATCH(J$2,'Platform review'!$A$1:$A$127)&amp;":$E"&amp;_xlfn.XMATCH(J$2,'Platform review'!$A$1:$A$127)+19),
_xlpm._original_keywords, _xlfn._xlws.FILTER(CLASSIFICATION[[Keyword]:[Keyword]], ($E7=CLASSIFICATION[[Keyword Aggr]:[Keyword Aggr]])*($D7=CLASSIFICATION[[Functional Scope Aggr]:[Functional Scope Aggr]])),
_xlpm._platform_keywords, _xlfn.TEXTSPLIT(SUBSTITUTE(SUBSTITUTE(VLOOKUP($D7,_xlpm._platform_range,3,FALSE),"+"&amp;CHAR(34),"+"),CHAR(34),""),", "),
_xlpm._exists, SUMPRODUCT(--ISNUMBER(MATCH(_xlpm._platform_keywords,_xlpm._original_keywords,0)))&gt;0,
_xlfn.IFS(AND(_xlpm._exists,LEFT($E7,1)="+"),"+",_xlpm._exists,"*",NOT(_xlpm._exists),"")
)</f>
        <v>*</v>
      </c>
      <c r="K7" s="33" t="str" cm="1">
        <f t="array" aca="1" ref="K7" ca="1">_xlfn.LET(
_xlpm._platform_range, INDIRECT("'Platform review'!$C"&amp;_xlfn.XMATCH(K$2,'Platform review'!$A$1:$A$127)&amp;":$E"&amp;_xlfn.XMATCH(K$2,'Platform review'!$A$1:$A$127)+19),
_xlpm._original_keywords, _xlfn._xlws.FILTER(CLASSIFICATION[[Keyword]:[Keyword]], ($E7=CLASSIFICATION[[Keyword Aggr]:[Keyword Aggr]])*($D7=CLASSIFICATION[[Functional Scope Aggr]:[Functional Scope Aggr]])),
_xlpm._platform_keywords, _xlfn.TEXTSPLIT(SUBSTITUTE(SUBSTITUTE(VLOOKUP($D7,_xlpm._platform_range,3,FALSE),"+"&amp;CHAR(34),"+"),CHAR(34),""),", "),
_xlpm._exists, SUMPRODUCT(--ISNUMBER(MATCH(_xlpm._platform_keywords,_xlpm._original_keywords,0)))&gt;0,
_xlfn.IFS(AND(_xlpm._exists,LEFT($E7,1)="+"),"+",_xlpm._exists,"*",NOT(_xlpm._exists),"")
)</f>
        <v/>
      </c>
      <c r="L7" s="33" t="str" cm="1">
        <f t="array" aca="1" ref="L7" ca="1">_xlfn.LET(
_xlpm._platform_range, INDIRECT("'Platform review'!$C"&amp;_xlfn.XMATCH(L$2,'Platform review'!$A$1:$A$127)&amp;":$E"&amp;_xlfn.XMATCH(L$2,'Platform review'!$A$1:$A$127)+19),
_xlpm._original_keywords, _xlfn._xlws.FILTER(CLASSIFICATION[[Keyword]:[Keyword]], ($E7=CLASSIFICATION[[Keyword Aggr]:[Keyword Aggr]])*($D7=CLASSIFICATION[[Functional Scope Aggr]:[Functional Scope Aggr]])),
_xlpm._platform_keywords, _xlfn.TEXTSPLIT(SUBSTITUTE(SUBSTITUTE(VLOOKUP($D7,_xlpm._platform_range,3,FALSE),"+"&amp;CHAR(34),"+"),CHAR(34),""),", "),
_xlpm._exists, SUMPRODUCT(--ISNUMBER(MATCH(_xlpm._platform_keywords,_xlpm._original_keywords,0)))&gt;0,
_xlfn.IFS(AND(_xlpm._exists,LEFT($E7,1)="+"),"+",_xlpm._exists,"*",NOT(_xlpm._exists),"")
)</f>
        <v/>
      </c>
      <c r="M7" s="33" t="str" cm="1">
        <f t="array" aca="1" ref="M7" ca="1">_xlfn.LET(
_xlpm._platform_range, INDIRECT("'Platform review'!$C"&amp;_xlfn.XMATCH(M$2,'Platform review'!$A$1:$A$127)&amp;":$E"&amp;_xlfn.XMATCH(M$2,'Platform review'!$A$1:$A$127)+19),
_xlpm._original_keywords, _xlfn._xlws.FILTER(CLASSIFICATION[[Keyword]:[Keyword]], ($E7=CLASSIFICATION[[Keyword Aggr]:[Keyword Aggr]])*($D7=CLASSIFICATION[[Functional Scope Aggr]:[Functional Scope Aggr]])),
_xlpm._platform_keywords, _xlfn.TEXTSPLIT(SUBSTITUTE(SUBSTITUTE(VLOOKUP($D7,_xlpm._platform_range,3,FALSE),"+"&amp;CHAR(34),"+"),CHAR(34),""),", "),
_xlpm._exists, SUMPRODUCT(--ISNUMBER(MATCH(_xlpm._platform_keywords,_xlpm._original_keywords,0)))&gt;0,
_xlfn.IFS(AND(_xlpm._exists,LEFT($E7,1)="+"),"+",_xlpm._exists,"*",NOT(_xlpm._exists),"")
)</f>
        <v/>
      </c>
      <c r="N7" s="33" t="str" cm="1">
        <f t="array" aca="1" ref="N7" ca="1">_xlfn.LET(
_xlpm._platform_range, INDIRECT("'Platform review'!$C"&amp;_xlfn.XMATCH(N$2,'Platform review'!$A$1:$A$127)&amp;":$E"&amp;_xlfn.XMATCH(N$2,'Platform review'!$A$1:$A$127)+19),
_xlpm._original_keywords, _xlfn._xlws.FILTER(CLASSIFICATION[[Keyword]:[Keyword]], ($E7=CLASSIFICATION[[Keyword Aggr]:[Keyword Aggr]])*($D7=CLASSIFICATION[[Functional Scope Aggr]:[Functional Scope Aggr]])),
_xlpm._platform_keywords, _xlfn.TEXTSPLIT(SUBSTITUTE(SUBSTITUTE(VLOOKUP($D7,_xlpm._platform_range,3,FALSE),"+"&amp;CHAR(34),"+"),CHAR(34),""),", "),
_xlpm._exists, SUMPRODUCT(--ISNUMBER(MATCH(_xlpm._platform_keywords,_xlpm._original_keywords,0)))&gt;0,
_xlfn.IFS(AND(_xlpm._exists,LEFT($E7,1)="+"),"+",_xlpm._exists,"*",NOT(_xlpm._exists),"")
)</f>
        <v/>
      </c>
      <c r="O7" s="33" t="str" cm="1">
        <f t="array" aca="1" ref="O7" ca="1">_xlfn.LET(
_xlpm._platform_range, INDIRECT("'Platform review'!$C"&amp;_xlfn.XMATCH(O$2,'Platform review'!$A$1:$A$127)&amp;":$E"&amp;_xlfn.XMATCH(O$2,'Platform review'!$A$1:$A$127)+19),
_xlpm._original_keywords, _xlfn._xlws.FILTER(CLASSIFICATION[[Keyword]:[Keyword]], ($E7=CLASSIFICATION[[Keyword Aggr]:[Keyword Aggr]])*($D7=CLASSIFICATION[[Functional Scope Aggr]:[Functional Scope Aggr]])),
_xlpm._platform_keywords, _xlfn.TEXTSPLIT(SUBSTITUTE(SUBSTITUTE(VLOOKUP($D7,_xlpm._platform_range,3,FALSE),"+"&amp;CHAR(34),"+"),CHAR(34),""),", "),
_xlpm._exists, SUMPRODUCT(--ISNUMBER(MATCH(_xlpm._platform_keywords,_xlpm._original_keywords,0)))&gt;0,
_xlfn.IFS(AND(_xlpm._exists,LEFT($E7,1)="+"),"+",_xlpm._exists,"*",NOT(_xlpm._exists),"")
)</f>
        <v/>
      </c>
      <c r="Q7" s="33">
        <f t="shared" ca="1" si="6"/>
        <v>2</v>
      </c>
      <c r="R7" s="33">
        <f t="shared" ref="R7:R70" ca="1" si="7">IF($H7&lt;&gt;"",COUNTIFS(K$3:K$500,"~*",$D$3:$D$500,$H7),"")</f>
        <v>1</v>
      </c>
      <c r="S7" s="33">
        <f t="shared" ref="S7:S70" ca="1" si="8">IF($H7&lt;&gt;"",COUNTIFS(L$3:L$500,"~*",$D$3:$D$500,$H7),"")</f>
        <v>1</v>
      </c>
      <c r="T7" s="33">
        <f t="shared" ref="T7:T70" ca="1" si="9">IF($H7&lt;&gt;"",COUNTIFS(M$3:M$500,"~*",$D$3:$D$500,$H7),"")</f>
        <v>1</v>
      </c>
      <c r="U7" s="33">
        <f t="shared" ref="U7:U70" ca="1" si="10">IF($H7&lt;&gt;"",COUNTIFS(N$3:N$500,"~*",$D$3:$D$500,$H7),"")</f>
        <v>0</v>
      </c>
      <c r="V7" s="33">
        <f t="shared" ref="V7:V70" ca="1" si="11">IF($H7&lt;&gt;"",COUNTIFS(O$3:O$500,"~*",$D$3:$D$500,$H7),"")</f>
        <v>1</v>
      </c>
      <c r="X7" s="33" t="str">
        <f t="shared" si="5"/>
        <v>Development</v>
      </c>
      <c r="Y7" s="32" t="str">
        <v>Workflow design and development</v>
      </c>
      <c r="Z7" s="32">
        <f ca="1"/>
        <v>1</v>
      </c>
      <c r="AA7" s="32">
        <f ca="1"/>
        <v>1</v>
      </c>
      <c r="AB7" s="32">
        <f ca="1"/>
        <v>1</v>
      </c>
      <c r="AC7" s="32">
        <f ca="1"/>
        <v>1</v>
      </c>
      <c r="AD7" s="32">
        <f ca="1"/>
        <v>3</v>
      </c>
      <c r="AE7" s="32">
        <f ca="1"/>
        <v>0</v>
      </c>
    </row>
    <row r="8" spans="1:31" x14ac:dyDescent="0.25">
      <c r="A8" s="19" t="str">
        <v>Design,UI model,Responsive Web Design</v>
      </c>
      <c r="B8" t="s">
        <v>377</v>
      </c>
      <c r="C8" s="19" t="str" cm="1">
        <f t="array" ref="C8:E8">_xlfn.TEXTSPLIT(A8,",")</f>
        <v>Design</v>
      </c>
      <c r="D8" s="19" t="str">
        <v>UI model</v>
      </c>
      <c r="E8" s="19" t="str">
        <v>Responsive Web Design</v>
      </c>
      <c r="F8" s="36" t="str" cm="1">
        <f t="array" ref="F8">_xlfn.TEXTJOIN(",",TRUE,_xlfn._xlws.FILTER(CLASSIFICATION[Keyword], ($E8=CLASSIFICATION[Keyword Aggr])*($D8=CLASSIFICATION[Functional Scope Aggr])))</f>
        <v>Responsive Web Design</v>
      </c>
      <c r="G8" s="32" t="str">
        <f t="shared" si="4"/>
        <v/>
      </c>
      <c r="H8" s="32" t="str">
        <f t="shared" si="4"/>
        <v/>
      </c>
      <c r="I8" s="32" t="str">
        <f t="shared" si="2"/>
        <v>Responsive Web Design</v>
      </c>
      <c r="J8" s="33" t="str" cm="1">
        <f t="array" aca="1" ref="J8" ca="1">_xlfn.LET(
_xlpm._platform_range, INDIRECT("'Platform review'!$C"&amp;_xlfn.XMATCH(J$2,'Platform review'!$A$1:$A$127)&amp;":$E"&amp;_xlfn.XMATCH(J$2,'Platform review'!$A$1:$A$127)+19),
_xlpm._original_keywords, _xlfn._xlws.FILTER(CLASSIFICATION[[Keyword]:[Keyword]], ($E8=CLASSIFICATION[[Keyword Aggr]:[Keyword Aggr]])*($D8=CLASSIFICATION[[Functional Scope Aggr]:[Functional Scope Aggr]])),
_xlpm._platform_keywords, _xlfn.TEXTSPLIT(SUBSTITUTE(SUBSTITUTE(VLOOKUP($D8,_xlpm._platform_range,3,FALSE),"+"&amp;CHAR(34),"+"),CHAR(34),""),", "),
_xlpm._exists, SUMPRODUCT(--ISNUMBER(MATCH(_xlpm._platform_keywords,_xlpm._original_keywords,0)))&gt;0,
_xlfn.IFS(AND(_xlpm._exists,LEFT($E8,1)="+"),"+",_xlpm._exists,"*",NOT(_xlpm._exists),"")
)</f>
        <v>*</v>
      </c>
      <c r="K8" s="33" t="str" cm="1">
        <f t="array" aca="1" ref="K8" ca="1">_xlfn.LET(
_xlpm._platform_range, INDIRECT("'Platform review'!$C"&amp;_xlfn.XMATCH(K$2,'Platform review'!$A$1:$A$127)&amp;":$E"&amp;_xlfn.XMATCH(K$2,'Platform review'!$A$1:$A$127)+19),
_xlpm._original_keywords, _xlfn._xlws.FILTER(CLASSIFICATION[[Keyword]:[Keyword]], ($E8=CLASSIFICATION[[Keyword Aggr]:[Keyword Aggr]])*($D8=CLASSIFICATION[[Functional Scope Aggr]:[Functional Scope Aggr]])),
_xlpm._platform_keywords, _xlfn.TEXTSPLIT(SUBSTITUTE(SUBSTITUTE(VLOOKUP($D8,_xlpm._platform_range,3,FALSE),"+"&amp;CHAR(34),"+"),CHAR(34),""),", "),
_xlpm._exists, SUMPRODUCT(--ISNUMBER(MATCH(_xlpm._platform_keywords,_xlpm._original_keywords,0)))&gt;0,
_xlfn.IFS(AND(_xlpm._exists,LEFT($E8,1)="+"),"+",_xlpm._exists,"*",NOT(_xlpm._exists),"")
)</f>
        <v/>
      </c>
      <c r="L8" s="33" t="str" cm="1">
        <f t="array" aca="1" ref="L8" ca="1">_xlfn.LET(
_xlpm._platform_range, INDIRECT("'Platform review'!$C"&amp;_xlfn.XMATCH(L$2,'Platform review'!$A$1:$A$127)&amp;":$E"&amp;_xlfn.XMATCH(L$2,'Platform review'!$A$1:$A$127)+19),
_xlpm._original_keywords, _xlfn._xlws.FILTER(CLASSIFICATION[[Keyword]:[Keyword]], ($E8=CLASSIFICATION[[Keyword Aggr]:[Keyword Aggr]])*($D8=CLASSIFICATION[[Functional Scope Aggr]:[Functional Scope Aggr]])),
_xlpm._platform_keywords, _xlfn.TEXTSPLIT(SUBSTITUTE(SUBSTITUTE(VLOOKUP($D8,_xlpm._platform_range,3,FALSE),"+"&amp;CHAR(34),"+"),CHAR(34),""),", "),
_xlpm._exists, SUMPRODUCT(--ISNUMBER(MATCH(_xlpm._platform_keywords,_xlpm._original_keywords,0)))&gt;0,
_xlfn.IFS(AND(_xlpm._exists,LEFT($E8,1)="+"),"+",_xlpm._exists,"*",NOT(_xlpm._exists),"")
)</f>
        <v/>
      </c>
      <c r="M8" s="33" t="str" cm="1">
        <f t="array" aca="1" ref="M8" ca="1">_xlfn.LET(
_xlpm._platform_range, INDIRECT("'Platform review'!$C"&amp;_xlfn.XMATCH(M$2,'Platform review'!$A$1:$A$127)&amp;":$E"&amp;_xlfn.XMATCH(M$2,'Platform review'!$A$1:$A$127)+19),
_xlpm._original_keywords, _xlfn._xlws.FILTER(CLASSIFICATION[[Keyword]:[Keyword]], ($E8=CLASSIFICATION[[Keyword Aggr]:[Keyword Aggr]])*($D8=CLASSIFICATION[[Functional Scope Aggr]:[Functional Scope Aggr]])),
_xlpm._platform_keywords, _xlfn.TEXTSPLIT(SUBSTITUTE(SUBSTITUTE(VLOOKUP($D8,_xlpm._platform_range,3,FALSE),"+"&amp;CHAR(34),"+"),CHAR(34),""),", "),
_xlpm._exists, SUMPRODUCT(--ISNUMBER(MATCH(_xlpm._platform_keywords,_xlpm._original_keywords,0)))&gt;0,
_xlfn.IFS(AND(_xlpm._exists,LEFT($E8,1)="+"),"+",_xlpm._exists,"*",NOT(_xlpm._exists),"")
)</f>
        <v>*</v>
      </c>
      <c r="N8" s="33" t="str" cm="1">
        <f t="array" aca="1" ref="N8" ca="1">_xlfn.LET(
_xlpm._platform_range, INDIRECT("'Platform review'!$C"&amp;_xlfn.XMATCH(N$2,'Platform review'!$A$1:$A$127)&amp;":$E"&amp;_xlfn.XMATCH(N$2,'Platform review'!$A$1:$A$127)+19),
_xlpm._original_keywords, _xlfn._xlws.FILTER(CLASSIFICATION[[Keyword]:[Keyword]], ($E8=CLASSIFICATION[[Keyword Aggr]:[Keyword Aggr]])*($D8=CLASSIFICATION[[Functional Scope Aggr]:[Functional Scope Aggr]])),
_xlpm._platform_keywords, _xlfn.TEXTSPLIT(SUBSTITUTE(SUBSTITUTE(VLOOKUP($D8,_xlpm._platform_range,3,FALSE),"+"&amp;CHAR(34),"+"),CHAR(34),""),", "),
_xlpm._exists, SUMPRODUCT(--ISNUMBER(MATCH(_xlpm._platform_keywords,_xlpm._original_keywords,0)))&gt;0,
_xlfn.IFS(AND(_xlpm._exists,LEFT($E8,1)="+"),"+",_xlpm._exists,"*",NOT(_xlpm._exists),"")
)</f>
        <v/>
      </c>
      <c r="O8" s="33" t="str" cm="1">
        <f t="array" aca="1" ref="O8" ca="1">_xlfn.LET(
_xlpm._platform_range, INDIRECT("'Platform review'!$C"&amp;_xlfn.XMATCH(O$2,'Platform review'!$A$1:$A$127)&amp;":$E"&amp;_xlfn.XMATCH(O$2,'Platform review'!$A$1:$A$127)+19),
_xlpm._original_keywords, _xlfn._xlws.FILTER(CLASSIFICATION[[Keyword]:[Keyword]], ($E8=CLASSIFICATION[[Keyword Aggr]:[Keyword Aggr]])*($D8=CLASSIFICATION[[Functional Scope Aggr]:[Functional Scope Aggr]])),
_xlpm._platform_keywords, _xlfn.TEXTSPLIT(SUBSTITUTE(SUBSTITUTE(VLOOKUP($D8,_xlpm._platform_range,3,FALSE),"+"&amp;CHAR(34),"+"),CHAR(34),""),", "),
_xlpm._exists, SUMPRODUCT(--ISNUMBER(MATCH(_xlpm._platform_keywords,_xlpm._original_keywords,0)))&gt;0,
_xlfn.IFS(AND(_xlpm._exists,LEFT($E8,1)="+"),"+",_xlpm._exists,"*",NOT(_xlpm._exists),"")
)</f>
        <v/>
      </c>
      <c r="Q8" s="33" t="str">
        <f t="shared" si="6"/>
        <v/>
      </c>
      <c r="R8" s="33" t="str">
        <f t="shared" si="7"/>
        <v/>
      </c>
      <c r="S8" s="33" t="str">
        <f t="shared" si="8"/>
        <v/>
      </c>
      <c r="T8" s="33" t="str">
        <f t="shared" si="9"/>
        <v/>
      </c>
      <c r="U8" s="33" t="str">
        <f t="shared" si="10"/>
        <v/>
      </c>
      <c r="V8" s="33" t="str">
        <f t="shared" si="11"/>
        <v/>
      </c>
      <c r="X8" s="33" t="str">
        <f t="shared" si="5"/>
        <v/>
      </c>
      <c r="Y8" s="32" t="str">
        <v>Database design</v>
      </c>
      <c r="Z8" s="32">
        <f ca="1"/>
        <v>2</v>
      </c>
      <c r="AA8" s="32">
        <f ca="1"/>
        <v>2</v>
      </c>
      <c r="AB8" s="32">
        <f ca="1"/>
        <v>1</v>
      </c>
      <c r="AC8" s="32">
        <f ca="1"/>
        <v>4</v>
      </c>
      <c r="AD8" s="32">
        <f ca="1"/>
        <v>3</v>
      </c>
      <c r="AE8" s="32">
        <f ca="1"/>
        <v>1</v>
      </c>
    </row>
    <row r="9" spans="1:31" x14ac:dyDescent="0.25">
      <c r="A9" s="19" t="str">
        <v>Design,UI model,Variables</v>
      </c>
      <c r="B9" t="s">
        <v>377</v>
      </c>
      <c r="C9" s="19" t="str" cm="1">
        <f t="array" ref="C9:E9">_xlfn.TEXTSPLIT(A9,",")</f>
        <v>Design</v>
      </c>
      <c r="D9" s="19" t="str">
        <v>UI model</v>
      </c>
      <c r="E9" s="19" t="str">
        <v>Variables</v>
      </c>
      <c r="F9" s="36" t="str" cm="1">
        <f t="array" ref="F9">_xlfn.TEXTJOIN(",",TRUE,_xlfn._xlws.FILTER(CLASSIFICATION[Keyword], ($E9=CLASSIFICATION[Keyword Aggr])*($D9=CLASSIFICATION[Functional Scope Aggr])))</f>
        <v>Variables</v>
      </c>
      <c r="G9" s="32" t="str">
        <f t="shared" si="4"/>
        <v/>
      </c>
      <c r="H9" s="32" t="str">
        <f t="shared" si="4"/>
        <v/>
      </c>
      <c r="I9" s="32" t="str">
        <f t="shared" si="2"/>
        <v>Variables</v>
      </c>
      <c r="J9" s="33" t="str" cm="1">
        <f t="array" aca="1" ref="J9" ca="1">_xlfn.LET(
_xlpm._platform_range, INDIRECT("'Platform review'!$C"&amp;_xlfn.XMATCH(J$2,'Platform review'!$A$1:$A$127)&amp;":$E"&amp;_xlfn.XMATCH(J$2,'Platform review'!$A$1:$A$127)+19),
_xlpm._original_keywords, _xlfn._xlws.FILTER(CLASSIFICATION[[Keyword]:[Keyword]], ($E9=CLASSIFICATION[[Keyword Aggr]:[Keyword Aggr]])*($D9=CLASSIFICATION[[Functional Scope Aggr]:[Functional Scope Aggr]])),
_xlpm._platform_keywords, _xlfn.TEXTSPLIT(SUBSTITUTE(SUBSTITUTE(VLOOKUP($D9,_xlpm._platform_range,3,FALSE),"+"&amp;CHAR(34),"+"),CHAR(34),""),", "),
_xlpm._exists, SUMPRODUCT(--ISNUMBER(MATCH(_xlpm._platform_keywords,_xlpm._original_keywords,0)))&gt;0,
_xlfn.IFS(AND(_xlpm._exists,LEFT($E9,1)="+"),"+",_xlpm._exists,"*",NOT(_xlpm._exists),"")
)</f>
        <v/>
      </c>
      <c r="K9" s="33" t="str" cm="1">
        <f t="array" aca="1" ref="K9" ca="1">_xlfn.LET(
_xlpm._platform_range, INDIRECT("'Platform review'!$C"&amp;_xlfn.XMATCH(K$2,'Platform review'!$A$1:$A$127)&amp;":$E"&amp;_xlfn.XMATCH(K$2,'Platform review'!$A$1:$A$127)+19),
_xlpm._original_keywords, _xlfn._xlws.FILTER(CLASSIFICATION[[Keyword]:[Keyword]], ($E9=CLASSIFICATION[[Keyword Aggr]:[Keyword Aggr]])*($D9=CLASSIFICATION[[Functional Scope Aggr]:[Functional Scope Aggr]])),
_xlpm._platform_keywords, _xlfn.TEXTSPLIT(SUBSTITUTE(SUBSTITUTE(VLOOKUP($D9,_xlpm._platform_range,3,FALSE),"+"&amp;CHAR(34),"+"),CHAR(34),""),", "),
_xlpm._exists, SUMPRODUCT(--ISNUMBER(MATCH(_xlpm._platform_keywords,_xlpm._original_keywords,0)))&gt;0,
_xlfn.IFS(AND(_xlpm._exists,LEFT($E9,1)="+"),"+",_xlpm._exists,"*",NOT(_xlpm._exists),"")
)</f>
        <v>*</v>
      </c>
      <c r="L9" s="33" t="str" cm="1">
        <f t="array" aca="1" ref="L9" ca="1">_xlfn.LET(
_xlpm._platform_range, INDIRECT("'Platform review'!$C"&amp;_xlfn.XMATCH(L$2,'Platform review'!$A$1:$A$127)&amp;":$E"&amp;_xlfn.XMATCH(L$2,'Platform review'!$A$1:$A$127)+19),
_xlpm._original_keywords, _xlfn._xlws.FILTER(CLASSIFICATION[[Keyword]:[Keyword]], ($E9=CLASSIFICATION[[Keyword Aggr]:[Keyword Aggr]])*($D9=CLASSIFICATION[[Functional Scope Aggr]:[Functional Scope Aggr]])),
_xlpm._platform_keywords, _xlfn.TEXTSPLIT(SUBSTITUTE(SUBSTITUTE(VLOOKUP($D9,_xlpm._platform_range,3,FALSE),"+"&amp;CHAR(34),"+"),CHAR(34),""),", "),
_xlpm._exists, SUMPRODUCT(--ISNUMBER(MATCH(_xlpm._platform_keywords,_xlpm._original_keywords,0)))&gt;0,
_xlfn.IFS(AND(_xlpm._exists,LEFT($E9,1)="+"),"+",_xlpm._exists,"*",NOT(_xlpm._exists),"")
)</f>
        <v>*</v>
      </c>
      <c r="M9" s="33" t="str" cm="1">
        <f t="array" aca="1" ref="M9" ca="1">_xlfn.LET(
_xlpm._platform_range, INDIRECT("'Platform review'!$C"&amp;_xlfn.XMATCH(M$2,'Platform review'!$A$1:$A$127)&amp;":$E"&amp;_xlfn.XMATCH(M$2,'Platform review'!$A$1:$A$127)+19),
_xlpm._original_keywords, _xlfn._xlws.FILTER(CLASSIFICATION[[Keyword]:[Keyword]], ($E9=CLASSIFICATION[[Keyword Aggr]:[Keyword Aggr]])*($D9=CLASSIFICATION[[Functional Scope Aggr]:[Functional Scope Aggr]])),
_xlpm._platform_keywords, _xlfn.TEXTSPLIT(SUBSTITUTE(SUBSTITUTE(VLOOKUP($D9,_xlpm._platform_range,3,FALSE),"+"&amp;CHAR(34),"+"),CHAR(34),""),", "),
_xlpm._exists, SUMPRODUCT(--ISNUMBER(MATCH(_xlpm._platform_keywords,_xlpm._original_keywords,0)))&gt;0,
_xlfn.IFS(AND(_xlpm._exists,LEFT($E9,1)="+"),"+",_xlpm._exists,"*",NOT(_xlpm._exists),"")
)</f>
        <v/>
      </c>
      <c r="N9" s="33" t="str" cm="1">
        <f t="array" aca="1" ref="N9" ca="1">_xlfn.LET(
_xlpm._platform_range, INDIRECT("'Platform review'!$C"&amp;_xlfn.XMATCH(N$2,'Platform review'!$A$1:$A$127)&amp;":$E"&amp;_xlfn.XMATCH(N$2,'Platform review'!$A$1:$A$127)+19),
_xlpm._original_keywords, _xlfn._xlws.FILTER(CLASSIFICATION[[Keyword]:[Keyword]], ($E9=CLASSIFICATION[[Keyword Aggr]:[Keyword Aggr]])*($D9=CLASSIFICATION[[Functional Scope Aggr]:[Functional Scope Aggr]])),
_xlpm._platform_keywords, _xlfn.TEXTSPLIT(SUBSTITUTE(SUBSTITUTE(VLOOKUP($D9,_xlpm._platform_range,3,FALSE),"+"&amp;CHAR(34),"+"),CHAR(34),""),", "),
_xlpm._exists, SUMPRODUCT(--ISNUMBER(MATCH(_xlpm._platform_keywords,_xlpm._original_keywords,0)))&gt;0,
_xlfn.IFS(AND(_xlpm._exists,LEFT($E9,1)="+"),"+",_xlpm._exists,"*",NOT(_xlpm._exists),"")
)</f>
        <v/>
      </c>
      <c r="O9" s="33" t="str" cm="1">
        <f t="array" aca="1" ref="O9" ca="1">_xlfn.LET(
_xlpm._platform_range, INDIRECT("'Platform review'!$C"&amp;_xlfn.XMATCH(O$2,'Platform review'!$A$1:$A$127)&amp;":$E"&amp;_xlfn.XMATCH(O$2,'Platform review'!$A$1:$A$127)+19),
_xlpm._original_keywords, _xlfn._xlws.FILTER(CLASSIFICATION[[Keyword]:[Keyword]], ($E9=CLASSIFICATION[[Keyword Aggr]:[Keyword Aggr]])*($D9=CLASSIFICATION[[Functional Scope Aggr]:[Functional Scope Aggr]])),
_xlpm._platform_keywords, _xlfn.TEXTSPLIT(SUBSTITUTE(SUBSTITUTE(VLOOKUP($D9,_xlpm._platform_range,3,FALSE),"+"&amp;CHAR(34),"+"),CHAR(34),""),", "),
_xlpm._exists, SUMPRODUCT(--ISNUMBER(MATCH(_xlpm._platform_keywords,_xlpm._original_keywords,0)))&gt;0,
_xlfn.IFS(AND(_xlpm._exists,LEFT($E9,1)="+"),"+",_xlpm._exists,"*",NOT(_xlpm._exists),"")
)</f>
        <v>*</v>
      </c>
      <c r="Q9" s="33" t="str">
        <f t="shared" si="6"/>
        <v/>
      </c>
      <c r="R9" s="33" t="str">
        <f t="shared" si="7"/>
        <v/>
      </c>
      <c r="S9" s="33" t="str">
        <f t="shared" si="8"/>
        <v/>
      </c>
      <c r="T9" s="33" t="str">
        <f t="shared" si="9"/>
        <v/>
      </c>
      <c r="U9" s="33" t="str">
        <f t="shared" si="10"/>
        <v/>
      </c>
      <c r="V9" s="33" t="str">
        <f t="shared" si="11"/>
        <v/>
      </c>
      <c r="X9" s="33" t="str">
        <f t="shared" si="5"/>
        <v/>
      </c>
      <c r="Y9" s="32" t="str">
        <v>Fetching data</v>
      </c>
      <c r="Z9" s="32">
        <f ca="1"/>
        <v>0</v>
      </c>
      <c r="AA9" s="32">
        <f ca="1"/>
        <v>1</v>
      </c>
      <c r="AB9" s="32">
        <f ca="1"/>
        <v>2</v>
      </c>
      <c r="AC9" s="32">
        <f ca="1"/>
        <v>5</v>
      </c>
      <c r="AD9" s="32">
        <f ca="1"/>
        <v>2</v>
      </c>
      <c r="AE9" s="32">
        <f ca="1"/>
        <v>0</v>
      </c>
    </row>
    <row r="10" spans="1:31" x14ac:dyDescent="0.25">
      <c r="A10" s="19" t="str">
        <v>Design,Validations,JavaScript</v>
      </c>
      <c r="B10" t="s">
        <v>377</v>
      </c>
      <c r="C10" s="19" t="str" cm="1">
        <f t="array" ref="C10:E10">_xlfn.TEXTSPLIT(A10,",")</f>
        <v>Design</v>
      </c>
      <c r="D10" s="19" t="str">
        <v>Validations</v>
      </c>
      <c r="E10" s="19" t="str">
        <v>JavaScript</v>
      </c>
      <c r="F10" s="36" t="str" cm="1">
        <f t="array" ref="F10">_xlfn.TEXTJOIN(",",TRUE,_xlfn._xlws.FILTER(CLASSIFICATION[Keyword], ($E10=CLASSIFICATION[Keyword Aggr])*($D10=CLASSIFICATION[Functional Scope Aggr])))</f>
        <v>JavaScript</v>
      </c>
      <c r="G10" s="32" t="str">
        <f t="shared" si="4"/>
        <v/>
      </c>
      <c r="H10" s="32" t="str">
        <f t="shared" si="4"/>
        <v>Validations</v>
      </c>
      <c r="I10" s="32" t="str">
        <f t="shared" si="2"/>
        <v>JavaScript</v>
      </c>
      <c r="J10" s="33" t="str" cm="1">
        <f t="array" aca="1" ref="J10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($E10=CLASSIFICATION[[Keyword Aggr]:[Keyword Aggr]])*($D10=CLASSIFICATION[[Functional Scope Aggr]:[Functional Scope Aggr]])),
_xlpm._platform_keywords, _xlfn.TEXTSPLIT(SUBSTITUTE(SUBSTITUTE(VLOOKUP($D10,_xlpm._platform_range,3,FALSE),"+"&amp;CHAR(34),"+"),CHAR(34),""),", "),
_xlpm._exists, SUMPRODUCT(--ISNUMBER(MATCH(_xlpm._platform_keywords,_xlpm._original_keywords,0)))&gt;0,
_xlfn.IFS(AND(_xlpm._exists,LEFT($E10,1)="+"),"+",_xlpm._exists,"*",NOT(_xlpm._exists),"")
)</f>
        <v>*</v>
      </c>
      <c r="K10" s="33" t="str" cm="1">
        <f t="array" aca="1" ref="K10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($E10=CLASSIFICATION[[Keyword Aggr]:[Keyword Aggr]])*($D10=CLASSIFICATION[[Functional Scope Aggr]:[Functional Scope Aggr]])),
_xlpm._platform_keywords, _xlfn.TEXTSPLIT(SUBSTITUTE(SUBSTITUTE(VLOOKUP($D10,_xlpm._platform_range,3,FALSE),"+"&amp;CHAR(34),"+"),CHAR(34),""),", "),
_xlpm._exists, SUMPRODUCT(--ISNUMBER(MATCH(_xlpm._platform_keywords,_xlpm._original_keywords,0)))&gt;0,
_xlfn.IFS(AND(_xlpm._exists,LEFT($E10,1)="+"),"+",_xlpm._exists,"*",NOT(_xlpm._exists),"")
)</f>
        <v/>
      </c>
      <c r="L10" s="33" t="str" cm="1">
        <f t="array" aca="1" ref="L10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($E10=CLASSIFICATION[[Keyword Aggr]:[Keyword Aggr]])*($D10=CLASSIFICATION[[Functional Scope Aggr]:[Functional Scope Aggr]])),
_xlpm._platform_keywords, _xlfn.TEXTSPLIT(SUBSTITUTE(SUBSTITUTE(VLOOKUP($D10,_xlpm._platform_range,3,FALSE),"+"&amp;CHAR(34),"+"),CHAR(34),""),", "),
_xlpm._exists, SUMPRODUCT(--ISNUMBER(MATCH(_xlpm._platform_keywords,_xlpm._original_keywords,0)))&gt;0,
_xlfn.IFS(AND(_xlpm._exists,LEFT($E10,1)="+"),"+",_xlpm._exists,"*",NOT(_xlpm._exists),"")
)</f>
        <v/>
      </c>
      <c r="M10" s="33" t="str" cm="1">
        <f t="array" aca="1" ref="M10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($E10=CLASSIFICATION[[Keyword Aggr]:[Keyword Aggr]])*($D10=CLASSIFICATION[[Functional Scope Aggr]:[Functional Scope Aggr]])),
_xlpm._platform_keywords, _xlfn.TEXTSPLIT(SUBSTITUTE(SUBSTITUTE(VLOOKUP($D10,_xlpm._platform_range,3,FALSE),"+"&amp;CHAR(34),"+"),CHAR(34),""),", "),
_xlpm._exists, SUMPRODUCT(--ISNUMBER(MATCH(_xlpm._platform_keywords,_xlpm._original_keywords,0)))&gt;0,
_xlfn.IFS(AND(_xlpm._exists,LEFT($E10,1)="+"),"+",_xlpm._exists,"*",NOT(_xlpm._exists),"")
)</f>
        <v/>
      </c>
      <c r="N10" s="33" t="str" cm="1">
        <f t="array" aca="1" ref="N10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($E10=CLASSIFICATION[[Keyword Aggr]:[Keyword Aggr]])*($D10=CLASSIFICATION[[Functional Scope Aggr]:[Functional Scope Aggr]])),
_xlpm._platform_keywords, _xlfn.TEXTSPLIT(SUBSTITUTE(SUBSTITUTE(VLOOKUP($D10,_xlpm._platform_range,3,FALSE),"+"&amp;CHAR(34),"+"),CHAR(34),""),", "),
_xlpm._exists, SUMPRODUCT(--ISNUMBER(MATCH(_xlpm._platform_keywords,_xlpm._original_keywords,0)))&gt;0,
_xlfn.IFS(AND(_xlpm._exists,LEFT($E10,1)="+"),"+",_xlpm._exists,"*",NOT(_xlpm._exists),"")
)</f>
        <v/>
      </c>
      <c r="O10" s="33" t="str" cm="1">
        <f t="array" aca="1" ref="O10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($E10=CLASSIFICATION[[Keyword Aggr]:[Keyword Aggr]])*($D10=CLASSIFICATION[[Functional Scope Aggr]:[Functional Scope Aggr]])),
_xlpm._platform_keywords, _xlfn.TEXTSPLIT(SUBSTITUTE(SUBSTITUTE(VLOOKUP($D10,_xlpm._platform_range,3,FALSE),"+"&amp;CHAR(34),"+"),CHAR(34),""),", "),
_xlpm._exists, SUMPRODUCT(--ISNUMBER(MATCH(_xlpm._platform_keywords,_xlpm._original_keywords,0)))&gt;0,
_xlfn.IFS(AND(_xlpm._exists,LEFT($E10,1)="+"),"+",_xlpm._exists,"*",NOT(_xlpm._exists),"")
)</f>
        <v/>
      </c>
      <c r="Q10" s="33">
        <f t="shared" ca="1" si="6"/>
        <v>1</v>
      </c>
      <c r="R10" s="33">
        <f t="shared" ca="1" si="7"/>
        <v>0</v>
      </c>
      <c r="S10" s="33">
        <f t="shared" ca="1" si="8"/>
        <v>1</v>
      </c>
      <c r="T10" s="33">
        <f t="shared" ca="1" si="9"/>
        <v>0</v>
      </c>
      <c r="U10" s="33">
        <f t="shared" ca="1" si="10"/>
        <v>0</v>
      </c>
      <c r="V10" s="33">
        <f t="shared" ca="1" si="11"/>
        <v>1</v>
      </c>
      <c r="X10" s="33" t="str">
        <f t="shared" si="5"/>
        <v/>
      </c>
      <c r="Y10" s="32" t="str">
        <v>GUI design and development</v>
      </c>
      <c r="Z10" s="32">
        <f ca="1"/>
        <v>2</v>
      </c>
      <c r="AA10" s="32">
        <f ca="1"/>
        <v>4</v>
      </c>
      <c r="AB10" s="32">
        <f ca="1"/>
        <v>4</v>
      </c>
      <c r="AC10" s="32">
        <f ca="1"/>
        <v>3</v>
      </c>
      <c r="AD10" s="32">
        <f ca="1"/>
        <v>0</v>
      </c>
      <c r="AE10" s="32">
        <f ca="1"/>
        <v>1</v>
      </c>
    </row>
    <row r="11" spans="1:31" x14ac:dyDescent="0.25">
      <c r="A11" s="19" t="str">
        <v>Design,Validations,Scripts</v>
      </c>
      <c r="B11" t="s">
        <v>377</v>
      </c>
      <c r="C11" s="19" t="str" cm="1">
        <f t="array" ref="C11:E11">_xlfn.TEXTSPLIT(A11,",")</f>
        <v>Design</v>
      </c>
      <c r="D11" s="19" t="str">
        <v>Validations</v>
      </c>
      <c r="E11" s="19" t="str">
        <v>Scripts</v>
      </c>
      <c r="F11" s="36" t="str" cm="1">
        <f t="array" ref="F11">_xlfn.TEXTJOIN(",",TRUE,_xlfn._xlws.FILTER(CLASSIFICATION[Keyword], ($E11=CLASSIFICATION[Keyword Aggr])*($D11=CLASSIFICATION[Functional Scope Aggr])))</f>
        <v>Scripts (Deluge),Scripts (Groovy)</v>
      </c>
      <c r="G11" s="32" t="str">
        <f t="shared" si="4"/>
        <v/>
      </c>
      <c r="H11" s="32" t="str">
        <f t="shared" si="4"/>
        <v/>
      </c>
      <c r="I11" s="32" t="str">
        <f t="shared" si="2"/>
        <v>Scripts</v>
      </c>
      <c r="J11" s="33" t="str" cm="1">
        <f t="array" aca="1" ref="J11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($E11=CLASSIFICATION[[Keyword Aggr]:[Keyword Aggr]])*($D11=CLASSIFICATION[[Functional Scope Aggr]:[Functional Scope Aggr]])),
_xlpm._platform_keywords, _xlfn.TEXTSPLIT(SUBSTITUTE(SUBSTITUTE(VLOOKUP($D11,_xlpm._platform_range,3,FALSE),"+"&amp;CHAR(34),"+"),CHAR(34),""),", "),
_xlpm._exists, SUMPRODUCT(--ISNUMBER(MATCH(_xlpm._platform_keywords,_xlpm._original_keywords,0)))&gt;0,
_xlfn.IFS(AND(_xlpm._exists,LEFT($E11,1)="+"),"+",_xlpm._exists,"*",NOT(_xlpm._exists),"")
)</f>
        <v/>
      </c>
      <c r="K11" s="33" t="str" cm="1">
        <f t="array" aca="1" ref="K11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($E11=CLASSIFICATION[[Keyword Aggr]:[Keyword Aggr]])*($D11=CLASSIFICATION[[Functional Scope Aggr]:[Functional Scope Aggr]])),
_xlpm._platform_keywords, _xlfn.TEXTSPLIT(SUBSTITUTE(SUBSTITUTE(VLOOKUP($D11,_xlpm._platform_range,3,FALSE),"+"&amp;CHAR(34),"+"),CHAR(34),""),", "),
_xlpm._exists, SUMPRODUCT(--ISNUMBER(MATCH(_xlpm._platform_keywords,_xlpm._original_keywords,0)))&gt;0,
_xlfn.IFS(AND(_xlpm._exists,LEFT($E11,1)="+"),"+",_xlpm._exists,"*",NOT(_xlpm._exists),"")
)</f>
        <v/>
      </c>
      <c r="L11" s="33" t="str" cm="1">
        <f t="array" aca="1" ref="L11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($E11=CLASSIFICATION[[Keyword Aggr]:[Keyword Aggr]])*($D11=CLASSIFICATION[[Functional Scope Aggr]:[Functional Scope Aggr]])),
_xlpm._platform_keywords, _xlfn.TEXTSPLIT(SUBSTITUTE(SUBSTITUTE(VLOOKUP($D11,_xlpm._platform_range,3,FALSE),"+"&amp;CHAR(34),"+"),CHAR(34),""),", "),
_xlpm._exists, SUMPRODUCT(--ISNUMBER(MATCH(_xlpm._platform_keywords,_xlpm._original_keywords,0)))&gt;0,
_xlfn.IFS(AND(_xlpm._exists,LEFT($E11,1)="+"),"+",_xlpm._exists,"*",NOT(_xlpm._exists),"")
)</f>
        <v>*</v>
      </c>
      <c r="M11" s="33" t="str" cm="1">
        <f t="array" aca="1" ref="M11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($E11=CLASSIFICATION[[Keyword Aggr]:[Keyword Aggr]])*($D11=CLASSIFICATION[[Functional Scope Aggr]:[Functional Scope Aggr]])),
_xlpm._platform_keywords, _xlfn.TEXTSPLIT(SUBSTITUTE(SUBSTITUTE(VLOOKUP($D11,_xlpm._platform_range,3,FALSE),"+"&amp;CHAR(34),"+"),CHAR(34),""),", "),
_xlpm._exists, SUMPRODUCT(--ISNUMBER(MATCH(_xlpm._platform_keywords,_xlpm._original_keywords,0)))&gt;0,
_xlfn.IFS(AND(_xlpm._exists,LEFT($E11,1)="+"),"+",_xlpm._exists,"*",NOT(_xlpm._exists),"")
)</f>
        <v/>
      </c>
      <c r="N11" s="33" t="str" cm="1">
        <f t="array" aca="1" ref="N11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($E11=CLASSIFICATION[[Keyword Aggr]:[Keyword Aggr]])*($D11=CLASSIFICATION[[Functional Scope Aggr]:[Functional Scope Aggr]])),
_xlpm._platform_keywords, _xlfn.TEXTSPLIT(SUBSTITUTE(SUBSTITUTE(VLOOKUP($D11,_xlpm._platform_range,3,FALSE),"+"&amp;CHAR(34),"+"),CHAR(34),""),", "),
_xlpm._exists, SUMPRODUCT(--ISNUMBER(MATCH(_xlpm._platform_keywords,_xlpm._original_keywords,0)))&gt;0,
_xlfn.IFS(AND(_xlpm._exists,LEFT($E11,1)="+"),"+",_xlpm._exists,"*",NOT(_xlpm._exists),"")
)</f>
        <v/>
      </c>
      <c r="O11" s="33" t="str" cm="1">
        <f t="array" aca="1" ref="O11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($E11=CLASSIFICATION[[Keyword Aggr]:[Keyword Aggr]])*($D11=CLASSIFICATION[[Functional Scope Aggr]:[Functional Scope Aggr]])),
_xlpm._platform_keywords, _xlfn.TEXTSPLIT(SUBSTITUTE(SUBSTITUTE(VLOOKUP($D11,_xlpm._platform_range,3,FALSE),"+"&amp;CHAR(34),"+"),CHAR(34),""),", "),
_xlpm._exists, SUMPRODUCT(--ISNUMBER(MATCH(_xlpm._platform_keywords,_xlpm._original_keywords,0)))&gt;0,
_xlfn.IFS(AND(_xlpm._exists,LEFT($E11,1)="+"),"+",_xlpm._exists,"*",NOT(_xlpm._exists),"")
)</f>
        <v>*</v>
      </c>
      <c r="Q11" s="33" t="str">
        <f t="shared" si="6"/>
        <v/>
      </c>
      <c r="R11" s="33" t="str">
        <f t="shared" si="7"/>
        <v/>
      </c>
      <c r="S11" s="33" t="str">
        <f t="shared" si="8"/>
        <v/>
      </c>
      <c r="T11" s="33" t="str">
        <f t="shared" si="9"/>
        <v/>
      </c>
      <c r="U11" s="33" t="str">
        <f t="shared" si="10"/>
        <v/>
      </c>
      <c r="V11" s="33" t="str">
        <f t="shared" si="11"/>
        <v/>
      </c>
      <c r="X11" s="33" t="str">
        <f t="shared" si="5"/>
        <v/>
      </c>
      <c r="Y11" s="32" t="str">
        <v>Data validation development</v>
      </c>
      <c r="Z11" s="32">
        <f ca="1"/>
        <v>1</v>
      </c>
      <c r="AA11" s="32">
        <f ca="1"/>
        <v>0</v>
      </c>
      <c r="AB11" s="32">
        <f ca="1"/>
        <v>1</v>
      </c>
      <c r="AC11" s="32">
        <f ca="1"/>
        <v>0</v>
      </c>
      <c r="AD11" s="32">
        <f ca="1"/>
        <v>0</v>
      </c>
      <c r="AE11" s="32">
        <f ca="1"/>
        <v>1</v>
      </c>
    </row>
    <row r="12" spans="1:31" x14ac:dyDescent="0.25">
      <c r="A12" s="19" t="str">
        <v>Design,Application logic,Events</v>
      </c>
      <c r="B12" t="s">
        <v>377</v>
      </c>
      <c r="C12" s="19" t="str" cm="1">
        <f t="array" ref="C12:E12">_xlfn.TEXTSPLIT(A12,",")</f>
        <v>Design</v>
      </c>
      <c r="D12" s="19" t="str">
        <v>Application logic</v>
      </c>
      <c r="E12" s="19" t="str">
        <v>Events</v>
      </c>
      <c r="F12" s="36" t="str" cm="1">
        <f t="array" ref="F12">_xlfn.TEXTJOIN(",",TRUE,_xlfn._xlws.FILTER(CLASSIFICATION[Keyword], ($E12=CLASSIFICATION[Keyword Aggr])*($D12=CLASSIFICATION[Functional Scope Aggr])))</f>
        <v>Events</v>
      </c>
      <c r="G12" s="32" t="str">
        <f t="shared" si="4"/>
        <v/>
      </c>
      <c r="H12" s="32" t="str">
        <f t="shared" si="4"/>
        <v>Application logic</v>
      </c>
      <c r="I12" s="32" t="str">
        <f t="shared" si="2"/>
        <v>Events</v>
      </c>
      <c r="J12" s="33" t="str" cm="1">
        <f t="array" aca="1" ref="J12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($E12=CLASSIFICATION[[Keyword Aggr]:[Keyword Aggr]])*($D12=CLASSIFICATION[[Functional Scope Aggr]:[Functional Scope Aggr]])),
_xlpm._platform_keywords, _xlfn.TEXTSPLIT(SUBSTITUTE(SUBSTITUTE(VLOOKUP($D12,_xlpm._platform_range,3,FALSE),"+"&amp;CHAR(34),"+"),CHAR(34),""),", "),
_xlpm._exists, SUMPRODUCT(--ISNUMBER(MATCH(_xlpm._platform_keywords,_xlpm._original_keywords,0)))&gt;0,
_xlfn.IFS(AND(_xlpm._exists,LEFT($E12,1)="+"),"+",_xlpm._exists,"*",NOT(_xlpm._exists),"")
)</f>
        <v/>
      </c>
      <c r="K12" s="33" t="str" cm="1">
        <f t="array" aca="1" ref="K12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($E12=CLASSIFICATION[[Keyword Aggr]:[Keyword Aggr]])*($D12=CLASSIFICATION[[Functional Scope Aggr]:[Functional Scope Aggr]])),
_xlpm._platform_keywords, _xlfn.TEXTSPLIT(SUBSTITUTE(SUBSTITUTE(VLOOKUP($D12,_xlpm._platform_range,3,FALSE),"+"&amp;CHAR(34),"+"),CHAR(34),""),", "),
_xlpm._exists, SUMPRODUCT(--ISNUMBER(MATCH(_xlpm._platform_keywords,_xlpm._original_keywords,0)))&gt;0,
_xlfn.IFS(AND(_xlpm._exists,LEFT($E12,1)="+"),"+",_xlpm._exists,"*",NOT(_xlpm._exists),"")
)</f>
        <v/>
      </c>
      <c r="L12" s="33" t="str" cm="1">
        <f t="array" aca="1" ref="L12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($E12=CLASSIFICATION[[Keyword Aggr]:[Keyword Aggr]])*($D12=CLASSIFICATION[[Functional Scope Aggr]:[Functional Scope Aggr]])),
_xlpm._platform_keywords, _xlfn.TEXTSPLIT(SUBSTITUTE(SUBSTITUTE(VLOOKUP($D12,_xlpm._platform_range,3,FALSE),"+"&amp;CHAR(34),"+"),CHAR(34),""),", "),
_xlpm._exists, SUMPRODUCT(--ISNUMBER(MATCH(_xlpm._platform_keywords,_xlpm._original_keywords,0)))&gt;0,
_xlfn.IFS(AND(_xlpm._exists,LEFT($E12,1)="+"),"+",_xlpm._exists,"*",NOT(_xlpm._exists),"")
)</f>
        <v/>
      </c>
      <c r="M12" s="33" t="str" cm="1">
        <f t="array" aca="1" ref="M12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($E12=CLASSIFICATION[[Keyword Aggr]:[Keyword Aggr]])*($D12=CLASSIFICATION[[Functional Scope Aggr]:[Functional Scope Aggr]])),
_xlpm._platform_keywords, _xlfn.TEXTSPLIT(SUBSTITUTE(SUBSTITUTE(VLOOKUP($D12,_xlpm._platform_range,3,FALSE),"+"&amp;CHAR(34),"+"),CHAR(34),""),", "),
_xlpm._exists, SUMPRODUCT(--ISNUMBER(MATCH(_xlpm._platform_keywords,_xlpm._original_keywords,0)))&gt;0,
_xlfn.IFS(AND(_xlpm._exists,LEFT($E12,1)="+"),"+",_xlpm._exists,"*",NOT(_xlpm._exists),"")
)</f>
        <v/>
      </c>
      <c r="N12" s="33" t="str" cm="1">
        <f t="array" aca="1" ref="N12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($E12=CLASSIFICATION[[Keyword Aggr]:[Keyword Aggr]])*($D12=CLASSIFICATION[[Functional Scope Aggr]:[Functional Scope Aggr]])),
_xlpm._platform_keywords, _xlfn.TEXTSPLIT(SUBSTITUTE(SUBSTITUTE(VLOOKUP($D12,_xlpm._platform_range,3,FALSE),"+"&amp;CHAR(34),"+"),CHAR(34),""),", "),
_xlpm._exists, SUMPRODUCT(--ISNUMBER(MATCH(_xlpm._platform_keywords,_xlpm._original_keywords,0)))&gt;0,
_xlfn.IFS(AND(_xlpm._exists,LEFT($E12,1)="+"),"+",_xlpm._exists,"*",NOT(_xlpm._exists),"")
)</f>
        <v>*</v>
      </c>
      <c r="O12" s="33" t="str" cm="1">
        <f t="array" aca="1" ref="O12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($E12=CLASSIFICATION[[Keyword Aggr]:[Keyword Aggr]])*($D12=CLASSIFICATION[[Functional Scope Aggr]:[Functional Scope Aggr]])),
_xlpm._platform_keywords, _xlfn.TEXTSPLIT(SUBSTITUTE(SUBSTITUTE(VLOOKUP($D12,_xlpm._platform_range,3,FALSE),"+"&amp;CHAR(34),"+"),CHAR(34),""),", "),
_xlpm._exists, SUMPRODUCT(--ISNUMBER(MATCH(_xlpm._platform_keywords,_xlpm._original_keywords,0)))&gt;0,
_xlfn.IFS(AND(_xlpm._exists,LEFT($E12,1)="+"),"+",_xlpm._exists,"*",NOT(_xlpm._exists),"")
)</f>
        <v>*</v>
      </c>
      <c r="Q12" s="33">
        <f t="shared" ca="1" si="6"/>
        <v>3</v>
      </c>
      <c r="R12" s="33">
        <f t="shared" ca="1" si="7"/>
        <v>1</v>
      </c>
      <c r="S12" s="33">
        <f t="shared" ca="1" si="8"/>
        <v>2</v>
      </c>
      <c r="T12" s="33">
        <f t="shared" ca="1" si="9"/>
        <v>1</v>
      </c>
      <c r="U12" s="33">
        <f t="shared" ca="1" si="10"/>
        <v>2</v>
      </c>
      <c r="V12" s="33">
        <f t="shared" ca="1" si="11"/>
        <v>3</v>
      </c>
      <c r="X12" s="33" t="str">
        <f t="shared" si="5"/>
        <v/>
      </c>
      <c r="Y12" s="32" t="str">
        <v>Actions design and development</v>
      </c>
      <c r="Z12" s="32">
        <f ca="1"/>
        <v>3</v>
      </c>
      <c r="AA12" s="32">
        <f ca="1"/>
        <v>2</v>
      </c>
      <c r="AB12" s="32">
        <f ca="1"/>
        <v>2</v>
      </c>
      <c r="AC12" s="32">
        <f ca="1"/>
        <v>3</v>
      </c>
      <c r="AD12" s="32">
        <f ca="1"/>
        <v>0</v>
      </c>
      <c r="AE12" s="32">
        <f ca="1"/>
        <v>2</v>
      </c>
    </row>
    <row r="13" spans="1:31" x14ac:dyDescent="0.25">
      <c r="A13" s="19" t="str">
        <v>Design,Application logic,Microservices</v>
      </c>
      <c r="B13" t="s">
        <v>377</v>
      </c>
      <c r="C13" s="19" t="str" cm="1">
        <f t="array" ref="C13:E13">_xlfn.TEXTSPLIT(A13,",")</f>
        <v>Design</v>
      </c>
      <c r="D13" s="19" t="str">
        <v>Application logic</v>
      </c>
      <c r="E13" s="19" t="str">
        <v>Microservices</v>
      </c>
      <c r="F13" s="36" t="str" cm="1">
        <f t="array" ref="F13">_xlfn.TEXTJOIN(",",TRUE,_xlfn._xlws.FILTER(CLASSIFICATION[Keyword], ($E13=CLASSIFICATION[Keyword Aggr])*($D13=CLASSIFICATION[Functional Scope Aggr])))</f>
        <v>Microservices</v>
      </c>
      <c r="G13" s="32" t="str">
        <f t="shared" si="4"/>
        <v/>
      </c>
      <c r="H13" s="32" t="str">
        <f t="shared" si="4"/>
        <v/>
      </c>
      <c r="I13" s="32" t="str">
        <f t="shared" si="2"/>
        <v>Microservices</v>
      </c>
      <c r="J13" s="33" t="str" cm="1">
        <f t="array" aca="1" ref="J13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($E13=CLASSIFICATION[[Keyword Aggr]:[Keyword Aggr]])*($D13=CLASSIFICATION[[Functional Scope Aggr]:[Functional Scope Aggr]])),
_xlpm._platform_keywords, _xlfn.TEXTSPLIT(SUBSTITUTE(SUBSTITUTE(VLOOKUP($D13,_xlpm._platform_range,3,FALSE),"+"&amp;CHAR(34),"+"),CHAR(34),""),", "),
_xlpm._exists, SUMPRODUCT(--ISNUMBER(MATCH(_xlpm._platform_keywords,_xlpm._original_keywords,0)))&gt;0,
_xlfn.IFS(AND(_xlpm._exists,LEFT($E13,1)="+"),"+",_xlpm._exists,"*",NOT(_xlpm._exists),"")
)</f>
        <v/>
      </c>
      <c r="K13" s="33" t="str" cm="1">
        <f t="array" aca="1" ref="K13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($E13=CLASSIFICATION[[Keyword Aggr]:[Keyword Aggr]])*($D13=CLASSIFICATION[[Functional Scope Aggr]:[Functional Scope Aggr]])),
_xlpm._platform_keywords, _xlfn.TEXTSPLIT(SUBSTITUTE(SUBSTITUTE(VLOOKUP($D13,_xlpm._platform_range,3,FALSE),"+"&amp;CHAR(34),"+"),CHAR(34),""),", "),
_xlpm._exists, SUMPRODUCT(--ISNUMBER(MATCH(_xlpm._platform_keywords,_xlpm._original_keywords,0)))&gt;0,
_xlfn.IFS(AND(_xlpm._exists,LEFT($E13,1)="+"),"+",_xlpm._exists,"*",NOT(_xlpm._exists),"")
)</f>
        <v/>
      </c>
      <c r="L13" s="33" t="str" cm="1">
        <f t="array" aca="1" ref="L13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($E13=CLASSIFICATION[[Keyword Aggr]:[Keyword Aggr]])*($D13=CLASSIFICATION[[Functional Scope Aggr]:[Functional Scope Aggr]])),
_xlpm._platform_keywords, _xlfn.TEXTSPLIT(SUBSTITUTE(SUBSTITUTE(VLOOKUP($D13,_xlpm._platform_range,3,FALSE),"+"&amp;CHAR(34),"+"),CHAR(34),""),", "),
_xlpm._exists, SUMPRODUCT(--ISNUMBER(MATCH(_xlpm._platform_keywords,_xlpm._original_keywords,0)))&gt;0,
_xlfn.IFS(AND(_xlpm._exists,LEFT($E13,1)="+"),"+",_xlpm._exists,"*",NOT(_xlpm._exists),"")
)</f>
        <v>*</v>
      </c>
      <c r="M13" s="33" t="str" cm="1">
        <f t="array" aca="1" ref="M13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($E13=CLASSIFICATION[[Keyword Aggr]:[Keyword Aggr]])*($D13=CLASSIFICATION[[Functional Scope Aggr]:[Functional Scope Aggr]])),
_xlpm._platform_keywords, _xlfn.TEXTSPLIT(SUBSTITUTE(SUBSTITUTE(VLOOKUP($D13,_xlpm._platform_range,3,FALSE),"+"&amp;CHAR(34),"+"),CHAR(34),""),", "),
_xlpm._exists, SUMPRODUCT(--ISNUMBER(MATCH(_xlpm._platform_keywords,_xlpm._original_keywords,0)))&gt;0,
_xlfn.IFS(AND(_xlpm._exists,LEFT($E13,1)="+"),"+",_xlpm._exists,"*",NOT(_xlpm._exists),"")
)</f>
        <v/>
      </c>
      <c r="N13" s="33" t="str" cm="1">
        <f t="array" aca="1" ref="N13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($E13=CLASSIFICATION[[Keyword Aggr]:[Keyword Aggr]])*($D13=CLASSIFICATION[[Functional Scope Aggr]:[Functional Scope Aggr]])),
_xlpm._platform_keywords, _xlfn.TEXTSPLIT(SUBSTITUTE(SUBSTITUTE(VLOOKUP($D13,_xlpm._platform_range,3,FALSE),"+"&amp;CHAR(34),"+"),CHAR(34),""),", "),
_xlpm._exists, SUMPRODUCT(--ISNUMBER(MATCH(_xlpm._platform_keywords,_xlpm._original_keywords,0)))&gt;0,
_xlfn.IFS(AND(_xlpm._exists,LEFT($E13,1)="+"),"+",_xlpm._exists,"*",NOT(_xlpm._exists),"")
)</f>
        <v/>
      </c>
      <c r="O13" s="33" t="str" cm="1">
        <f t="array" aca="1" ref="O13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($E13=CLASSIFICATION[[Keyword Aggr]:[Keyword Aggr]])*($D13=CLASSIFICATION[[Functional Scope Aggr]:[Functional Scope Aggr]])),
_xlpm._platform_keywords, _xlfn.TEXTSPLIT(SUBSTITUTE(SUBSTITUTE(VLOOKUP($D13,_xlpm._platform_range,3,FALSE),"+"&amp;CHAR(34),"+"),CHAR(34),""),", "),
_xlpm._exists, SUMPRODUCT(--ISNUMBER(MATCH(_xlpm._platform_keywords,_xlpm._original_keywords,0)))&gt;0,
_xlfn.IFS(AND(_xlpm._exists,LEFT($E13,1)="+"),"+",_xlpm._exists,"*",NOT(_xlpm._exists),"")
)</f>
        <v/>
      </c>
      <c r="Q13" s="33" t="str">
        <f t="shared" si="6"/>
        <v/>
      </c>
      <c r="R13" s="33" t="str">
        <f t="shared" si="7"/>
        <v/>
      </c>
      <c r="S13" s="33" t="str">
        <f t="shared" si="8"/>
        <v/>
      </c>
      <c r="T13" s="33" t="str">
        <f t="shared" si="9"/>
        <v/>
      </c>
      <c r="U13" s="33" t="str">
        <f t="shared" si="10"/>
        <v/>
      </c>
      <c r="V13" s="33" t="str">
        <f t="shared" si="11"/>
        <v/>
      </c>
      <c r="X13" s="33" t="str">
        <f t="shared" si="5"/>
        <v/>
      </c>
      <c r="Y13" s="32" t="str">
        <v>Programming</v>
      </c>
      <c r="Z13" s="32">
        <f ca="1"/>
        <v>3</v>
      </c>
      <c r="AA13" s="32">
        <f ca="1"/>
        <v>1</v>
      </c>
      <c r="AB13" s="32">
        <f ca="1"/>
        <v>5</v>
      </c>
      <c r="AC13" s="32">
        <f ca="1"/>
        <v>6</v>
      </c>
      <c r="AD13" s="32">
        <f ca="1"/>
        <v>6</v>
      </c>
      <c r="AE13" s="32">
        <f ca="1"/>
        <v>3</v>
      </c>
    </row>
    <row r="14" spans="1:31" x14ac:dyDescent="0.25">
      <c r="A14" s="19" t="str">
        <v>Design,Application logic,UML</v>
      </c>
      <c r="B14" t="s">
        <v>377</v>
      </c>
      <c r="C14" s="19" t="str" cm="1">
        <f t="array" ref="C14:E14">_xlfn.TEXTSPLIT(A14,",")</f>
        <v>Design</v>
      </c>
      <c r="D14" s="19" t="str">
        <v>Application logic</v>
      </c>
      <c r="E14" s="19" t="str">
        <v>UML</v>
      </c>
      <c r="F14" s="36" t="str" cm="1">
        <f t="array" ref="F14">_xlfn.TEXTJOIN(",",TRUE,_xlfn._xlws.FILTER(CLASSIFICATION[Keyword], ($E14=CLASSIFICATION[Keyword Aggr])*($D14=CLASSIFICATION[Functional Scope Aggr])))</f>
        <v>Activity Diagram,Sequence Flow</v>
      </c>
      <c r="G14" s="32" t="str">
        <f t="shared" si="4"/>
        <v/>
      </c>
      <c r="H14" s="32" t="str">
        <f t="shared" si="4"/>
        <v/>
      </c>
      <c r="I14" s="32" t="str">
        <f t="shared" si="2"/>
        <v>UML</v>
      </c>
      <c r="J14" s="33" t="str" cm="1">
        <f t="array" aca="1" ref="J14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($E14=CLASSIFICATION[[Keyword Aggr]:[Keyword Aggr]])*($D14=CLASSIFICATION[[Functional Scope Aggr]:[Functional Scope Aggr]])),
_xlpm._platform_keywords, _xlfn.TEXTSPLIT(SUBSTITUTE(SUBSTITUTE(VLOOKUP($D14,_xlpm._platform_range,3,FALSE),"+"&amp;CHAR(34),"+"),CHAR(34),""),", "),
_xlpm._exists, SUMPRODUCT(--ISNUMBER(MATCH(_xlpm._platform_keywords,_xlpm._original_keywords,0)))&gt;0,
_xlfn.IFS(AND(_xlpm._exists,LEFT($E14,1)="+"),"+",_xlpm._exists,"*",NOT(_xlpm._exists),"")
)</f>
        <v>*</v>
      </c>
      <c r="K14" s="33" t="str" cm="1">
        <f t="array" aca="1" ref="K14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($E14=CLASSIFICATION[[Keyword Aggr]:[Keyword Aggr]])*($D14=CLASSIFICATION[[Functional Scope Aggr]:[Functional Scope Aggr]])),
_xlpm._platform_keywords, _xlfn.TEXTSPLIT(SUBSTITUTE(SUBSTITUTE(VLOOKUP($D14,_xlpm._platform_range,3,FALSE),"+"&amp;CHAR(34),"+"),CHAR(34),""),", "),
_xlpm._exists, SUMPRODUCT(--ISNUMBER(MATCH(_xlpm._platform_keywords,_xlpm._original_keywords,0)))&gt;0,
_xlfn.IFS(AND(_xlpm._exists,LEFT($E14,1)="+"),"+",_xlpm._exists,"*",NOT(_xlpm._exists),"")
)</f>
        <v/>
      </c>
      <c r="L14" s="33" t="str" cm="1">
        <f t="array" aca="1" ref="L14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($E14=CLASSIFICATION[[Keyword Aggr]:[Keyword Aggr]])*($D14=CLASSIFICATION[[Functional Scope Aggr]:[Functional Scope Aggr]])),
_xlpm._platform_keywords, _xlfn.TEXTSPLIT(SUBSTITUTE(SUBSTITUTE(VLOOKUP($D14,_xlpm._platform_range,3,FALSE),"+"&amp;CHAR(34),"+"),CHAR(34),""),", "),
_xlpm._exists, SUMPRODUCT(--ISNUMBER(MATCH(_xlpm._platform_keywords,_xlpm._original_keywords,0)))&gt;0,
_xlfn.IFS(AND(_xlpm._exists,LEFT($E14,1)="+"),"+",_xlpm._exists,"*",NOT(_xlpm._exists),"")
)</f>
        <v/>
      </c>
      <c r="M14" s="33" t="str" cm="1">
        <f t="array" aca="1" ref="M14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($E14=CLASSIFICATION[[Keyword Aggr]:[Keyword Aggr]])*($D14=CLASSIFICATION[[Functional Scope Aggr]:[Functional Scope Aggr]])),
_xlpm._platform_keywords, _xlfn.TEXTSPLIT(SUBSTITUTE(SUBSTITUTE(VLOOKUP($D14,_xlpm._platform_range,3,FALSE),"+"&amp;CHAR(34),"+"),CHAR(34),""),", "),
_xlpm._exists, SUMPRODUCT(--ISNUMBER(MATCH(_xlpm._platform_keywords,_xlpm._original_keywords,0)))&gt;0,
_xlfn.IFS(AND(_xlpm._exists,LEFT($E14,1)="+"),"+",_xlpm._exists,"*",NOT(_xlpm._exists),"")
)</f>
        <v/>
      </c>
      <c r="N14" s="33" t="str" cm="1">
        <f t="array" aca="1" ref="N14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($E14=CLASSIFICATION[[Keyword Aggr]:[Keyword Aggr]])*($D14=CLASSIFICATION[[Functional Scope Aggr]:[Functional Scope Aggr]])),
_xlpm._platform_keywords, _xlfn.TEXTSPLIT(SUBSTITUTE(SUBSTITUTE(VLOOKUP($D14,_xlpm._platform_range,3,FALSE),"+"&amp;CHAR(34),"+"),CHAR(34),""),", "),
_xlpm._exists, SUMPRODUCT(--ISNUMBER(MATCH(_xlpm._platform_keywords,_xlpm._original_keywords,0)))&gt;0,
_xlfn.IFS(AND(_xlpm._exists,LEFT($E14,1)="+"),"+",_xlpm._exists,"*",NOT(_xlpm._exists),"")
)</f>
        <v/>
      </c>
      <c r="O14" s="33" t="str" cm="1">
        <f t="array" aca="1" ref="O14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($E14=CLASSIFICATION[[Keyword Aggr]:[Keyword Aggr]])*($D14=CLASSIFICATION[[Functional Scope Aggr]:[Functional Scope Aggr]])),
_xlpm._platform_keywords, _xlfn.TEXTSPLIT(SUBSTITUTE(SUBSTITUTE(VLOOKUP($D14,_xlpm._platform_range,3,FALSE),"+"&amp;CHAR(34),"+"),CHAR(34),""),", "),
_xlpm._exists, SUMPRODUCT(--ISNUMBER(MATCH(_xlpm._platform_keywords,_xlpm._original_keywords,0)))&gt;0,
_xlfn.IFS(AND(_xlpm._exists,LEFT($E14,1)="+"),"+",_xlpm._exists,"*",NOT(_xlpm._exists),"")
)</f>
        <v/>
      </c>
      <c r="Q14" s="33" t="str">
        <f t="shared" si="6"/>
        <v/>
      </c>
      <c r="R14" s="33" t="str">
        <f t="shared" si="7"/>
        <v/>
      </c>
      <c r="S14" s="33" t="str">
        <f t="shared" si="8"/>
        <v/>
      </c>
      <c r="T14" s="33" t="str">
        <f t="shared" si="9"/>
        <v/>
      </c>
      <c r="U14" s="33" t="str">
        <f t="shared" si="10"/>
        <v/>
      </c>
      <c r="V14" s="33" t="str">
        <f t="shared" si="11"/>
        <v/>
      </c>
      <c r="X14" s="33" t="str">
        <f t="shared" si="5"/>
        <v>Implementation</v>
      </c>
      <c r="Y14" s="32" t="str">
        <v>Runtime server installation</v>
      </c>
      <c r="Z14" s="32">
        <f ca="1"/>
        <v>9</v>
      </c>
      <c r="AA14" s="32">
        <f ca="1"/>
        <v>1</v>
      </c>
      <c r="AB14" s="32">
        <f ca="1"/>
        <v>2</v>
      </c>
      <c r="AC14" s="32">
        <f ca="1"/>
        <v>0</v>
      </c>
      <c r="AD14" s="32">
        <f ca="1"/>
        <v>0</v>
      </c>
      <c r="AE14" s="32">
        <f ca="1"/>
        <v>0</v>
      </c>
    </row>
    <row r="15" spans="1:31" x14ac:dyDescent="0.25">
      <c r="A15" s="19" t="str">
        <v>Design,Application logic,SQL</v>
      </c>
      <c r="B15" t="s">
        <v>377</v>
      </c>
      <c r="C15" s="19" t="str" cm="1">
        <f t="array" ref="C15:E15">_xlfn.TEXTSPLIT(A15,",")</f>
        <v>Design</v>
      </c>
      <c r="D15" s="19" t="str">
        <v>Application logic</v>
      </c>
      <c r="E15" s="19" t="str">
        <v>SQL</v>
      </c>
      <c r="F15" s="36" t="str" cm="1">
        <f t="array" ref="F15">_xlfn.TEXTJOIN(",",TRUE,_xlfn._xlws.FILTER(CLASSIFICATION[Keyword], ($E15=CLASSIFICATION[Keyword Aggr])*($D15=CLASSIFICATION[Functional Scope Aggr])))</f>
        <v>SQL/OQL,SQL</v>
      </c>
      <c r="G15" s="32" t="str">
        <f t="shared" si="4"/>
        <v/>
      </c>
      <c r="H15" s="32" t="str">
        <f t="shared" si="4"/>
        <v/>
      </c>
      <c r="I15" s="32" t="str">
        <f t="shared" si="2"/>
        <v>SQL</v>
      </c>
      <c r="J15" s="33" t="str" cm="1">
        <f t="array" aca="1" ref="J15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($E15=CLASSIFICATION[[Keyword Aggr]:[Keyword Aggr]])*($D15=CLASSIFICATION[[Functional Scope Aggr]:[Functional Scope Aggr]])),
_xlpm._platform_keywords, _xlfn.TEXTSPLIT(SUBSTITUTE(SUBSTITUTE(VLOOKUP($D15,_xlpm._platform_range,3,FALSE),"+"&amp;CHAR(34),"+"),CHAR(34),""),", "),
_xlpm._exists, SUMPRODUCT(--ISNUMBER(MATCH(_xlpm._platform_keywords,_xlpm._original_keywords,0)))&gt;0,
_xlfn.IFS(AND(_xlpm._exists,LEFT($E15,1)="+"),"+",_xlpm._exists,"*",NOT(_xlpm._exists),"")
)</f>
        <v>*</v>
      </c>
      <c r="K15" s="33" t="str" cm="1">
        <f t="array" aca="1" ref="K15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($E15=CLASSIFICATION[[Keyword Aggr]:[Keyword Aggr]])*($D15=CLASSIFICATION[[Functional Scope Aggr]:[Functional Scope Aggr]])),
_xlpm._platform_keywords, _xlfn.TEXTSPLIT(SUBSTITUTE(SUBSTITUTE(VLOOKUP($D15,_xlpm._platform_range,3,FALSE),"+"&amp;CHAR(34),"+"),CHAR(34),""),", "),
_xlpm._exists, SUMPRODUCT(--ISNUMBER(MATCH(_xlpm._platform_keywords,_xlpm._original_keywords,0)))&gt;0,
_xlfn.IFS(AND(_xlpm._exists,LEFT($E15,1)="+"),"+",_xlpm._exists,"*",NOT(_xlpm._exists),"")
)</f>
        <v/>
      </c>
      <c r="L15" s="33" t="str" cm="1">
        <f t="array" aca="1" ref="L15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($E15=CLASSIFICATION[[Keyword Aggr]:[Keyword Aggr]])*($D15=CLASSIFICATION[[Functional Scope Aggr]:[Functional Scope Aggr]])),
_xlpm._platform_keywords, _xlfn.TEXTSPLIT(SUBSTITUTE(SUBSTITUTE(VLOOKUP($D15,_xlpm._platform_range,3,FALSE),"+"&amp;CHAR(34),"+"),CHAR(34),""),", "),
_xlpm._exists, SUMPRODUCT(--ISNUMBER(MATCH(_xlpm._platform_keywords,_xlpm._original_keywords,0)))&gt;0,
_xlfn.IFS(AND(_xlpm._exists,LEFT($E15,1)="+"),"+",_xlpm._exists,"*",NOT(_xlpm._exists),"")
)</f>
        <v/>
      </c>
      <c r="M15" s="33" t="str" cm="1">
        <f t="array" aca="1" ref="M15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($E15=CLASSIFICATION[[Keyword Aggr]:[Keyword Aggr]])*($D15=CLASSIFICATION[[Functional Scope Aggr]:[Functional Scope Aggr]])),
_xlpm._platform_keywords, _xlfn.TEXTSPLIT(SUBSTITUTE(SUBSTITUTE(VLOOKUP($D15,_xlpm._platform_range,3,FALSE),"+"&amp;CHAR(34),"+"),CHAR(34),""),", "),
_xlpm._exists, SUMPRODUCT(--ISNUMBER(MATCH(_xlpm._platform_keywords,_xlpm._original_keywords,0)))&gt;0,
_xlfn.IFS(AND(_xlpm._exists,LEFT($E15,1)="+"),"+",_xlpm._exists,"*",NOT(_xlpm._exists),"")
)</f>
        <v/>
      </c>
      <c r="N15" s="33" t="str" cm="1">
        <f t="array" aca="1" ref="N15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($E15=CLASSIFICATION[[Keyword Aggr]:[Keyword Aggr]])*($D15=CLASSIFICATION[[Functional Scope Aggr]:[Functional Scope Aggr]])),
_xlpm._platform_keywords, _xlfn.TEXTSPLIT(SUBSTITUTE(SUBSTITUTE(VLOOKUP($D15,_xlpm._platform_range,3,FALSE),"+"&amp;CHAR(34),"+"),CHAR(34),""),", "),
_xlpm._exists, SUMPRODUCT(--ISNUMBER(MATCH(_xlpm._platform_keywords,_xlpm._original_keywords,0)))&gt;0,
_xlfn.IFS(AND(_xlpm._exists,LEFT($E15,1)="+"),"+",_xlpm._exists,"*",NOT(_xlpm._exists),"")
)</f>
        <v/>
      </c>
      <c r="O15" s="33" t="str" cm="1">
        <f t="array" aca="1" ref="O15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($E15=CLASSIFICATION[[Keyword Aggr]:[Keyword Aggr]])*($D15=CLASSIFICATION[[Functional Scope Aggr]:[Functional Scope Aggr]])),
_xlpm._platform_keywords, _xlfn.TEXTSPLIT(SUBSTITUTE(SUBSTITUTE(VLOOKUP($D15,_xlpm._platform_range,3,FALSE),"+"&amp;CHAR(34),"+"),CHAR(34),""),", "),
_xlpm._exists, SUMPRODUCT(--ISNUMBER(MATCH(_xlpm._platform_keywords,_xlpm._original_keywords,0)))&gt;0,
_xlfn.IFS(AND(_xlpm._exists,LEFT($E15,1)="+"),"+",_xlpm._exists,"*",NOT(_xlpm._exists),"")
)</f>
        <v>*</v>
      </c>
      <c r="Q15" s="33" t="str">
        <f t="shared" si="6"/>
        <v/>
      </c>
      <c r="R15" s="33" t="str">
        <f t="shared" si="7"/>
        <v/>
      </c>
      <c r="S15" s="33" t="str">
        <f t="shared" si="8"/>
        <v/>
      </c>
      <c r="T15" s="33" t="str">
        <f t="shared" si="9"/>
        <v/>
      </c>
      <c r="U15" s="33" t="str">
        <f t="shared" si="10"/>
        <v/>
      </c>
      <c r="V15" s="33" t="str">
        <f t="shared" si="11"/>
        <v/>
      </c>
      <c r="X15" s="33" t="str">
        <f t="shared" si="5"/>
        <v/>
      </c>
      <c r="Y15" s="32" t="str">
        <v>Database installation</v>
      </c>
      <c r="Z15" s="32">
        <f ca="1"/>
        <v>2</v>
      </c>
      <c r="AA15" s="32">
        <f ca="1"/>
        <v>2</v>
      </c>
      <c r="AB15" s="32">
        <f ca="1"/>
        <v>1</v>
      </c>
      <c r="AC15" s="32">
        <f ca="1"/>
        <v>1</v>
      </c>
      <c r="AD15" s="32">
        <f ca="1"/>
        <v>2</v>
      </c>
      <c r="AE15" s="32">
        <f ca="1"/>
        <v>1</v>
      </c>
    </row>
    <row r="16" spans="1:31" x14ac:dyDescent="0.25">
      <c r="A16" s="19" t="str">
        <v>Design,Application logic,Variables</v>
      </c>
      <c r="B16" t="s">
        <v>377</v>
      </c>
      <c r="C16" s="19" t="str" cm="1">
        <f t="array" ref="C16:E16">_xlfn.TEXTSPLIT(A16,",")</f>
        <v>Design</v>
      </c>
      <c r="D16" s="19" t="str">
        <v>Application logic</v>
      </c>
      <c r="E16" s="19" t="str">
        <v>Variables</v>
      </c>
      <c r="F16" s="36" t="str" cm="1">
        <f t="array" ref="F16">_xlfn.TEXTJOIN(",",TRUE,_xlfn._xlws.FILTER(CLASSIFICATION[Keyword], ($E16=CLASSIFICATION[Keyword Aggr])*($D16=CLASSIFICATION[Functional Scope Aggr])))</f>
        <v>Variables</v>
      </c>
      <c r="G16" s="32" t="str">
        <f t="shared" si="4"/>
        <v/>
      </c>
      <c r="H16" s="32" t="str">
        <f t="shared" si="4"/>
        <v/>
      </c>
      <c r="I16" s="32" t="str">
        <f t="shared" si="2"/>
        <v>Variables</v>
      </c>
      <c r="J16" s="33" t="str" cm="1">
        <f t="array" aca="1" ref="J16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($E16=CLASSIFICATION[[Keyword Aggr]:[Keyword Aggr]])*($D16=CLASSIFICATION[[Functional Scope Aggr]:[Functional Scope Aggr]])),
_xlpm._platform_keywords, _xlfn.TEXTSPLIT(SUBSTITUTE(SUBSTITUTE(VLOOKUP($D16,_xlpm._platform_range,3,FALSE),"+"&amp;CHAR(34),"+"),CHAR(34),""),", "),
_xlpm._exists, SUMPRODUCT(--ISNUMBER(MATCH(_xlpm._platform_keywords,_xlpm._original_keywords,0)))&gt;0,
_xlfn.IFS(AND(_xlpm._exists,LEFT($E16,1)="+"),"+",_xlpm._exists,"*",NOT(_xlpm._exists),"")
)</f>
        <v>*</v>
      </c>
      <c r="K16" s="33" t="str" cm="1">
        <f t="array" aca="1" ref="K16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($E16=CLASSIFICATION[[Keyword Aggr]:[Keyword Aggr]])*($D16=CLASSIFICATION[[Functional Scope Aggr]:[Functional Scope Aggr]])),
_xlpm._platform_keywords, _xlfn.TEXTSPLIT(SUBSTITUTE(SUBSTITUTE(VLOOKUP($D16,_xlpm._platform_range,3,FALSE),"+"&amp;CHAR(34),"+"),CHAR(34),""),", "),
_xlpm._exists, SUMPRODUCT(--ISNUMBER(MATCH(_xlpm._platform_keywords,_xlpm._original_keywords,0)))&gt;0,
_xlfn.IFS(AND(_xlpm._exists,LEFT($E16,1)="+"),"+",_xlpm._exists,"*",NOT(_xlpm._exists),"")
)</f>
        <v>*</v>
      </c>
      <c r="L16" s="33" t="str" cm="1">
        <f t="array" aca="1" ref="L16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($E16=CLASSIFICATION[[Keyword Aggr]:[Keyword Aggr]])*($D16=CLASSIFICATION[[Functional Scope Aggr]:[Functional Scope Aggr]])),
_xlpm._platform_keywords, _xlfn.TEXTSPLIT(SUBSTITUTE(SUBSTITUTE(VLOOKUP($D16,_xlpm._platform_range,3,FALSE),"+"&amp;CHAR(34),"+"),CHAR(34),""),", "),
_xlpm._exists, SUMPRODUCT(--ISNUMBER(MATCH(_xlpm._platform_keywords,_xlpm._original_keywords,0)))&gt;0,
_xlfn.IFS(AND(_xlpm._exists,LEFT($E16,1)="+"),"+",_xlpm._exists,"*",NOT(_xlpm._exists),"")
)</f>
        <v>*</v>
      </c>
      <c r="M16" s="33" t="str" cm="1">
        <f t="array" aca="1" ref="M16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($E16=CLASSIFICATION[[Keyword Aggr]:[Keyword Aggr]])*($D16=CLASSIFICATION[[Functional Scope Aggr]:[Functional Scope Aggr]])),
_xlpm._platform_keywords, _xlfn.TEXTSPLIT(SUBSTITUTE(SUBSTITUTE(VLOOKUP($D16,_xlpm._platform_range,3,FALSE),"+"&amp;CHAR(34),"+"),CHAR(34),""),", "),
_xlpm._exists, SUMPRODUCT(--ISNUMBER(MATCH(_xlpm._platform_keywords,_xlpm._original_keywords,0)))&gt;0,
_xlfn.IFS(AND(_xlpm._exists,LEFT($E16,1)="+"),"+",_xlpm._exists,"*",NOT(_xlpm._exists),"")
)</f>
        <v>*</v>
      </c>
      <c r="N16" s="33" t="str" cm="1">
        <f t="array" aca="1" ref="N16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($E16=CLASSIFICATION[[Keyword Aggr]:[Keyword Aggr]])*($D16=CLASSIFICATION[[Functional Scope Aggr]:[Functional Scope Aggr]])),
_xlpm._platform_keywords, _xlfn.TEXTSPLIT(SUBSTITUTE(SUBSTITUTE(VLOOKUP($D16,_xlpm._platform_range,3,FALSE),"+"&amp;CHAR(34),"+"),CHAR(34),""),", "),
_xlpm._exists, SUMPRODUCT(--ISNUMBER(MATCH(_xlpm._platform_keywords,_xlpm._original_keywords,0)))&gt;0,
_xlfn.IFS(AND(_xlpm._exists,LEFT($E16,1)="+"),"+",_xlpm._exists,"*",NOT(_xlpm._exists),"")
)</f>
        <v>*</v>
      </c>
      <c r="O16" s="33" t="str" cm="1">
        <f t="array" aca="1" ref="O16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($E16=CLASSIFICATION[[Keyword Aggr]:[Keyword Aggr]])*($D16=CLASSIFICATION[[Functional Scope Aggr]:[Functional Scope Aggr]])),
_xlpm._platform_keywords, _xlfn.TEXTSPLIT(SUBSTITUTE(SUBSTITUTE(VLOOKUP($D16,_xlpm._platform_range,3,FALSE),"+"&amp;CHAR(34),"+"),CHAR(34),""),", "),
_xlpm._exists, SUMPRODUCT(--ISNUMBER(MATCH(_xlpm._platform_keywords,_xlpm._original_keywords,0)))&gt;0,
_xlfn.IFS(AND(_xlpm._exists,LEFT($E16,1)="+"),"+",_xlpm._exists,"*",NOT(_xlpm._exists),"")
)</f>
        <v>*</v>
      </c>
      <c r="Q16" s="33" t="str">
        <f t="shared" si="6"/>
        <v/>
      </c>
      <c r="R16" s="33" t="str">
        <f t="shared" si="7"/>
        <v/>
      </c>
      <c r="S16" s="33" t="str">
        <f t="shared" si="8"/>
        <v/>
      </c>
      <c r="T16" s="33" t="str">
        <f t="shared" si="9"/>
        <v/>
      </c>
      <c r="U16" s="33" t="str">
        <f t="shared" si="10"/>
        <v/>
      </c>
      <c r="V16" s="33" t="str">
        <f t="shared" si="11"/>
        <v/>
      </c>
      <c r="X16" s="33" t="str">
        <f t="shared" si="5"/>
        <v/>
      </c>
      <c r="Y16" s="32" t="str">
        <v>Client module installation</v>
      </c>
      <c r="Z16" s="32">
        <f ca="1"/>
        <v>2</v>
      </c>
      <c r="AA16" s="32">
        <f ca="1"/>
        <v>1</v>
      </c>
      <c r="AB16" s="32">
        <f ca="1"/>
        <v>0</v>
      </c>
      <c r="AC16" s="32">
        <f ca="1"/>
        <v>1</v>
      </c>
      <c r="AD16" s="32">
        <f ca="1"/>
        <v>0</v>
      </c>
      <c r="AE16" s="32">
        <f ca="1"/>
        <v>0</v>
      </c>
    </row>
    <row r="17" spans="1:31" x14ac:dyDescent="0.25">
      <c r="A17" s="19" t="str">
        <v>Development,Workflow design and development,Custom Process Model</v>
      </c>
      <c r="B17" t="s">
        <v>377</v>
      </c>
      <c r="C17" s="19" t="str" cm="1">
        <f t="array" ref="C17:E17">_xlfn.TEXTSPLIT(A17,",")</f>
        <v>Development</v>
      </c>
      <c r="D17" s="19" t="str">
        <v>Workflow design and development</v>
      </c>
      <c r="E17" s="19" t="str">
        <v>Custom Process Model</v>
      </c>
      <c r="F17" s="36" t="str" cm="1">
        <f t="array" ref="F17">_xlfn.TEXTJOIN(",",TRUE,_xlfn._xlws.FILTER(CLASSIFICATION[Keyword], ($E17=CLASSIFICATION[Keyword Aggr])*($D17=CLASSIFICATION[Functional Scope Aggr])))</f>
        <v>Custom Process Model,Custom Process Model (AppSheet Automation),Custom Process Model (Business Process Flows)</v>
      </c>
      <c r="G17" s="32" t="str">
        <f t="shared" si="4"/>
        <v>Development</v>
      </c>
      <c r="H17" s="32" t="str">
        <f t="shared" si="4"/>
        <v>Workflow design and development</v>
      </c>
      <c r="I17" s="32" t="str">
        <f t="shared" si="2"/>
        <v>Custom Process Model</v>
      </c>
      <c r="J17" s="33" t="str" cm="1">
        <f t="array" aca="1" ref="J17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($E17=CLASSIFICATION[[Keyword Aggr]:[Keyword Aggr]])*($D17=CLASSIFICATION[[Functional Scope Aggr]:[Functional Scope Aggr]])),
_xlpm._platform_keywords, _xlfn.TEXTSPLIT(SUBSTITUTE(SUBSTITUTE(VLOOKUP($D17,_xlpm._platform_range,3,FALSE),"+"&amp;CHAR(34),"+"),CHAR(34),""),", "),
_xlpm._exists, SUMPRODUCT(--ISNUMBER(MATCH(_xlpm._platform_keywords,_xlpm._original_keywords,0)))&gt;0,
_xlfn.IFS(AND(_xlpm._exists,LEFT($E17,1)="+"),"+",_xlpm._exists,"*",NOT(_xlpm._exists),"")
)</f>
        <v/>
      </c>
      <c r="K17" s="33" t="str" cm="1">
        <f t="array" aca="1" ref="K17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($E17=CLASSIFICATION[[Keyword Aggr]:[Keyword Aggr]])*($D17=CLASSIFICATION[[Functional Scope Aggr]:[Functional Scope Aggr]])),
_xlpm._platform_keywords, _xlfn.TEXTSPLIT(SUBSTITUTE(SUBSTITUTE(VLOOKUP($D17,_xlpm._platform_range,3,FALSE),"+"&amp;CHAR(34),"+"),CHAR(34),""),", "),
_xlpm._exists, SUMPRODUCT(--ISNUMBER(MATCH(_xlpm._platform_keywords,_xlpm._original_keywords,0)))&gt;0,
_xlfn.IFS(AND(_xlpm._exists,LEFT($E17,1)="+"),"+",_xlpm._exists,"*",NOT(_xlpm._exists),"")
)</f>
        <v>*</v>
      </c>
      <c r="L17" s="33" t="str" cm="1">
        <f t="array" aca="1" ref="L17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($E17=CLASSIFICATION[[Keyword Aggr]:[Keyword Aggr]])*($D17=CLASSIFICATION[[Functional Scope Aggr]:[Functional Scope Aggr]])),
_xlpm._platform_keywords, _xlfn.TEXTSPLIT(SUBSTITUTE(SUBSTITUTE(VLOOKUP($D17,_xlpm._platform_range,3,FALSE),"+"&amp;CHAR(34),"+"),CHAR(34),""),", "),
_xlpm._exists, SUMPRODUCT(--ISNUMBER(MATCH(_xlpm._platform_keywords,_xlpm._original_keywords,0)))&gt;0,
_xlfn.IFS(AND(_xlpm._exists,LEFT($E17,1)="+"),"+",_xlpm._exists,"*",NOT(_xlpm._exists),"")
)</f>
        <v>*</v>
      </c>
      <c r="M17" s="33" t="str" cm="1">
        <f t="array" aca="1" ref="M17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($E17=CLASSIFICATION[[Keyword Aggr]:[Keyword Aggr]])*($D17=CLASSIFICATION[[Functional Scope Aggr]:[Functional Scope Aggr]])),
_xlpm._platform_keywords, _xlfn.TEXTSPLIT(SUBSTITUTE(SUBSTITUTE(VLOOKUP($D17,_xlpm._platform_range,3,FALSE),"+"&amp;CHAR(34),"+"),CHAR(34),""),", "),
_xlpm._exists, SUMPRODUCT(--ISNUMBER(MATCH(_xlpm._platform_keywords,_xlpm._original_keywords,0)))&gt;0,
_xlfn.IFS(AND(_xlpm._exists,LEFT($E17,1)="+"),"+",_xlpm._exists,"*",NOT(_xlpm._exists),"")
)</f>
        <v>*</v>
      </c>
      <c r="N17" s="33" t="str" cm="1">
        <f t="array" aca="1" ref="N17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($E17=CLASSIFICATION[[Keyword Aggr]:[Keyword Aggr]])*($D17=CLASSIFICATION[[Functional Scope Aggr]:[Functional Scope Aggr]])),
_xlpm._platform_keywords, _xlfn.TEXTSPLIT(SUBSTITUTE(SUBSTITUTE(VLOOKUP($D17,_xlpm._platform_range,3,FALSE),"+"&amp;CHAR(34),"+"),CHAR(34),""),", "),
_xlpm._exists, SUMPRODUCT(--ISNUMBER(MATCH(_xlpm._platform_keywords,_xlpm._original_keywords,0)))&gt;0,
_xlfn.IFS(AND(_xlpm._exists,LEFT($E17,1)="+"),"+",_xlpm._exists,"*",NOT(_xlpm._exists),"")
)</f>
        <v>*</v>
      </c>
      <c r="O17" s="33" t="str" cm="1">
        <f t="array" aca="1" ref="O17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($E17=CLASSIFICATION[[Keyword Aggr]:[Keyword Aggr]])*($D17=CLASSIFICATION[[Functional Scope Aggr]:[Functional Scope Aggr]])),
_xlpm._platform_keywords, _xlfn.TEXTSPLIT(SUBSTITUTE(SUBSTITUTE(VLOOKUP($D17,_xlpm._platform_range,3,FALSE),"+"&amp;CHAR(34),"+"),CHAR(34),""),", "),
_xlpm._exists, SUMPRODUCT(--ISNUMBER(MATCH(_xlpm._platform_keywords,_xlpm._original_keywords,0)))&gt;0,
_xlfn.IFS(AND(_xlpm._exists,LEFT($E17,1)="+"),"+",_xlpm._exists,"*",NOT(_xlpm._exists),"")
)</f>
        <v/>
      </c>
      <c r="Q17" s="33">
        <f t="shared" ca="1" si="6"/>
        <v>1</v>
      </c>
      <c r="R17" s="33">
        <f t="shared" ca="1" si="7"/>
        <v>1</v>
      </c>
      <c r="S17" s="33">
        <f t="shared" ca="1" si="8"/>
        <v>1</v>
      </c>
      <c r="T17" s="33">
        <f t="shared" ca="1" si="9"/>
        <v>1</v>
      </c>
      <c r="U17" s="33">
        <f t="shared" ca="1" si="10"/>
        <v>3</v>
      </c>
      <c r="V17" s="33">
        <f t="shared" ca="1" si="11"/>
        <v>0</v>
      </c>
      <c r="X17" s="33" t="str">
        <f t="shared" si="5"/>
        <v/>
      </c>
      <c r="Y17" s="32" t="str">
        <v>Deployment</v>
      </c>
      <c r="Z17" s="32">
        <f ca="1"/>
        <v>3</v>
      </c>
      <c r="AA17" s="32">
        <f ca="1"/>
        <v>4</v>
      </c>
      <c r="AB17" s="32">
        <f ca="1"/>
        <v>4</v>
      </c>
      <c r="AC17" s="32">
        <f ca="1"/>
        <v>0</v>
      </c>
      <c r="AD17" s="32">
        <f ca="1"/>
        <v>0</v>
      </c>
      <c r="AE17" s="32">
        <f ca="1"/>
        <v>0</v>
      </c>
    </row>
    <row r="18" spans="1:31" x14ac:dyDescent="0.25">
      <c r="A18" s="19" t="str">
        <v>Development,Workflow design and development,Java API</v>
      </c>
      <c r="B18" t="s">
        <v>377</v>
      </c>
      <c r="C18" s="19" t="str" cm="1">
        <f t="array" ref="C18:E18">_xlfn.TEXTSPLIT(A18,",")</f>
        <v>Development</v>
      </c>
      <c r="D18" s="19" t="str">
        <v>Workflow design and development</v>
      </c>
      <c r="E18" s="19" t="str">
        <v>Java API</v>
      </c>
      <c r="F18" s="36" t="str" cm="1">
        <f t="array" ref="F18">_xlfn.TEXTJOIN(",",TRUE,_xlfn._xlws.FILTER(CLASSIFICATION[Keyword], ($E18=CLASSIFICATION[Keyword Aggr])*($D18=CLASSIFICATION[Functional Scope Aggr])))</f>
        <v>Java API</v>
      </c>
      <c r="G18" s="32" t="str">
        <f t="shared" si="4"/>
        <v/>
      </c>
      <c r="H18" s="32" t="str">
        <f t="shared" si="4"/>
        <v/>
      </c>
      <c r="I18" s="32" t="str">
        <f t="shared" ref="I18:I81" si="12">E18</f>
        <v>Java API</v>
      </c>
      <c r="J18" s="33" t="str" cm="1">
        <f t="array" aca="1" ref="J18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($E18=CLASSIFICATION[[Keyword Aggr]:[Keyword Aggr]])*($D18=CLASSIFICATION[[Functional Scope Aggr]:[Functional Scope Aggr]])),
_xlpm._platform_keywords, _xlfn.TEXTSPLIT(SUBSTITUTE(SUBSTITUTE(VLOOKUP($D18,_xlpm._platform_range,3,FALSE),"+"&amp;CHAR(34),"+"),CHAR(34),""),", "),
_xlpm._exists, SUMPRODUCT(--ISNUMBER(MATCH(_xlpm._platform_keywords,_xlpm._original_keywords,0)))&gt;0,
_xlfn.IFS(AND(_xlpm._exists,LEFT($E18,1)="+"),"+",_xlpm._exists,"*",NOT(_xlpm._exists),"")
)</f>
        <v>*</v>
      </c>
      <c r="K18" s="33" t="str" cm="1">
        <f t="array" aca="1" ref="K18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($E18=CLASSIFICATION[[Keyword Aggr]:[Keyword Aggr]])*($D18=CLASSIFICATION[[Functional Scope Aggr]:[Functional Scope Aggr]])),
_xlpm._platform_keywords, _xlfn.TEXTSPLIT(SUBSTITUTE(SUBSTITUTE(VLOOKUP($D18,_xlpm._platform_range,3,FALSE),"+"&amp;CHAR(34),"+"),CHAR(34),""),", "),
_xlpm._exists, SUMPRODUCT(--ISNUMBER(MATCH(_xlpm._platform_keywords,_xlpm._original_keywords,0)))&gt;0,
_xlfn.IFS(AND(_xlpm._exists,LEFT($E18,1)="+"),"+",_xlpm._exists,"*",NOT(_xlpm._exists),"")
)</f>
        <v/>
      </c>
      <c r="L18" s="33" t="str" cm="1">
        <f t="array" aca="1" ref="L18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($E18=CLASSIFICATION[[Keyword Aggr]:[Keyword Aggr]])*($D18=CLASSIFICATION[[Functional Scope Aggr]:[Functional Scope Aggr]])),
_xlpm._platform_keywords, _xlfn.TEXTSPLIT(SUBSTITUTE(SUBSTITUTE(VLOOKUP($D18,_xlpm._platform_range,3,FALSE),"+"&amp;CHAR(34),"+"),CHAR(34),""),", "),
_xlpm._exists, SUMPRODUCT(--ISNUMBER(MATCH(_xlpm._platform_keywords,_xlpm._original_keywords,0)))&gt;0,
_xlfn.IFS(AND(_xlpm._exists,LEFT($E18,1)="+"),"+",_xlpm._exists,"*",NOT(_xlpm._exists),"")
)</f>
        <v/>
      </c>
      <c r="M18" s="33" t="str" cm="1">
        <f t="array" aca="1" ref="M18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($E18=CLASSIFICATION[[Keyword Aggr]:[Keyword Aggr]])*($D18=CLASSIFICATION[[Functional Scope Aggr]:[Functional Scope Aggr]])),
_xlpm._platform_keywords, _xlfn.TEXTSPLIT(SUBSTITUTE(SUBSTITUTE(VLOOKUP($D18,_xlpm._platform_range,3,FALSE),"+"&amp;CHAR(34),"+"),CHAR(34),""),", "),
_xlpm._exists, SUMPRODUCT(--ISNUMBER(MATCH(_xlpm._platform_keywords,_xlpm._original_keywords,0)))&gt;0,
_xlfn.IFS(AND(_xlpm._exists,LEFT($E18,1)="+"),"+",_xlpm._exists,"*",NOT(_xlpm._exists),"")
)</f>
        <v/>
      </c>
      <c r="N18" s="33" t="str" cm="1">
        <f t="array" aca="1" ref="N18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($E18=CLASSIFICATION[[Keyword Aggr]:[Keyword Aggr]])*($D18=CLASSIFICATION[[Functional Scope Aggr]:[Functional Scope Aggr]])),
_xlpm._platform_keywords, _xlfn.TEXTSPLIT(SUBSTITUTE(SUBSTITUTE(VLOOKUP($D18,_xlpm._platform_range,3,FALSE),"+"&amp;CHAR(34),"+"),CHAR(34),""),", "),
_xlpm._exists, SUMPRODUCT(--ISNUMBER(MATCH(_xlpm._platform_keywords,_xlpm._original_keywords,0)))&gt;0,
_xlfn.IFS(AND(_xlpm._exists,LEFT($E18,1)="+"),"+",_xlpm._exists,"*",NOT(_xlpm._exists),"")
)</f>
        <v/>
      </c>
      <c r="O18" s="33" t="str" cm="1">
        <f t="array" aca="1" ref="O18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($E18=CLASSIFICATION[[Keyword Aggr]:[Keyword Aggr]])*($D18=CLASSIFICATION[[Functional Scope Aggr]:[Functional Scope Aggr]])),
_xlpm._platform_keywords, _xlfn.TEXTSPLIT(SUBSTITUTE(SUBSTITUTE(VLOOKUP($D18,_xlpm._platform_range,3,FALSE),"+"&amp;CHAR(34),"+"),CHAR(34),""),", "),
_xlpm._exists, SUMPRODUCT(--ISNUMBER(MATCH(_xlpm._platform_keywords,_xlpm._original_keywords,0)))&gt;0,
_xlfn.IFS(AND(_xlpm._exists,LEFT($E18,1)="+"),"+",_xlpm._exists,"*",NOT(_xlpm._exists),"")
)</f>
        <v/>
      </c>
      <c r="Q18" s="33" t="str">
        <f t="shared" si="6"/>
        <v/>
      </c>
      <c r="R18" s="33" t="str">
        <f t="shared" si="7"/>
        <v/>
      </c>
      <c r="S18" s="33" t="str">
        <f t="shared" si="8"/>
        <v/>
      </c>
      <c r="T18" s="33" t="str">
        <f t="shared" si="9"/>
        <v/>
      </c>
      <c r="U18" s="33" t="str">
        <f t="shared" si="10"/>
        <v/>
      </c>
      <c r="V18" s="33" t="str">
        <f t="shared" si="11"/>
        <v/>
      </c>
      <c r="X18" s="33" t="str">
        <f t="shared" si="5"/>
        <v/>
      </c>
      <c r="Y18" s="32" t="str">
        <v>Version control</v>
      </c>
      <c r="Z18" s="32">
        <f ca="1"/>
        <v>2</v>
      </c>
      <c r="AA18" s="32">
        <f ca="1"/>
        <v>1</v>
      </c>
      <c r="AB18" s="32">
        <f ca="1"/>
        <v>1</v>
      </c>
      <c r="AC18" s="32">
        <f ca="1"/>
        <v>2</v>
      </c>
      <c r="AD18" s="32">
        <f ca="1"/>
        <v>1</v>
      </c>
      <c r="AE18" s="32">
        <f ca="1"/>
        <v>1</v>
      </c>
    </row>
    <row r="19" spans="1:31" x14ac:dyDescent="0.25">
      <c r="A19" s="19" t="str">
        <v>Development,Workflow design and development,JavaScript</v>
      </c>
      <c r="B19" t="s">
        <v>377</v>
      </c>
      <c r="C19" s="19" t="str" cm="1">
        <f t="array" ref="C19:E19">_xlfn.TEXTSPLIT(A19,",")</f>
        <v>Development</v>
      </c>
      <c r="D19" s="19" t="str">
        <v>Workflow design and development</v>
      </c>
      <c r="E19" s="19" t="str">
        <v>JavaScript</v>
      </c>
      <c r="F19" s="36" t="str" cm="1">
        <f t="array" ref="F19">_xlfn.TEXTJOIN(",",TRUE,_xlfn._xlws.FILTER(CLASSIFICATION[Keyword], ($E19=CLASSIFICATION[Keyword Aggr])*($D19=CLASSIFICATION[Functional Scope Aggr])))</f>
        <v>JavaScript</v>
      </c>
      <c r="G19" s="32" t="str">
        <f t="shared" si="4"/>
        <v/>
      </c>
      <c r="H19" s="32" t="str">
        <f t="shared" si="4"/>
        <v/>
      </c>
      <c r="I19" s="32" t="str">
        <f t="shared" si="12"/>
        <v>JavaScript</v>
      </c>
      <c r="J19" s="33" t="str" cm="1">
        <f t="array" aca="1" ref="J19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($E19=CLASSIFICATION[[Keyword Aggr]:[Keyword Aggr]])*($D19=CLASSIFICATION[[Functional Scope Aggr]:[Functional Scope Aggr]])),
_xlpm._platform_keywords, _xlfn.TEXTSPLIT(SUBSTITUTE(SUBSTITUTE(VLOOKUP($D19,_xlpm._platform_range,3,FALSE),"+"&amp;CHAR(34),"+"),CHAR(34),""),", "),
_xlpm._exists, SUMPRODUCT(--ISNUMBER(MATCH(_xlpm._platform_keywords,_xlpm._original_keywords,0)))&gt;0,
_xlfn.IFS(AND(_xlpm._exists,LEFT($E19,1)="+"),"+",_xlpm._exists,"*",NOT(_xlpm._exists),"")
)</f>
        <v/>
      </c>
      <c r="K19" s="33" t="str" cm="1">
        <f t="array" aca="1" ref="K19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($E19=CLASSIFICATION[[Keyword Aggr]:[Keyword Aggr]])*($D19=CLASSIFICATION[[Functional Scope Aggr]:[Functional Scope Aggr]])),
_xlpm._platform_keywords, _xlfn.TEXTSPLIT(SUBSTITUTE(SUBSTITUTE(VLOOKUP($D19,_xlpm._platform_range,3,FALSE),"+"&amp;CHAR(34),"+"),CHAR(34),""),", "),
_xlpm._exists, SUMPRODUCT(--ISNUMBER(MATCH(_xlpm._platform_keywords,_xlpm._original_keywords,0)))&gt;0,
_xlfn.IFS(AND(_xlpm._exists,LEFT($E19,1)="+"),"+",_xlpm._exists,"*",NOT(_xlpm._exists),"")
)</f>
        <v/>
      </c>
      <c r="L19" s="33" t="str" cm="1">
        <f t="array" aca="1" ref="L19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($E19=CLASSIFICATION[[Keyword Aggr]:[Keyword Aggr]])*($D19=CLASSIFICATION[[Functional Scope Aggr]:[Functional Scope Aggr]])),
_xlpm._platform_keywords, _xlfn.TEXTSPLIT(SUBSTITUTE(SUBSTITUTE(VLOOKUP($D19,_xlpm._platform_range,3,FALSE),"+"&amp;CHAR(34),"+"),CHAR(34),""),", "),
_xlpm._exists, SUMPRODUCT(--ISNUMBER(MATCH(_xlpm._platform_keywords,_xlpm._original_keywords,0)))&gt;0,
_xlfn.IFS(AND(_xlpm._exists,LEFT($E19,1)="+"),"+",_xlpm._exists,"*",NOT(_xlpm._exists),"")
)</f>
        <v/>
      </c>
      <c r="M19" s="33" t="str" cm="1">
        <f t="array" aca="1" ref="M19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($E19=CLASSIFICATION[[Keyword Aggr]:[Keyword Aggr]])*($D19=CLASSIFICATION[[Functional Scope Aggr]:[Functional Scope Aggr]])),
_xlpm._platform_keywords, _xlfn.TEXTSPLIT(SUBSTITUTE(SUBSTITUTE(VLOOKUP($D19,_xlpm._platform_range,3,FALSE),"+"&amp;CHAR(34),"+"),CHAR(34),""),", "),
_xlpm._exists, SUMPRODUCT(--ISNUMBER(MATCH(_xlpm._platform_keywords,_xlpm._original_keywords,0)))&gt;0,
_xlfn.IFS(AND(_xlpm._exists,LEFT($E19,1)="+"),"+",_xlpm._exists,"*",NOT(_xlpm._exists),"")
)</f>
        <v/>
      </c>
      <c r="N19" s="33" t="str" cm="1">
        <f t="array" aca="1" ref="N19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($E19=CLASSIFICATION[[Keyword Aggr]:[Keyword Aggr]])*($D19=CLASSIFICATION[[Functional Scope Aggr]:[Functional Scope Aggr]])),
_xlpm._platform_keywords, _xlfn.TEXTSPLIT(SUBSTITUTE(SUBSTITUTE(VLOOKUP($D19,_xlpm._platform_range,3,FALSE),"+"&amp;CHAR(34),"+"),CHAR(34),""),", "),
_xlpm._exists, SUMPRODUCT(--ISNUMBER(MATCH(_xlpm._platform_keywords,_xlpm._original_keywords,0)))&gt;0,
_xlfn.IFS(AND(_xlpm._exists,LEFT($E19,1)="+"),"+",_xlpm._exists,"*",NOT(_xlpm._exists),"")
)</f>
        <v>*</v>
      </c>
      <c r="O19" s="33" t="str" cm="1">
        <f t="array" aca="1" ref="O19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($E19=CLASSIFICATION[[Keyword Aggr]:[Keyword Aggr]])*($D19=CLASSIFICATION[[Functional Scope Aggr]:[Functional Scope Aggr]])),
_xlpm._platform_keywords, _xlfn.TEXTSPLIT(SUBSTITUTE(SUBSTITUTE(VLOOKUP($D19,_xlpm._platform_range,3,FALSE),"+"&amp;CHAR(34),"+"),CHAR(34),""),", "),
_xlpm._exists, SUMPRODUCT(--ISNUMBER(MATCH(_xlpm._platform_keywords,_xlpm._original_keywords,0)))&gt;0,
_xlfn.IFS(AND(_xlpm._exists,LEFT($E19,1)="+"),"+",_xlpm._exists,"*",NOT(_xlpm._exists),"")
)</f>
        <v/>
      </c>
      <c r="Q19" s="33" t="str">
        <f t="shared" si="6"/>
        <v/>
      </c>
      <c r="R19" s="33" t="str">
        <f t="shared" si="7"/>
        <v/>
      </c>
      <c r="S19" s="33" t="str">
        <f t="shared" si="8"/>
        <v/>
      </c>
      <c r="T19" s="33" t="str">
        <f t="shared" si="9"/>
        <v/>
      </c>
      <c r="U19" s="33" t="str">
        <f t="shared" si="10"/>
        <v/>
      </c>
      <c r="V19" s="33" t="str">
        <f t="shared" si="11"/>
        <v/>
      </c>
      <c r="X19" s="33" t="e">
        <f t="shared" si="5"/>
        <v>#VALUE!</v>
      </c>
      <c r="Y19" s="32">
        <v>0</v>
      </c>
      <c r="Z19" s="32">
        <f ca="1"/>
        <v>0</v>
      </c>
      <c r="AA19" s="32">
        <f ca="1"/>
        <v>0</v>
      </c>
      <c r="AB19" s="32">
        <f ca="1"/>
        <v>0</v>
      </c>
      <c r="AC19" s="32">
        <f ca="1"/>
        <v>0</v>
      </c>
      <c r="AD19" s="32">
        <f ca="1"/>
        <v>0</v>
      </c>
      <c r="AE19" s="32">
        <f ca="1"/>
        <v>0</v>
      </c>
    </row>
    <row r="20" spans="1:31" x14ac:dyDescent="0.25">
      <c r="A20" s="19" t="str">
        <v>Development,Workflow design and development,REST API</v>
      </c>
      <c r="B20" t="s">
        <v>377</v>
      </c>
      <c r="C20" s="19" t="str" cm="1">
        <f t="array" ref="C20:E20">_xlfn.TEXTSPLIT(A20,",")</f>
        <v>Development</v>
      </c>
      <c r="D20" s="19" t="str">
        <v>Workflow design and development</v>
      </c>
      <c r="E20" s="19" t="str">
        <v>REST API</v>
      </c>
      <c r="F20" s="36" t="str" cm="1">
        <f t="array" ref="F20">_xlfn.TEXTJOIN(",",TRUE,_xlfn._xlws.FILTER(CLASSIFICATION[Keyword], ($E20=CLASSIFICATION[Keyword Aggr])*($D20=CLASSIFICATION[Functional Scope Aggr])))</f>
        <v>REST API</v>
      </c>
      <c r="G20" s="32" t="str">
        <f t="shared" si="4"/>
        <v/>
      </c>
      <c r="H20" s="32" t="str">
        <f t="shared" si="4"/>
        <v/>
      </c>
      <c r="I20" s="32" t="str">
        <f t="shared" si="12"/>
        <v>REST API</v>
      </c>
      <c r="J20" s="33" t="str" cm="1">
        <f t="array" aca="1" ref="J20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($E20=CLASSIFICATION[[Keyword Aggr]:[Keyword Aggr]])*($D20=CLASSIFICATION[[Functional Scope Aggr]:[Functional Scope Aggr]])),
_xlpm._platform_keywords, _xlfn.TEXTSPLIT(SUBSTITUTE(SUBSTITUTE(VLOOKUP($D20,_xlpm._platform_range,3,FALSE),"+"&amp;CHAR(34),"+"),CHAR(34),""),", "),
_xlpm._exists, SUMPRODUCT(--ISNUMBER(MATCH(_xlpm._platform_keywords,_xlpm._original_keywords,0)))&gt;0,
_xlfn.IFS(AND(_xlpm._exists,LEFT($E20,1)="+"),"+",_xlpm._exists,"*",NOT(_xlpm._exists),"")
)</f>
        <v/>
      </c>
      <c r="K20" s="33" t="str" cm="1">
        <f t="array" aca="1" ref="K20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($E20=CLASSIFICATION[[Keyword Aggr]:[Keyword Aggr]])*($D20=CLASSIFICATION[[Functional Scope Aggr]:[Functional Scope Aggr]])),
_xlpm._platform_keywords, _xlfn.TEXTSPLIT(SUBSTITUTE(SUBSTITUTE(VLOOKUP($D20,_xlpm._platform_range,3,FALSE),"+"&amp;CHAR(34),"+"),CHAR(34),""),", "),
_xlpm._exists, SUMPRODUCT(--ISNUMBER(MATCH(_xlpm._platform_keywords,_xlpm._original_keywords,0)))&gt;0,
_xlfn.IFS(AND(_xlpm._exists,LEFT($E20,1)="+"),"+",_xlpm._exists,"*",NOT(_xlpm._exists),"")
)</f>
        <v/>
      </c>
      <c r="L20" s="33" t="str" cm="1">
        <f t="array" aca="1" ref="L20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($E20=CLASSIFICATION[[Keyword Aggr]:[Keyword Aggr]])*($D20=CLASSIFICATION[[Functional Scope Aggr]:[Functional Scope Aggr]])),
_xlpm._platform_keywords, _xlfn.TEXTSPLIT(SUBSTITUTE(SUBSTITUTE(VLOOKUP($D20,_xlpm._platform_range,3,FALSE),"+"&amp;CHAR(34),"+"),CHAR(34),""),", "),
_xlpm._exists, SUMPRODUCT(--ISNUMBER(MATCH(_xlpm._platform_keywords,_xlpm._original_keywords,0)))&gt;0,
_xlfn.IFS(AND(_xlpm._exists,LEFT($E20,1)="+"),"+",_xlpm._exists,"*",NOT(_xlpm._exists),"")
)</f>
        <v/>
      </c>
      <c r="M20" s="33" t="str" cm="1">
        <f t="array" aca="1" ref="M20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($E20=CLASSIFICATION[[Keyword Aggr]:[Keyword Aggr]])*($D20=CLASSIFICATION[[Functional Scope Aggr]:[Functional Scope Aggr]])),
_xlpm._platform_keywords, _xlfn.TEXTSPLIT(SUBSTITUTE(SUBSTITUTE(VLOOKUP($D20,_xlpm._platform_range,3,FALSE),"+"&amp;CHAR(34),"+"),CHAR(34),""),", "),
_xlpm._exists, SUMPRODUCT(--ISNUMBER(MATCH(_xlpm._platform_keywords,_xlpm._original_keywords,0)))&gt;0,
_xlfn.IFS(AND(_xlpm._exists,LEFT($E20,1)="+"),"+",_xlpm._exists,"*",NOT(_xlpm._exists),"")
)</f>
        <v/>
      </c>
      <c r="N20" s="33" t="str" cm="1">
        <f t="array" aca="1" ref="N20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($E20=CLASSIFICATION[[Keyword Aggr]:[Keyword Aggr]])*($D20=CLASSIFICATION[[Functional Scope Aggr]:[Functional Scope Aggr]])),
_xlpm._platform_keywords, _xlfn.TEXTSPLIT(SUBSTITUTE(SUBSTITUTE(VLOOKUP($D20,_xlpm._platform_range,3,FALSE),"+"&amp;CHAR(34),"+"),CHAR(34),""),", "),
_xlpm._exists, SUMPRODUCT(--ISNUMBER(MATCH(_xlpm._platform_keywords,_xlpm._original_keywords,0)))&gt;0,
_xlfn.IFS(AND(_xlpm._exists,LEFT($E20,1)="+"),"+",_xlpm._exists,"*",NOT(_xlpm._exists),"")
)</f>
        <v>*</v>
      </c>
      <c r="O20" s="33" t="str" cm="1">
        <f t="array" aca="1" ref="O20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($E20=CLASSIFICATION[[Keyword Aggr]:[Keyword Aggr]])*($D20=CLASSIFICATION[[Functional Scope Aggr]:[Functional Scope Aggr]])),
_xlpm._platform_keywords, _xlfn.TEXTSPLIT(SUBSTITUTE(SUBSTITUTE(VLOOKUP($D20,_xlpm._platform_range,3,FALSE),"+"&amp;CHAR(34),"+"),CHAR(34),""),", "),
_xlpm._exists, SUMPRODUCT(--ISNUMBER(MATCH(_xlpm._platform_keywords,_xlpm._original_keywords,0)))&gt;0,
_xlfn.IFS(AND(_xlpm._exists,LEFT($E20,1)="+"),"+",_xlpm._exists,"*",NOT(_xlpm._exists),"")
)</f>
        <v/>
      </c>
      <c r="Q20" s="33" t="str">
        <f t="shared" si="6"/>
        <v/>
      </c>
      <c r="R20" s="33" t="str">
        <f t="shared" si="7"/>
        <v/>
      </c>
      <c r="S20" s="33" t="str">
        <f t="shared" si="8"/>
        <v/>
      </c>
      <c r="T20" s="33" t="str">
        <f t="shared" si="9"/>
        <v/>
      </c>
      <c r="U20" s="33" t="str">
        <f t="shared" si="10"/>
        <v/>
      </c>
      <c r="V20" s="33" t="str">
        <f t="shared" si="11"/>
        <v/>
      </c>
      <c r="Y20" s="32"/>
      <c r="Z20" s="32"/>
      <c r="AA20" s="32"/>
      <c r="AB20" s="32"/>
      <c r="AC20" s="32"/>
      <c r="AD20" s="32"/>
      <c r="AE20" s="32"/>
    </row>
    <row r="21" spans="1:31" x14ac:dyDescent="0.25">
      <c r="A21" s="19" t="str">
        <v>Development,Database design,Relational Database</v>
      </c>
      <c r="B21" t="s">
        <v>377</v>
      </c>
      <c r="C21" s="19" t="str" cm="1">
        <f t="array" ref="C21:E21">_xlfn.TEXTSPLIT(A21,",")</f>
        <v>Development</v>
      </c>
      <c r="D21" s="19" t="str">
        <v>Database design</v>
      </c>
      <c r="E21" s="19" t="str">
        <v>Relational Database</v>
      </c>
      <c r="F21" s="36" t="str" cm="1">
        <f t="array" ref="F21">_xlfn.TEXTJOIN(",",TRUE,_xlfn._xlws.FILTER(CLASSIFICATION[Keyword], ($E21=CLASSIFICATION[Keyword Aggr])*($D21=CLASSIFICATION[Functional Scope Aggr])))</f>
        <v>Denormalization,Keys,Many-to-Many,One-to-Many,One-to-One,Relational Database Concept,Relational Database</v>
      </c>
      <c r="G21" s="32" t="str">
        <f t="shared" si="4"/>
        <v/>
      </c>
      <c r="H21" s="32" t="str">
        <f t="shared" si="4"/>
        <v>Database design</v>
      </c>
      <c r="I21" s="32" t="str">
        <f t="shared" si="12"/>
        <v>Relational Database</v>
      </c>
      <c r="J21" s="33" t="str" cm="1">
        <f t="array" aca="1" ref="J21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($E21=CLASSIFICATION[[Keyword Aggr]:[Keyword Aggr]])*($D21=CLASSIFICATION[[Functional Scope Aggr]:[Functional Scope Aggr]])),
_xlpm._platform_keywords, _xlfn.TEXTSPLIT(SUBSTITUTE(SUBSTITUTE(VLOOKUP($D21,_xlpm._platform_range,3,FALSE),"+"&amp;CHAR(34),"+"),CHAR(34),""),", "),
_xlpm._exists, SUMPRODUCT(--ISNUMBER(MATCH(_xlpm._platform_keywords,_xlpm._original_keywords,0)))&gt;0,
_xlfn.IFS(AND(_xlpm._exists,LEFT($E21,1)="+"),"+",_xlpm._exists,"*",NOT(_xlpm._exists),"")
)</f>
        <v>*</v>
      </c>
      <c r="K21" s="33" t="str" cm="1">
        <f t="array" aca="1" ref="K21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($E21=CLASSIFICATION[[Keyword Aggr]:[Keyword Aggr]])*($D21=CLASSIFICATION[[Functional Scope Aggr]:[Functional Scope Aggr]])),
_xlpm._platform_keywords, _xlfn.TEXTSPLIT(SUBSTITUTE(SUBSTITUTE(VLOOKUP($D21,_xlpm._platform_range,3,FALSE),"+"&amp;CHAR(34),"+"),CHAR(34),""),", "),
_xlpm._exists, SUMPRODUCT(--ISNUMBER(MATCH(_xlpm._platform_keywords,_xlpm._original_keywords,0)))&gt;0,
_xlfn.IFS(AND(_xlpm._exists,LEFT($E21,1)="+"),"+",_xlpm._exists,"*",NOT(_xlpm._exists),"")
)</f>
        <v>*</v>
      </c>
      <c r="L21" s="33" t="str" cm="1">
        <f t="array" aca="1" ref="L21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($E21=CLASSIFICATION[[Keyword Aggr]:[Keyword Aggr]])*($D21=CLASSIFICATION[[Functional Scope Aggr]:[Functional Scope Aggr]])),
_xlpm._platform_keywords, _xlfn.TEXTSPLIT(SUBSTITUTE(SUBSTITUTE(VLOOKUP($D21,_xlpm._platform_range,3,FALSE),"+"&amp;CHAR(34),"+"),CHAR(34),""),", "),
_xlpm._exists, SUMPRODUCT(--ISNUMBER(MATCH(_xlpm._platform_keywords,_xlpm._original_keywords,0)))&gt;0,
_xlfn.IFS(AND(_xlpm._exists,LEFT($E21,1)="+"),"+",_xlpm._exists,"*",NOT(_xlpm._exists),"")
)</f>
        <v>*</v>
      </c>
      <c r="M21" s="33" t="str" cm="1">
        <f t="array" aca="1" ref="M21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($E21=CLASSIFICATION[[Keyword Aggr]:[Keyword Aggr]])*($D21=CLASSIFICATION[[Functional Scope Aggr]:[Functional Scope Aggr]])),
_xlpm._platform_keywords, _xlfn.TEXTSPLIT(SUBSTITUTE(SUBSTITUTE(VLOOKUP($D21,_xlpm._platform_range,3,FALSE),"+"&amp;CHAR(34),"+"),CHAR(34),""),", "),
_xlpm._exists, SUMPRODUCT(--ISNUMBER(MATCH(_xlpm._platform_keywords,_xlpm._original_keywords,0)))&gt;0,
_xlfn.IFS(AND(_xlpm._exists,LEFT($E21,1)="+"),"+",_xlpm._exists,"*",NOT(_xlpm._exists),"")
)</f>
        <v>*</v>
      </c>
      <c r="N21" s="33" t="str" cm="1">
        <f t="array" aca="1" ref="N21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($E21=CLASSIFICATION[[Keyword Aggr]:[Keyword Aggr]])*($D21=CLASSIFICATION[[Functional Scope Aggr]:[Functional Scope Aggr]])),
_xlpm._platform_keywords, _xlfn.TEXTSPLIT(SUBSTITUTE(SUBSTITUTE(VLOOKUP($D21,_xlpm._platform_range,3,FALSE),"+"&amp;CHAR(34),"+"),CHAR(34),""),", "),
_xlpm._exists, SUMPRODUCT(--ISNUMBER(MATCH(_xlpm._platform_keywords,_xlpm._original_keywords,0)))&gt;0,
_xlfn.IFS(AND(_xlpm._exists,LEFT($E21,1)="+"),"+",_xlpm._exists,"*",NOT(_xlpm._exists),"")
)</f>
        <v>*</v>
      </c>
      <c r="O21" s="33" t="str" cm="1">
        <f t="array" aca="1" ref="O21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($E21=CLASSIFICATION[[Keyword Aggr]:[Keyword Aggr]])*($D21=CLASSIFICATION[[Functional Scope Aggr]:[Functional Scope Aggr]])),
_xlpm._platform_keywords, _xlfn.TEXTSPLIT(SUBSTITUTE(SUBSTITUTE(VLOOKUP($D21,_xlpm._platform_range,3,FALSE),"+"&amp;CHAR(34),"+"),CHAR(34),""),", "),
_xlpm._exists, SUMPRODUCT(--ISNUMBER(MATCH(_xlpm._platform_keywords,_xlpm._original_keywords,0)))&gt;0,
_xlfn.IFS(AND(_xlpm._exists,LEFT($E21,1)="+"),"+",_xlpm._exists,"*",NOT(_xlpm._exists),"")
)</f>
        <v/>
      </c>
      <c r="Q21" s="33">
        <f t="shared" ca="1" si="6"/>
        <v>2</v>
      </c>
      <c r="R21" s="33">
        <f t="shared" ca="1" si="7"/>
        <v>2</v>
      </c>
      <c r="S21" s="33">
        <f t="shared" ca="1" si="8"/>
        <v>1</v>
      </c>
      <c r="T21" s="33">
        <f t="shared" ca="1" si="9"/>
        <v>4</v>
      </c>
      <c r="U21" s="33">
        <f t="shared" ca="1" si="10"/>
        <v>3</v>
      </c>
      <c r="V21" s="33">
        <f t="shared" ca="1" si="11"/>
        <v>1</v>
      </c>
      <c r="Z21">
        <f t="shared" ref="Z21:AE21" ca="1" si="13">SUM(Z3:Z14)</f>
        <v>30</v>
      </c>
      <c r="AA21">
        <f t="shared" ca="1" si="13"/>
        <v>16</v>
      </c>
      <c r="AB21">
        <f t="shared" ca="1" si="13"/>
        <v>24</v>
      </c>
      <c r="AC21">
        <f t="shared" ca="1" si="13"/>
        <v>26</v>
      </c>
      <c r="AD21">
        <f t="shared" ca="1" si="13"/>
        <v>17</v>
      </c>
      <c r="AE21">
        <f t="shared" ca="1" si="13"/>
        <v>14</v>
      </c>
    </row>
    <row r="22" spans="1:31" x14ac:dyDescent="0.25">
      <c r="A22" s="19" t="str">
        <v>Development,Database design,Functions</v>
      </c>
      <c r="B22" t="s">
        <v>377</v>
      </c>
      <c r="C22" s="19" t="str" cm="1">
        <f t="array" ref="C22:E22">_xlfn.TEXTSPLIT(A22,",")</f>
        <v>Development</v>
      </c>
      <c r="D22" s="19" t="str">
        <v>Database design</v>
      </c>
      <c r="E22" s="19" t="str">
        <v>Functions</v>
      </c>
      <c r="F22" s="36" t="str" cm="1">
        <f t="array" ref="F22">_xlfn.TEXTJOIN(",",TRUE,_xlfn._xlws.FILTER(CLASSIFICATION[Keyword], ($E22=CLASSIFICATION[Keyword Aggr])*($D22=CLASSIFICATION[Functional Scope Aggr])))</f>
        <v>Functions,Functions (Deep Link)</v>
      </c>
      <c r="G22" s="32" t="str">
        <f t="shared" si="4"/>
        <v/>
      </c>
      <c r="H22" s="32" t="str">
        <f t="shared" si="4"/>
        <v/>
      </c>
      <c r="I22" s="32" t="str">
        <f t="shared" si="12"/>
        <v>Functions</v>
      </c>
      <c r="J22" s="33" t="str" cm="1">
        <f t="array" aca="1" ref="J22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($E22=CLASSIFICATION[[Keyword Aggr]:[Keyword Aggr]])*($D22=CLASSIFICATION[[Functional Scope Aggr]:[Functional Scope Aggr]])),
_xlpm._platform_keywords, _xlfn.TEXTSPLIT(SUBSTITUTE(SUBSTITUTE(VLOOKUP($D22,_xlpm._platform_range,3,FALSE),"+"&amp;CHAR(34),"+"),CHAR(34),""),", "),
_xlpm._exists, SUMPRODUCT(--ISNUMBER(MATCH(_xlpm._platform_keywords,_xlpm._original_keywords,0)))&gt;0,
_xlfn.IFS(AND(_xlpm._exists,LEFT($E22,1)="+"),"+",_xlpm._exists,"*",NOT(_xlpm._exists),"")
)</f>
        <v/>
      </c>
      <c r="K22" s="33" t="str" cm="1">
        <f t="array" aca="1" ref="K22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($E22=CLASSIFICATION[[Keyword Aggr]:[Keyword Aggr]])*($D22=CLASSIFICATION[[Functional Scope Aggr]:[Functional Scope Aggr]])),
_xlpm._platform_keywords, _xlfn.TEXTSPLIT(SUBSTITUTE(SUBSTITUTE(VLOOKUP($D22,_xlpm._platform_range,3,FALSE),"+"&amp;CHAR(34),"+"),CHAR(34),""),", "),
_xlpm._exists, SUMPRODUCT(--ISNUMBER(MATCH(_xlpm._platform_keywords,_xlpm._original_keywords,0)))&gt;0,
_xlfn.IFS(AND(_xlpm._exists,LEFT($E22,1)="+"),"+",_xlpm._exists,"*",NOT(_xlpm._exists),"")
)</f>
        <v/>
      </c>
      <c r="L22" s="33" t="str" cm="1">
        <f t="array" aca="1" ref="L22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($E22=CLASSIFICATION[[Keyword Aggr]:[Keyword Aggr]])*($D22=CLASSIFICATION[[Functional Scope Aggr]:[Functional Scope Aggr]])),
_xlpm._platform_keywords, _xlfn.TEXTSPLIT(SUBSTITUTE(SUBSTITUTE(VLOOKUP($D22,_xlpm._platform_range,3,FALSE),"+"&amp;CHAR(34),"+"),CHAR(34),""),", "),
_xlpm._exists, SUMPRODUCT(--ISNUMBER(MATCH(_xlpm._platform_keywords,_xlpm._original_keywords,0)))&gt;0,
_xlfn.IFS(AND(_xlpm._exists,LEFT($E22,1)="+"),"+",_xlpm._exists,"*",NOT(_xlpm._exists),"")
)</f>
        <v/>
      </c>
      <c r="M22" s="33" t="str" cm="1">
        <f t="array" aca="1" ref="M22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($E22=CLASSIFICATION[[Keyword Aggr]:[Keyword Aggr]])*($D22=CLASSIFICATION[[Functional Scope Aggr]:[Functional Scope Aggr]])),
_xlpm._platform_keywords, _xlfn.TEXTSPLIT(SUBSTITUTE(SUBSTITUTE(VLOOKUP($D22,_xlpm._platform_range,3,FALSE),"+"&amp;CHAR(34),"+"),CHAR(34),""),", "),
_xlpm._exists, SUMPRODUCT(--ISNUMBER(MATCH(_xlpm._platform_keywords,_xlpm._original_keywords,0)))&gt;0,
_xlfn.IFS(AND(_xlpm._exists,LEFT($E22,1)="+"),"+",_xlpm._exists,"*",NOT(_xlpm._exists),"")
)</f>
        <v>*</v>
      </c>
      <c r="N22" s="33" t="str" cm="1">
        <f t="array" aca="1" ref="N22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($E22=CLASSIFICATION[[Keyword Aggr]:[Keyword Aggr]])*($D22=CLASSIFICATION[[Functional Scope Aggr]:[Functional Scope Aggr]])),
_xlpm._platform_keywords, _xlfn.TEXTSPLIT(SUBSTITUTE(SUBSTITUTE(VLOOKUP($D22,_xlpm._platform_range,3,FALSE),"+"&amp;CHAR(34),"+"),CHAR(34),""),", "),
_xlpm._exists, SUMPRODUCT(--ISNUMBER(MATCH(_xlpm._platform_keywords,_xlpm._original_keywords,0)))&gt;0,
_xlfn.IFS(AND(_xlpm._exists,LEFT($E22,1)="+"),"+",_xlpm._exists,"*",NOT(_xlpm._exists),"")
)</f>
        <v>*</v>
      </c>
      <c r="O22" s="33" t="str" cm="1">
        <f t="array" aca="1" ref="O22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($E22=CLASSIFICATION[[Keyword Aggr]:[Keyword Aggr]])*($D22=CLASSIFICATION[[Functional Scope Aggr]:[Functional Scope Aggr]])),
_xlpm._platform_keywords, _xlfn.TEXTSPLIT(SUBSTITUTE(SUBSTITUTE(VLOOKUP($D22,_xlpm._platform_range,3,FALSE),"+"&amp;CHAR(34),"+"),CHAR(34),""),", "),
_xlpm._exists, SUMPRODUCT(--ISNUMBER(MATCH(_xlpm._platform_keywords,_xlpm._original_keywords,0)))&gt;0,
_xlfn.IFS(AND(_xlpm._exists,LEFT($E22,1)="+"),"+",_xlpm._exists,"*",NOT(_xlpm._exists),"")
)</f>
        <v/>
      </c>
      <c r="Q22" s="33" t="str">
        <f t="shared" si="6"/>
        <v/>
      </c>
      <c r="R22" s="33" t="str">
        <f t="shared" si="7"/>
        <v/>
      </c>
      <c r="S22" s="33" t="str">
        <f t="shared" si="8"/>
        <v/>
      </c>
      <c r="T22" s="33" t="str">
        <f t="shared" si="9"/>
        <v/>
      </c>
      <c r="U22" s="33" t="str">
        <f t="shared" si="10"/>
        <v/>
      </c>
      <c r="V22" s="33" t="str">
        <f t="shared" si="11"/>
        <v/>
      </c>
    </row>
    <row r="23" spans="1:31" x14ac:dyDescent="0.25">
      <c r="A23" s="19" t="str">
        <v>Development,Database design,SQL</v>
      </c>
      <c r="B23" t="s">
        <v>377</v>
      </c>
      <c r="C23" s="19" t="str" cm="1">
        <f t="array" ref="C23:E23">_xlfn.TEXTSPLIT(A23,",")</f>
        <v>Development</v>
      </c>
      <c r="D23" s="19" t="str">
        <v>Database design</v>
      </c>
      <c r="E23" s="19" t="str">
        <v>SQL</v>
      </c>
      <c r="F23" s="36" t="str" cm="1">
        <f t="array" ref="F23">_xlfn.TEXTJOIN(",",TRUE,_xlfn._xlws.FILTER(CLASSIFICATION[Keyword], ($E23=CLASSIFICATION[Keyword Aggr])*($D23=CLASSIFICATION[Functional Scope Aggr])))</f>
        <v>SQL</v>
      </c>
      <c r="G23" s="32" t="str">
        <f t="shared" si="4"/>
        <v/>
      </c>
      <c r="H23" s="32" t="str">
        <f t="shared" si="4"/>
        <v/>
      </c>
      <c r="I23" s="32" t="str">
        <f t="shared" si="12"/>
        <v>SQL</v>
      </c>
      <c r="J23" s="33" t="str" cm="1">
        <f t="array" aca="1" ref="J23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($E23=CLASSIFICATION[[Keyword Aggr]:[Keyword Aggr]])*($D23=CLASSIFICATION[[Functional Scope Aggr]:[Functional Scope Aggr]])),
_xlpm._platform_keywords, _xlfn.TEXTSPLIT(SUBSTITUTE(SUBSTITUTE(VLOOKUP($D23,_xlpm._platform_range,3,FALSE),"+"&amp;CHAR(34),"+"),CHAR(34),""),", "),
_xlpm._exists, SUMPRODUCT(--ISNUMBER(MATCH(_xlpm._platform_keywords,_xlpm._original_keywords,0)))&gt;0,
_xlfn.IFS(AND(_xlpm._exists,LEFT($E23,1)="+"),"+",_xlpm._exists,"*",NOT(_xlpm._exists),"")
)</f>
        <v>*</v>
      </c>
      <c r="K23" s="33" t="str" cm="1">
        <f t="array" aca="1" ref="K23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($E23=CLASSIFICATION[[Keyword Aggr]:[Keyword Aggr]])*($D23=CLASSIFICATION[[Functional Scope Aggr]:[Functional Scope Aggr]])),
_xlpm._platform_keywords, _xlfn.TEXTSPLIT(SUBSTITUTE(SUBSTITUTE(VLOOKUP($D23,_xlpm._platform_range,3,FALSE),"+"&amp;CHAR(34),"+"),CHAR(34),""),", "),
_xlpm._exists, SUMPRODUCT(--ISNUMBER(MATCH(_xlpm._platform_keywords,_xlpm._original_keywords,0)))&gt;0,
_xlfn.IFS(AND(_xlpm._exists,LEFT($E23,1)="+"),"+",_xlpm._exists,"*",NOT(_xlpm._exists),"")
)</f>
        <v>*</v>
      </c>
      <c r="L23" s="33" t="str" cm="1">
        <f t="array" aca="1" ref="L23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($E23=CLASSIFICATION[[Keyword Aggr]:[Keyword Aggr]])*($D23=CLASSIFICATION[[Functional Scope Aggr]:[Functional Scope Aggr]])),
_xlpm._platform_keywords, _xlfn.TEXTSPLIT(SUBSTITUTE(SUBSTITUTE(VLOOKUP($D23,_xlpm._platform_range,3,FALSE),"+"&amp;CHAR(34),"+"),CHAR(34),""),", "),
_xlpm._exists, SUMPRODUCT(--ISNUMBER(MATCH(_xlpm._platform_keywords,_xlpm._original_keywords,0)))&gt;0,
_xlfn.IFS(AND(_xlpm._exists,LEFT($E23,1)="+"),"+",_xlpm._exists,"*",NOT(_xlpm._exists),"")
)</f>
        <v/>
      </c>
      <c r="M23" s="33" t="str" cm="1">
        <f t="array" aca="1" ref="M23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($E23=CLASSIFICATION[[Keyword Aggr]:[Keyword Aggr]])*($D23=CLASSIFICATION[[Functional Scope Aggr]:[Functional Scope Aggr]])),
_xlpm._platform_keywords, _xlfn.TEXTSPLIT(SUBSTITUTE(SUBSTITUTE(VLOOKUP($D23,_xlpm._platform_range,3,FALSE),"+"&amp;CHAR(34),"+"),CHAR(34),""),", "),
_xlpm._exists, SUMPRODUCT(--ISNUMBER(MATCH(_xlpm._platform_keywords,_xlpm._original_keywords,0)))&gt;0,
_xlfn.IFS(AND(_xlpm._exists,LEFT($E23,1)="+"),"+",_xlpm._exists,"*",NOT(_xlpm._exists),"")
)</f>
        <v/>
      </c>
      <c r="N23" s="33" t="str" cm="1">
        <f t="array" aca="1" ref="N23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($E23=CLASSIFICATION[[Keyword Aggr]:[Keyword Aggr]])*($D23=CLASSIFICATION[[Functional Scope Aggr]:[Functional Scope Aggr]])),
_xlpm._platform_keywords, _xlfn.TEXTSPLIT(SUBSTITUTE(SUBSTITUTE(VLOOKUP($D23,_xlpm._platform_range,3,FALSE),"+"&amp;CHAR(34),"+"),CHAR(34),""),", "),
_xlpm._exists, SUMPRODUCT(--ISNUMBER(MATCH(_xlpm._platform_keywords,_xlpm._original_keywords,0)))&gt;0,
_xlfn.IFS(AND(_xlpm._exists,LEFT($E23,1)="+"),"+",_xlpm._exists,"*",NOT(_xlpm._exists),"")
)</f>
        <v/>
      </c>
      <c r="O23" s="33" t="str" cm="1">
        <f t="array" aca="1" ref="O23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($E23=CLASSIFICATION[[Keyword Aggr]:[Keyword Aggr]])*($D23=CLASSIFICATION[[Functional Scope Aggr]:[Functional Scope Aggr]])),
_xlpm._platform_keywords, _xlfn.TEXTSPLIT(SUBSTITUTE(SUBSTITUTE(VLOOKUP($D23,_xlpm._platform_range,3,FALSE),"+"&amp;CHAR(34),"+"),CHAR(34),""),", "),
_xlpm._exists, SUMPRODUCT(--ISNUMBER(MATCH(_xlpm._platform_keywords,_xlpm._original_keywords,0)))&gt;0,
_xlfn.IFS(AND(_xlpm._exists,LEFT($E23,1)="+"),"+",_xlpm._exists,"*",NOT(_xlpm._exists),"")
)</f>
        <v/>
      </c>
      <c r="Q23" s="33" t="str">
        <f t="shared" si="6"/>
        <v/>
      </c>
      <c r="R23" s="33" t="str">
        <f t="shared" si="7"/>
        <v/>
      </c>
      <c r="S23" s="33" t="str">
        <f t="shared" si="8"/>
        <v/>
      </c>
      <c r="T23" s="33" t="str">
        <f t="shared" si="9"/>
        <v/>
      </c>
      <c r="U23" s="33" t="str">
        <f t="shared" si="10"/>
        <v/>
      </c>
      <c r="V23" s="33" t="str">
        <f t="shared" si="11"/>
        <v/>
      </c>
    </row>
    <row r="24" spans="1:31" x14ac:dyDescent="0.25">
      <c r="A24" s="19" t="str">
        <v>Development,Database design,IT Data Types</v>
      </c>
      <c r="B24" t="s">
        <v>377</v>
      </c>
      <c r="C24" s="19" t="str" cm="1">
        <f t="array" ref="C24:E24">_xlfn.TEXTSPLIT(A24,",")</f>
        <v>Development</v>
      </c>
      <c r="D24" s="19" t="str">
        <v>Database design</v>
      </c>
      <c r="E24" s="19" t="str">
        <v>IT Data Types</v>
      </c>
      <c r="F24" s="36" t="str" cm="1">
        <f t="array" ref="F24">_xlfn.TEXTJOIN(",",TRUE,_xlfn._xlws.FILTER(CLASSIFICATION[Keyword], ($E24=CLASSIFICATION[Keyword Aggr])*($D24=CLASSIFICATION[Functional Scope Aggr])))</f>
        <v>Types</v>
      </c>
      <c r="G24" s="32" t="str">
        <f t="shared" si="4"/>
        <v/>
      </c>
      <c r="H24" s="32" t="str">
        <f t="shared" si="4"/>
        <v/>
      </c>
      <c r="I24" s="32" t="str">
        <f t="shared" si="12"/>
        <v>IT Data Types</v>
      </c>
      <c r="J24" s="33" t="str" cm="1">
        <f t="array" aca="1" ref="J24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($E24=CLASSIFICATION[[Keyword Aggr]:[Keyword Aggr]])*($D24=CLASSIFICATION[[Functional Scope Aggr]:[Functional Scope Aggr]])),
_xlpm._platform_keywords, _xlfn.TEXTSPLIT(SUBSTITUTE(SUBSTITUTE(VLOOKUP($D24,_xlpm._platform_range,3,FALSE),"+"&amp;CHAR(34),"+"),CHAR(34),""),", "),
_xlpm._exists, SUMPRODUCT(--ISNUMBER(MATCH(_xlpm._platform_keywords,_xlpm._original_keywords,0)))&gt;0,
_xlfn.IFS(AND(_xlpm._exists,LEFT($E24,1)="+"),"+",_xlpm._exists,"*",NOT(_xlpm._exists),"")
)</f>
        <v/>
      </c>
      <c r="K24" s="33" t="str" cm="1">
        <f t="array" aca="1" ref="K24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($E24=CLASSIFICATION[[Keyword Aggr]:[Keyword Aggr]])*($D24=CLASSIFICATION[[Functional Scope Aggr]:[Functional Scope Aggr]])),
_xlpm._platform_keywords, _xlfn.TEXTSPLIT(SUBSTITUTE(SUBSTITUTE(VLOOKUP($D24,_xlpm._platform_range,3,FALSE),"+"&amp;CHAR(34),"+"),CHAR(34),""),", "),
_xlpm._exists, SUMPRODUCT(--ISNUMBER(MATCH(_xlpm._platform_keywords,_xlpm._original_keywords,0)))&gt;0,
_xlfn.IFS(AND(_xlpm._exists,LEFT($E24,1)="+"),"+",_xlpm._exists,"*",NOT(_xlpm._exists),"")
)</f>
        <v/>
      </c>
      <c r="L24" s="33" t="str" cm="1">
        <f t="array" aca="1" ref="L24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($E24=CLASSIFICATION[[Keyword Aggr]:[Keyword Aggr]])*($D24=CLASSIFICATION[[Functional Scope Aggr]:[Functional Scope Aggr]])),
_xlpm._platform_keywords, _xlfn.TEXTSPLIT(SUBSTITUTE(SUBSTITUTE(VLOOKUP($D24,_xlpm._platform_range,3,FALSE),"+"&amp;CHAR(34),"+"),CHAR(34),""),", "),
_xlpm._exists, SUMPRODUCT(--ISNUMBER(MATCH(_xlpm._platform_keywords,_xlpm._original_keywords,0)))&gt;0,
_xlfn.IFS(AND(_xlpm._exists,LEFT($E24,1)="+"),"+",_xlpm._exists,"*",NOT(_xlpm._exists),"")
)</f>
        <v/>
      </c>
      <c r="M24" s="33" t="str" cm="1">
        <f t="array" aca="1" ref="M24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($E24=CLASSIFICATION[[Keyword Aggr]:[Keyword Aggr]])*($D24=CLASSIFICATION[[Functional Scope Aggr]:[Functional Scope Aggr]])),
_xlpm._platform_keywords, _xlfn.TEXTSPLIT(SUBSTITUTE(SUBSTITUTE(VLOOKUP($D24,_xlpm._platform_range,3,FALSE),"+"&amp;CHAR(34),"+"),CHAR(34),""),", "),
_xlpm._exists, SUMPRODUCT(--ISNUMBER(MATCH(_xlpm._platform_keywords,_xlpm._original_keywords,0)))&gt;0,
_xlfn.IFS(AND(_xlpm._exists,LEFT($E24,1)="+"),"+",_xlpm._exists,"*",NOT(_xlpm._exists),"")
)</f>
        <v>*</v>
      </c>
      <c r="N24" s="33" t="str" cm="1">
        <f t="array" aca="1" ref="N24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($E24=CLASSIFICATION[[Keyword Aggr]:[Keyword Aggr]])*($D24=CLASSIFICATION[[Functional Scope Aggr]:[Functional Scope Aggr]])),
_xlpm._platform_keywords, _xlfn.TEXTSPLIT(SUBSTITUTE(SUBSTITUTE(VLOOKUP($D24,_xlpm._platform_range,3,FALSE),"+"&amp;CHAR(34),"+"),CHAR(34),""),", "),
_xlpm._exists, SUMPRODUCT(--ISNUMBER(MATCH(_xlpm._platform_keywords,_xlpm._original_keywords,0)))&gt;0,
_xlfn.IFS(AND(_xlpm._exists,LEFT($E24,1)="+"),"+",_xlpm._exists,"*",NOT(_xlpm._exists),"")
)</f>
        <v>*</v>
      </c>
      <c r="O24" s="33" t="str" cm="1">
        <f t="array" aca="1" ref="O24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($E24=CLASSIFICATION[[Keyword Aggr]:[Keyword Aggr]])*($D24=CLASSIFICATION[[Functional Scope Aggr]:[Functional Scope Aggr]])),
_xlpm._platform_keywords, _xlfn.TEXTSPLIT(SUBSTITUTE(SUBSTITUTE(VLOOKUP($D24,_xlpm._platform_range,3,FALSE),"+"&amp;CHAR(34),"+"),CHAR(34),""),", "),
_xlpm._exists, SUMPRODUCT(--ISNUMBER(MATCH(_xlpm._platform_keywords,_xlpm._original_keywords,0)))&gt;0,
_xlfn.IFS(AND(_xlpm._exists,LEFT($E24,1)="+"),"+",_xlpm._exists,"*",NOT(_xlpm._exists),"")
)</f>
        <v>*</v>
      </c>
      <c r="Q24" s="33" t="str">
        <f t="shared" si="6"/>
        <v/>
      </c>
      <c r="R24" s="33" t="str">
        <f t="shared" si="7"/>
        <v/>
      </c>
      <c r="S24" s="33" t="str">
        <f t="shared" si="8"/>
        <v/>
      </c>
      <c r="T24" s="33" t="str">
        <f t="shared" si="9"/>
        <v/>
      </c>
      <c r="U24" s="33" t="str">
        <f t="shared" si="10"/>
        <v/>
      </c>
      <c r="V24" s="33" t="str">
        <f t="shared" si="11"/>
        <v/>
      </c>
    </row>
    <row r="25" spans="1:31" x14ac:dyDescent="0.25">
      <c r="A25" s="19" t="str">
        <v>Development,Database design,Web API</v>
      </c>
      <c r="B25" t="s">
        <v>377</v>
      </c>
      <c r="C25" s="19" t="str" cm="1">
        <f t="array" ref="C25:E25">_xlfn.TEXTSPLIT(A25,",")</f>
        <v>Development</v>
      </c>
      <c r="D25" s="19" t="str">
        <v>Database design</v>
      </c>
      <c r="E25" s="19" t="str">
        <v>Web API</v>
      </c>
      <c r="F25" s="36" t="str" cm="1">
        <f t="array" ref="F25">_xlfn.TEXTJOIN(",",TRUE,_xlfn._xlws.FILTER(CLASSIFICATION[Keyword], ($E25=CLASSIFICATION[Keyword Aggr])*($D25=CLASSIFICATION[Functional Scope Aggr])))</f>
        <v>Web API (Microsoft Dataverse)</v>
      </c>
      <c r="G25" s="32" t="str">
        <f t="shared" si="4"/>
        <v/>
      </c>
      <c r="H25" s="32" t="str">
        <f t="shared" si="4"/>
        <v/>
      </c>
      <c r="I25" s="32" t="str">
        <f t="shared" si="12"/>
        <v>Web API</v>
      </c>
      <c r="J25" s="33" t="str" cm="1">
        <f t="array" aca="1" ref="J25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($E25=CLASSIFICATION[[Keyword Aggr]:[Keyword Aggr]])*($D25=CLASSIFICATION[[Functional Scope Aggr]:[Functional Scope Aggr]])),
_xlpm._platform_keywords, _xlfn.TEXTSPLIT(SUBSTITUTE(SUBSTITUTE(VLOOKUP($D25,_xlpm._platform_range,3,FALSE),"+"&amp;CHAR(34),"+"),CHAR(34),""),", "),
_xlpm._exists, SUMPRODUCT(--ISNUMBER(MATCH(_xlpm._platform_keywords,_xlpm._original_keywords,0)))&gt;0,
_xlfn.IFS(AND(_xlpm._exists,LEFT($E25,1)="+"),"+",_xlpm._exists,"*",NOT(_xlpm._exists),"")
)</f>
        <v/>
      </c>
      <c r="K25" s="33" t="str" cm="1">
        <f t="array" aca="1" ref="K25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($E25=CLASSIFICATION[[Keyword Aggr]:[Keyword Aggr]])*($D25=CLASSIFICATION[[Functional Scope Aggr]:[Functional Scope Aggr]])),
_xlpm._platform_keywords, _xlfn.TEXTSPLIT(SUBSTITUTE(SUBSTITUTE(VLOOKUP($D25,_xlpm._platform_range,3,FALSE),"+"&amp;CHAR(34),"+"),CHAR(34),""),", "),
_xlpm._exists, SUMPRODUCT(--ISNUMBER(MATCH(_xlpm._platform_keywords,_xlpm._original_keywords,0)))&gt;0,
_xlfn.IFS(AND(_xlpm._exists,LEFT($E25,1)="+"),"+",_xlpm._exists,"*",NOT(_xlpm._exists),"")
)</f>
        <v/>
      </c>
      <c r="L25" s="33" t="str" cm="1">
        <f t="array" aca="1" ref="L25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($E25=CLASSIFICATION[[Keyword Aggr]:[Keyword Aggr]])*($D25=CLASSIFICATION[[Functional Scope Aggr]:[Functional Scope Aggr]])),
_xlpm._platform_keywords, _xlfn.TEXTSPLIT(SUBSTITUTE(SUBSTITUTE(VLOOKUP($D25,_xlpm._platform_range,3,FALSE),"+"&amp;CHAR(34),"+"),CHAR(34),""),", "),
_xlpm._exists, SUMPRODUCT(--ISNUMBER(MATCH(_xlpm._platform_keywords,_xlpm._original_keywords,0)))&gt;0,
_xlfn.IFS(AND(_xlpm._exists,LEFT($E25,1)="+"),"+",_xlpm._exists,"*",NOT(_xlpm._exists),"")
)</f>
        <v/>
      </c>
      <c r="M25" s="33" t="str" cm="1">
        <f t="array" aca="1" ref="M25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($E25=CLASSIFICATION[[Keyword Aggr]:[Keyword Aggr]])*($D25=CLASSIFICATION[[Functional Scope Aggr]:[Functional Scope Aggr]])),
_xlpm._platform_keywords, _xlfn.TEXTSPLIT(SUBSTITUTE(SUBSTITUTE(VLOOKUP($D25,_xlpm._platform_range,3,FALSE),"+"&amp;CHAR(34),"+"),CHAR(34),""),", "),
_xlpm._exists, SUMPRODUCT(--ISNUMBER(MATCH(_xlpm._platform_keywords,_xlpm._original_keywords,0)))&gt;0,
_xlfn.IFS(AND(_xlpm._exists,LEFT($E25,1)="+"),"+",_xlpm._exists,"*",NOT(_xlpm._exists),"")
)</f>
        <v>*</v>
      </c>
      <c r="N25" s="33" t="str" cm="1">
        <f t="array" aca="1" ref="N25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($E25=CLASSIFICATION[[Keyword Aggr]:[Keyword Aggr]])*($D25=CLASSIFICATION[[Functional Scope Aggr]:[Functional Scope Aggr]])),
_xlpm._platform_keywords, _xlfn.TEXTSPLIT(SUBSTITUTE(SUBSTITUTE(VLOOKUP($D25,_xlpm._platform_range,3,FALSE),"+"&amp;CHAR(34),"+"),CHAR(34),""),", "),
_xlpm._exists, SUMPRODUCT(--ISNUMBER(MATCH(_xlpm._platform_keywords,_xlpm._original_keywords,0)))&gt;0,
_xlfn.IFS(AND(_xlpm._exists,LEFT($E25,1)="+"),"+",_xlpm._exists,"*",NOT(_xlpm._exists),"")
)</f>
        <v/>
      </c>
      <c r="O25" s="33" t="str" cm="1">
        <f t="array" aca="1" ref="O25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($E25=CLASSIFICATION[[Keyword Aggr]:[Keyword Aggr]])*($D25=CLASSIFICATION[[Functional Scope Aggr]:[Functional Scope Aggr]])),
_xlpm._platform_keywords, _xlfn.TEXTSPLIT(SUBSTITUTE(SUBSTITUTE(VLOOKUP($D25,_xlpm._platform_range,3,FALSE),"+"&amp;CHAR(34),"+"),CHAR(34),""),", "),
_xlpm._exists, SUMPRODUCT(--ISNUMBER(MATCH(_xlpm._platform_keywords,_xlpm._original_keywords,0)))&gt;0,
_xlfn.IFS(AND(_xlpm._exists,LEFT($E25,1)="+"),"+",_xlpm._exists,"*",NOT(_xlpm._exists),"")
)</f>
        <v/>
      </c>
      <c r="Q25" s="33" t="str">
        <f t="shared" si="6"/>
        <v/>
      </c>
      <c r="R25" s="33" t="str">
        <f t="shared" si="7"/>
        <v/>
      </c>
      <c r="S25" s="33" t="str">
        <f t="shared" si="8"/>
        <v/>
      </c>
      <c r="T25" s="33" t="str">
        <f t="shared" si="9"/>
        <v/>
      </c>
      <c r="U25" s="33" t="str">
        <f t="shared" si="10"/>
        <v/>
      </c>
      <c r="V25" s="33" t="str">
        <f t="shared" si="11"/>
        <v/>
      </c>
    </row>
    <row r="26" spans="1:31" x14ac:dyDescent="0.25">
      <c r="A26" s="19" t="str">
        <v>Development,Fetching data,.NET</v>
      </c>
      <c r="B26" t="s">
        <v>377</v>
      </c>
      <c r="C26" s="19" t="str" cm="1">
        <f t="array" ref="C26:E26">_xlfn.TEXTSPLIT(A26,",")</f>
        <v>Development</v>
      </c>
      <c r="D26" s="19" t="str">
        <v>Fetching data</v>
      </c>
      <c r="E26" s="19" t="str">
        <v>.NET</v>
      </c>
      <c r="F26" s="36" t="str" cm="1">
        <f t="array" ref="F26">_xlfn.TEXTJOIN(",",TRUE,_xlfn._xlws.FILTER(CLASSIFICATION[Keyword], ($E26=CLASSIFICATION[Keyword Aggr])*($D26=CLASSIFICATION[Functional Scope Aggr])))</f>
        <v>.NET</v>
      </c>
      <c r="G26" s="32" t="str">
        <f t="shared" si="4"/>
        <v/>
      </c>
      <c r="H26" s="32" t="str">
        <f t="shared" si="4"/>
        <v>Fetching data</v>
      </c>
      <c r="I26" s="32" t="str">
        <f t="shared" si="12"/>
        <v>.NET</v>
      </c>
      <c r="J26" s="33" t="str" cm="1">
        <f t="array" aca="1" ref="J26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($E26=CLASSIFICATION[[Keyword Aggr]:[Keyword Aggr]])*($D26=CLASSIFICATION[[Functional Scope Aggr]:[Functional Scope Aggr]])),
_xlpm._platform_keywords, _xlfn.TEXTSPLIT(SUBSTITUTE(SUBSTITUTE(VLOOKUP($D26,_xlpm._platform_range,3,FALSE),"+"&amp;CHAR(34),"+"),CHAR(34),""),", "),
_xlpm._exists, SUMPRODUCT(--ISNUMBER(MATCH(_xlpm._platform_keywords,_xlpm._original_keywords,0)))&gt;0,
_xlfn.IFS(AND(_xlpm._exists,LEFT($E26,1)="+"),"+",_xlpm._exists,"*",NOT(_xlpm._exists),"")
)</f>
        <v/>
      </c>
      <c r="K26" s="33" t="str" cm="1">
        <f t="array" aca="1" ref="K26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($E26=CLASSIFICATION[[Keyword Aggr]:[Keyword Aggr]])*($D26=CLASSIFICATION[[Functional Scope Aggr]:[Functional Scope Aggr]])),
_xlpm._platform_keywords, _xlfn.TEXTSPLIT(SUBSTITUTE(SUBSTITUTE(VLOOKUP($D26,_xlpm._platform_range,3,FALSE),"+"&amp;CHAR(34),"+"),CHAR(34),""),", "),
_xlpm._exists, SUMPRODUCT(--ISNUMBER(MATCH(_xlpm._platform_keywords,_xlpm._original_keywords,0)))&gt;0,
_xlfn.IFS(AND(_xlpm._exists,LEFT($E26,1)="+"),"+",_xlpm._exists,"*",NOT(_xlpm._exists),"")
)</f>
        <v/>
      </c>
      <c r="L26" s="33" t="str" cm="1">
        <f t="array" aca="1" ref="L26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($E26=CLASSIFICATION[[Keyword Aggr]:[Keyword Aggr]])*($D26=CLASSIFICATION[[Functional Scope Aggr]:[Functional Scope Aggr]])),
_xlpm._platform_keywords, _xlfn.TEXTSPLIT(SUBSTITUTE(SUBSTITUTE(VLOOKUP($D26,_xlpm._platform_range,3,FALSE),"+"&amp;CHAR(34),"+"),CHAR(34),""),", "),
_xlpm._exists, SUMPRODUCT(--ISNUMBER(MATCH(_xlpm._platform_keywords,_xlpm._original_keywords,0)))&gt;0,
_xlfn.IFS(AND(_xlpm._exists,LEFT($E26,1)="+"),"+",_xlpm._exists,"*",NOT(_xlpm._exists),"")
)</f>
        <v/>
      </c>
      <c r="M26" s="33" t="str" cm="1">
        <f t="array" aca="1" ref="M26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($E26=CLASSIFICATION[[Keyword Aggr]:[Keyword Aggr]])*($D26=CLASSIFICATION[[Functional Scope Aggr]:[Functional Scope Aggr]])),
_xlpm._platform_keywords, _xlfn.TEXTSPLIT(SUBSTITUTE(SUBSTITUTE(VLOOKUP($D26,_xlpm._platform_range,3,FALSE),"+"&amp;CHAR(34),"+"),CHAR(34),""),", "),
_xlpm._exists, SUMPRODUCT(--ISNUMBER(MATCH(_xlpm._platform_keywords,_xlpm._original_keywords,0)))&gt;0,
_xlfn.IFS(AND(_xlpm._exists,LEFT($E26,1)="+"),"+",_xlpm._exists,"*",NOT(_xlpm._exists),"")
)</f>
        <v>*</v>
      </c>
      <c r="N26" s="33" t="str" cm="1">
        <f t="array" aca="1" ref="N26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($E26=CLASSIFICATION[[Keyword Aggr]:[Keyword Aggr]])*($D26=CLASSIFICATION[[Functional Scope Aggr]:[Functional Scope Aggr]])),
_xlpm._platform_keywords, _xlfn.TEXTSPLIT(SUBSTITUTE(SUBSTITUTE(VLOOKUP($D26,_xlpm._platform_range,3,FALSE),"+"&amp;CHAR(34),"+"),CHAR(34),""),", "),
_xlpm._exists, SUMPRODUCT(--ISNUMBER(MATCH(_xlpm._platform_keywords,_xlpm._original_keywords,0)))&gt;0,
_xlfn.IFS(AND(_xlpm._exists,LEFT($E26,1)="+"),"+",_xlpm._exists,"*",NOT(_xlpm._exists),"")
)</f>
        <v/>
      </c>
      <c r="O26" s="33" t="str" cm="1">
        <f t="array" aca="1" ref="O26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($E26=CLASSIFICATION[[Keyword Aggr]:[Keyword Aggr]])*($D26=CLASSIFICATION[[Functional Scope Aggr]:[Functional Scope Aggr]])),
_xlpm._platform_keywords, _xlfn.TEXTSPLIT(SUBSTITUTE(SUBSTITUTE(VLOOKUP($D26,_xlpm._platform_range,3,FALSE),"+"&amp;CHAR(34),"+"),CHAR(34),""),", "),
_xlpm._exists, SUMPRODUCT(--ISNUMBER(MATCH(_xlpm._platform_keywords,_xlpm._original_keywords,0)))&gt;0,
_xlfn.IFS(AND(_xlpm._exists,LEFT($E26,1)="+"),"+",_xlpm._exists,"*",NOT(_xlpm._exists),"")
)</f>
        <v/>
      </c>
      <c r="Q26" s="33">
        <f t="shared" ca="1" si="6"/>
        <v>0</v>
      </c>
      <c r="R26" s="33">
        <f t="shared" ca="1" si="7"/>
        <v>1</v>
      </c>
      <c r="S26" s="33">
        <f t="shared" ca="1" si="8"/>
        <v>2</v>
      </c>
      <c r="T26" s="33">
        <f t="shared" ca="1" si="9"/>
        <v>5</v>
      </c>
      <c r="U26" s="33">
        <f t="shared" ca="1" si="10"/>
        <v>2</v>
      </c>
      <c r="V26" s="33">
        <f t="shared" ca="1" si="11"/>
        <v>0</v>
      </c>
    </row>
    <row r="27" spans="1:31" x14ac:dyDescent="0.25">
      <c r="A27" s="19" t="str">
        <v>Development,Fetching data,Custom Query Language</v>
      </c>
      <c r="B27" t="s">
        <v>377</v>
      </c>
      <c r="C27" s="19" t="str" cm="1">
        <f t="array" ref="C27:E27">_xlfn.TEXTSPLIT(A27,",")</f>
        <v>Development</v>
      </c>
      <c r="D27" s="19" t="str">
        <v>Fetching data</v>
      </c>
      <c r="E27" s="19" t="str">
        <v>Custom Query Language</v>
      </c>
      <c r="F27" s="36" t="str" cm="1">
        <f t="array" ref="F27">_xlfn.TEXTJOIN(",",TRUE,_xlfn._xlws.FILTER(CLASSIFICATION[Keyword], ($E27=CLASSIFICATION[Keyword Aggr])*($D27=CLASSIFICATION[Functional Scope Aggr])))</f>
        <v>Custom Query Language (Power Query M formula)</v>
      </c>
      <c r="G27" s="32" t="str">
        <f t="shared" si="4"/>
        <v/>
      </c>
      <c r="H27" s="32" t="str">
        <f t="shared" si="4"/>
        <v/>
      </c>
      <c r="I27" s="32" t="str">
        <f t="shared" si="12"/>
        <v>Custom Query Language</v>
      </c>
      <c r="J27" s="33" t="str" cm="1">
        <f t="array" aca="1" ref="J27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($E27=CLASSIFICATION[[Keyword Aggr]:[Keyword Aggr]])*($D27=CLASSIFICATION[[Functional Scope Aggr]:[Functional Scope Aggr]])),
_xlpm._platform_keywords, _xlfn.TEXTSPLIT(SUBSTITUTE(SUBSTITUTE(VLOOKUP($D27,_xlpm._platform_range,3,FALSE),"+"&amp;CHAR(34),"+"),CHAR(34),""),", "),
_xlpm._exists, SUMPRODUCT(--ISNUMBER(MATCH(_xlpm._platform_keywords,_xlpm._original_keywords,0)))&gt;0,
_xlfn.IFS(AND(_xlpm._exists,LEFT($E27,1)="+"),"+",_xlpm._exists,"*",NOT(_xlpm._exists),"")
)</f>
        <v/>
      </c>
      <c r="K27" s="33" t="str" cm="1">
        <f t="array" aca="1" ref="K27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($E27=CLASSIFICATION[[Keyword Aggr]:[Keyword Aggr]])*($D27=CLASSIFICATION[[Functional Scope Aggr]:[Functional Scope Aggr]])),
_xlpm._platform_keywords, _xlfn.TEXTSPLIT(SUBSTITUTE(SUBSTITUTE(VLOOKUP($D27,_xlpm._platform_range,3,FALSE),"+"&amp;CHAR(34),"+"),CHAR(34),""),", "),
_xlpm._exists, SUMPRODUCT(--ISNUMBER(MATCH(_xlpm._platform_keywords,_xlpm._original_keywords,0)))&gt;0,
_xlfn.IFS(AND(_xlpm._exists,LEFT($E27,1)="+"),"+",_xlpm._exists,"*",NOT(_xlpm._exists),"")
)</f>
        <v/>
      </c>
      <c r="L27" s="33" t="str" cm="1">
        <f t="array" aca="1" ref="L27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($E27=CLASSIFICATION[[Keyword Aggr]:[Keyword Aggr]])*($D27=CLASSIFICATION[[Functional Scope Aggr]:[Functional Scope Aggr]])),
_xlpm._platform_keywords, _xlfn.TEXTSPLIT(SUBSTITUTE(SUBSTITUTE(VLOOKUP($D27,_xlpm._platform_range,3,FALSE),"+"&amp;CHAR(34),"+"),CHAR(34),""),", "),
_xlpm._exists, SUMPRODUCT(--ISNUMBER(MATCH(_xlpm._platform_keywords,_xlpm._original_keywords,0)))&gt;0,
_xlfn.IFS(AND(_xlpm._exists,LEFT($E27,1)="+"),"+",_xlpm._exists,"*",NOT(_xlpm._exists),"")
)</f>
        <v/>
      </c>
      <c r="M27" s="33" t="str" cm="1">
        <f t="array" aca="1" ref="M27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($E27=CLASSIFICATION[[Keyword Aggr]:[Keyword Aggr]])*($D27=CLASSIFICATION[[Functional Scope Aggr]:[Functional Scope Aggr]])),
_xlpm._platform_keywords, _xlfn.TEXTSPLIT(SUBSTITUTE(SUBSTITUTE(VLOOKUP($D27,_xlpm._platform_range,3,FALSE),"+"&amp;CHAR(34),"+"),CHAR(34),""),", "),
_xlpm._exists, SUMPRODUCT(--ISNUMBER(MATCH(_xlpm._platform_keywords,_xlpm._original_keywords,0)))&gt;0,
_xlfn.IFS(AND(_xlpm._exists,LEFT($E27,1)="+"),"+",_xlpm._exists,"*",NOT(_xlpm._exists),"")
)</f>
        <v>*</v>
      </c>
      <c r="N27" s="33" t="str" cm="1">
        <f t="array" aca="1" ref="N27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($E27=CLASSIFICATION[[Keyword Aggr]:[Keyword Aggr]])*($D27=CLASSIFICATION[[Functional Scope Aggr]:[Functional Scope Aggr]])),
_xlpm._platform_keywords, _xlfn.TEXTSPLIT(SUBSTITUTE(SUBSTITUTE(VLOOKUP($D27,_xlpm._platform_range,3,FALSE),"+"&amp;CHAR(34),"+"),CHAR(34),""),", "),
_xlpm._exists, SUMPRODUCT(--ISNUMBER(MATCH(_xlpm._platform_keywords,_xlpm._original_keywords,0)))&gt;0,
_xlfn.IFS(AND(_xlpm._exists,LEFT($E27,1)="+"),"+",_xlpm._exists,"*",NOT(_xlpm._exists),"")
)</f>
        <v/>
      </c>
      <c r="O27" s="33" t="str" cm="1">
        <f t="array" aca="1" ref="O27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($E27=CLASSIFICATION[[Keyword Aggr]:[Keyword Aggr]])*($D27=CLASSIFICATION[[Functional Scope Aggr]:[Functional Scope Aggr]])),
_xlpm._platform_keywords, _xlfn.TEXTSPLIT(SUBSTITUTE(SUBSTITUTE(VLOOKUP($D27,_xlpm._platform_range,3,FALSE),"+"&amp;CHAR(34),"+"),CHAR(34),""),", "),
_xlpm._exists, SUMPRODUCT(--ISNUMBER(MATCH(_xlpm._platform_keywords,_xlpm._original_keywords,0)))&gt;0,
_xlfn.IFS(AND(_xlpm._exists,LEFT($E27,1)="+"),"+",_xlpm._exists,"*",NOT(_xlpm._exists),"")
)</f>
        <v/>
      </c>
      <c r="Q27" s="33" t="str">
        <f t="shared" si="6"/>
        <v/>
      </c>
      <c r="R27" s="33" t="str">
        <f t="shared" si="7"/>
        <v/>
      </c>
      <c r="S27" s="33" t="str">
        <f t="shared" si="8"/>
        <v/>
      </c>
      <c r="T27" s="33" t="str">
        <f t="shared" si="9"/>
        <v/>
      </c>
      <c r="U27" s="33" t="str">
        <f t="shared" si="10"/>
        <v/>
      </c>
      <c r="V27" s="33" t="str">
        <f t="shared" si="11"/>
        <v/>
      </c>
    </row>
    <row r="28" spans="1:31" x14ac:dyDescent="0.25">
      <c r="A28" s="19" t="str">
        <v>Development,Fetching data,OAuth</v>
      </c>
      <c r="B28" t="s">
        <v>377</v>
      </c>
      <c r="C28" s="19" t="str" cm="1">
        <f t="array" ref="C28:E28">_xlfn.TEXTSPLIT(A28,",")</f>
        <v>Development</v>
      </c>
      <c r="D28" s="19" t="str">
        <v>Fetching data</v>
      </c>
      <c r="E28" s="19" t="str">
        <v>OAuth</v>
      </c>
      <c r="F28" s="36" t="str" cm="1">
        <f t="array" ref="F28">_xlfn.TEXTJOIN(",",TRUE,_xlfn._xlws.FILTER(CLASSIFICATION[Keyword], ($E28=CLASSIFICATION[Keyword Aggr])*($D28=CLASSIFICATION[Functional Scope Aggr])))</f>
        <v>OAuth</v>
      </c>
      <c r="G28" s="32" t="str">
        <f t="shared" si="4"/>
        <v/>
      </c>
      <c r="H28" s="32" t="str">
        <f t="shared" si="4"/>
        <v/>
      </c>
      <c r="I28" s="32" t="str">
        <f t="shared" si="12"/>
        <v>OAuth</v>
      </c>
      <c r="J28" s="33" t="str" cm="1">
        <f t="array" aca="1" ref="J28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($E28=CLASSIFICATION[[Keyword Aggr]:[Keyword Aggr]])*($D28=CLASSIFICATION[[Functional Scope Aggr]:[Functional Scope Aggr]])),
_xlpm._platform_keywords, _xlfn.TEXTSPLIT(SUBSTITUTE(SUBSTITUTE(VLOOKUP($D28,_xlpm._platform_range,3,FALSE),"+"&amp;CHAR(34),"+"),CHAR(34),""),", "),
_xlpm._exists, SUMPRODUCT(--ISNUMBER(MATCH(_xlpm._platform_keywords,_xlpm._original_keywords,0)))&gt;0,
_xlfn.IFS(AND(_xlpm._exists,LEFT($E28,1)="+"),"+",_xlpm._exists,"*",NOT(_xlpm._exists),"")
)</f>
        <v/>
      </c>
      <c r="K28" s="33" t="str" cm="1">
        <f t="array" aca="1" ref="K28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($E28=CLASSIFICATION[[Keyword Aggr]:[Keyword Aggr]])*($D28=CLASSIFICATION[[Functional Scope Aggr]:[Functional Scope Aggr]])),
_xlpm._platform_keywords, _xlfn.TEXTSPLIT(SUBSTITUTE(SUBSTITUTE(VLOOKUP($D28,_xlpm._platform_range,3,FALSE),"+"&amp;CHAR(34),"+"),CHAR(34),""),", "),
_xlpm._exists, SUMPRODUCT(--ISNUMBER(MATCH(_xlpm._platform_keywords,_xlpm._original_keywords,0)))&gt;0,
_xlfn.IFS(AND(_xlpm._exists,LEFT($E28,1)="+"),"+",_xlpm._exists,"*",NOT(_xlpm._exists),"")
)</f>
        <v/>
      </c>
      <c r="L28" s="33" t="str" cm="1">
        <f t="array" aca="1" ref="L28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($E28=CLASSIFICATION[[Keyword Aggr]:[Keyword Aggr]])*($D28=CLASSIFICATION[[Functional Scope Aggr]:[Functional Scope Aggr]])),
_xlpm._platform_keywords, _xlfn.TEXTSPLIT(SUBSTITUTE(SUBSTITUTE(VLOOKUP($D28,_xlpm._platform_range,3,FALSE),"+"&amp;CHAR(34),"+"),CHAR(34),""),", "),
_xlpm._exists, SUMPRODUCT(--ISNUMBER(MATCH(_xlpm._platform_keywords,_xlpm._original_keywords,0)))&gt;0,
_xlfn.IFS(AND(_xlpm._exists,LEFT($E28,1)="+"),"+",_xlpm._exists,"*",NOT(_xlpm._exists),"")
)</f>
        <v>*</v>
      </c>
      <c r="M28" s="33" t="str" cm="1">
        <f t="array" aca="1" ref="M28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($E28=CLASSIFICATION[[Keyword Aggr]:[Keyword Aggr]])*($D28=CLASSIFICATION[[Functional Scope Aggr]:[Functional Scope Aggr]])),
_xlpm._platform_keywords, _xlfn.TEXTSPLIT(SUBSTITUTE(SUBSTITUTE(VLOOKUP($D28,_xlpm._platform_range,3,FALSE),"+"&amp;CHAR(34),"+"),CHAR(34),""),", "),
_xlpm._exists, SUMPRODUCT(--ISNUMBER(MATCH(_xlpm._platform_keywords,_xlpm._original_keywords,0)))&gt;0,
_xlfn.IFS(AND(_xlpm._exists,LEFT($E28,1)="+"),"+",_xlpm._exists,"*",NOT(_xlpm._exists),"")
)</f>
        <v/>
      </c>
      <c r="N28" s="33" t="str" cm="1">
        <f t="array" aca="1" ref="N28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($E28=CLASSIFICATION[[Keyword Aggr]:[Keyword Aggr]])*($D28=CLASSIFICATION[[Functional Scope Aggr]:[Functional Scope Aggr]])),
_xlpm._platform_keywords, _xlfn.TEXTSPLIT(SUBSTITUTE(SUBSTITUTE(VLOOKUP($D28,_xlpm._platform_range,3,FALSE),"+"&amp;CHAR(34),"+"),CHAR(34),""),", "),
_xlpm._exists, SUMPRODUCT(--ISNUMBER(MATCH(_xlpm._platform_keywords,_xlpm._original_keywords,0)))&gt;0,
_xlfn.IFS(AND(_xlpm._exists,LEFT($E28,1)="+"),"+",_xlpm._exists,"*",NOT(_xlpm._exists),"")
)</f>
        <v/>
      </c>
      <c r="O28" s="33" t="str" cm="1">
        <f t="array" aca="1" ref="O28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($E28=CLASSIFICATION[[Keyword Aggr]:[Keyword Aggr]])*($D28=CLASSIFICATION[[Functional Scope Aggr]:[Functional Scope Aggr]])),
_xlpm._platform_keywords, _xlfn.TEXTSPLIT(SUBSTITUTE(SUBSTITUTE(VLOOKUP($D28,_xlpm._platform_range,3,FALSE),"+"&amp;CHAR(34),"+"),CHAR(34),""),", "),
_xlpm._exists, SUMPRODUCT(--ISNUMBER(MATCH(_xlpm._platform_keywords,_xlpm._original_keywords,0)))&gt;0,
_xlfn.IFS(AND(_xlpm._exists,LEFT($E28,1)="+"),"+",_xlpm._exists,"*",NOT(_xlpm._exists),"")
)</f>
        <v/>
      </c>
      <c r="Q28" s="33" t="str">
        <f t="shared" si="6"/>
        <v/>
      </c>
      <c r="R28" s="33" t="str">
        <f t="shared" si="7"/>
        <v/>
      </c>
      <c r="S28" s="33" t="str">
        <f t="shared" si="8"/>
        <v/>
      </c>
      <c r="T28" s="33" t="str">
        <f t="shared" si="9"/>
        <v/>
      </c>
      <c r="U28" s="33" t="str">
        <f t="shared" si="10"/>
        <v/>
      </c>
      <c r="V28" s="33" t="str">
        <f t="shared" si="11"/>
        <v/>
      </c>
    </row>
    <row r="29" spans="1:31" x14ac:dyDescent="0.25">
      <c r="A29" s="19" t="str">
        <v>Development,Fetching data,REST API</v>
      </c>
      <c r="B29" t="s">
        <v>377</v>
      </c>
      <c r="C29" s="19" t="str" cm="1">
        <f t="array" ref="C29:E29">_xlfn.TEXTSPLIT(A29,",")</f>
        <v>Development</v>
      </c>
      <c r="D29" s="19" t="str">
        <v>Fetching data</v>
      </c>
      <c r="E29" s="19" t="str">
        <v>REST API</v>
      </c>
      <c r="F29" s="36" t="str" cm="1">
        <f t="array" ref="F29">_xlfn.TEXTJOIN(",",TRUE,_xlfn._xlws.FILTER(CLASSIFICATION[Keyword], ($E29=CLASSIFICATION[Keyword Aggr])*($D29=CLASSIFICATION[Functional Scope Aggr])))</f>
        <v>REST API (Custom Connectors)</v>
      </c>
      <c r="G29" s="32" t="str">
        <f t="shared" si="4"/>
        <v/>
      </c>
      <c r="H29" s="32" t="str">
        <f t="shared" si="4"/>
        <v/>
      </c>
      <c r="I29" s="32" t="str">
        <f t="shared" si="12"/>
        <v>REST API</v>
      </c>
      <c r="J29" s="33" t="str" cm="1">
        <f t="array" aca="1" ref="J29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($E29=CLASSIFICATION[[Keyword Aggr]:[Keyword Aggr]])*($D29=CLASSIFICATION[[Functional Scope Aggr]:[Functional Scope Aggr]])),
_xlpm._platform_keywords, _xlfn.TEXTSPLIT(SUBSTITUTE(SUBSTITUTE(VLOOKUP($D29,_xlpm._platform_range,3,FALSE),"+"&amp;CHAR(34),"+"),CHAR(34),""),", "),
_xlpm._exists, SUMPRODUCT(--ISNUMBER(MATCH(_xlpm._platform_keywords,_xlpm._original_keywords,0)))&gt;0,
_xlfn.IFS(AND(_xlpm._exists,LEFT($E29,1)="+"),"+",_xlpm._exists,"*",NOT(_xlpm._exists),"")
)</f>
        <v/>
      </c>
      <c r="K29" s="33" t="str" cm="1">
        <f t="array" aca="1" ref="K29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($E29=CLASSIFICATION[[Keyword Aggr]:[Keyword Aggr]])*($D29=CLASSIFICATION[[Functional Scope Aggr]:[Functional Scope Aggr]])),
_xlpm._platform_keywords, _xlfn.TEXTSPLIT(SUBSTITUTE(SUBSTITUTE(VLOOKUP($D29,_xlpm._platform_range,3,FALSE),"+"&amp;CHAR(34),"+"),CHAR(34),""),", "),
_xlpm._exists, SUMPRODUCT(--ISNUMBER(MATCH(_xlpm._platform_keywords,_xlpm._original_keywords,0)))&gt;0,
_xlfn.IFS(AND(_xlpm._exists,LEFT($E29,1)="+"),"+",_xlpm._exists,"*",NOT(_xlpm._exists),"")
)</f>
        <v/>
      </c>
      <c r="L29" s="33" t="str" cm="1">
        <f t="array" aca="1" ref="L29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($E29=CLASSIFICATION[[Keyword Aggr]:[Keyword Aggr]])*($D29=CLASSIFICATION[[Functional Scope Aggr]:[Functional Scope Aggr]])),
_xlpm._platform_keywords, _xlfn.TEXTSPLIT(SUBSTITUTE(SUBSTITUTE(VLOOKUP($D29,_xlpm._platform_range,3,FALSE),"+"&amp;CHAR(34),"+"),CHAR(34),""),", "),
_xlpm._exists, SUMPRODUCT(--ISNUMBER(MATCH(_xlpm._platform_keywords,_xlpm._original_keywords,0)))&gt;0,
_xlfn.IFS(AND(_xlpm._exists,LEFT($E29,1)="+"),"+",_xlpm._exists,"*",NOT(_xlpm._exists),"")
)</f>
        <v>*</v>
      </c>
      <c r="M29" s="33" t="str" cm="1">
        <f t="array" aca="1" ref="M29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($E29=CLASSIFICATION[[Keyword Aggr]:[Keyword Aggr]])*($D29=CLASSIFICATION[[Functional Scope Aggr]:[Functional Scope Aggr]])),
_xlpm._platform_keywords, _xlfn.TEXTSPLIT(SUBSTITUTE(SUBSTITUTE(VLOOKUP($D29,_xlpm._platform_range,3,FALSE),"+"&amp;CHAR(34),"+"),CHAR(34),""),", "),
_xlpm._exists, SUMPRODUCT(--ISNUMBER(MATCH(_xlpm._platform_keywords,_xlpm._original_keywords,0)))&gt;0,
_xlfn.IFS(AND(_xlpm._exists,LEFT($E29,1)="+"),"+",_xlpm._exists,"*",NOT(_xlpm._exists),"")
)</f>
        <v/>
      </c>
      <c r="N29" s="33" t="str" cm="1">
        <f t="array" aca="1" ref="N29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($E29=CLASSIFICATION[[Keyword Aggr]:[Keyword Aggr]])*($D29=CLASSIFICATION[[Functional Scope Aggr]:[Functional Scope Aggr]])),
_xlpm._platform_keywords, _xlfn.TEXTSPLIT(SUBSTITUTE(SUBSTITUTE(VLOOKUP($D29,_xlpm._platform_range,3,FALSE),"+"&amp;CHAR(34),"+"),CHAR(34),""),", "),
_xlpm._exists, SUMPRODUCT(--ISNUMBER(MATCH(_xlpm._platform_keywords,_xlpm._original_keywords,0)))&gt;0,
_xlfn.IFS(AND(_xlpm._exists,LEFT($E29,1)="+"),"+",_xlpm._exists,"*",NOT(_xlpm._exists),"")
)</f>
        <v/>
      </c>
      <c r="O29" s="33" t="str" cm="1">
        <f t="array" aca="1" ref="O29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($E29=CLASSIFICATION[[Keyword Aggr]:[Keyword Aggr]])*($D29=CLASSIFICATION[[Functional Scope Aggr]:[Functional Scope Aggr]])),
_xlpm._platform_keywords, _xlfn.TEXTSPLIT(SUBSTITUTE(SUBSTITUTE(VLOOKUP($D29,_xlpm._platform_range,3,FALSE),"+"&amp;CHAR(34),"+"),CHAR(34),""),", "),
_xlpm._exists, SUMPRODUCT(--ISNUMBER(MATCH(_xlpm._platform_keywords,_xlpm._original_keywords,0)))&gt;0,
_xlfn.IFS(AND(_xlpm._exists,LEFT($E29,1)="+"),"+",_xlpm._exists,"*",NOT(_xlpm._exists),"")
)</f>
        <v/>
      </c>
      <c r="Q29" s="33" t="str">
        <f t="shared" si="6"/>
        <v/>
      </c>
      <c r="R29" s="33" t="str">
        <f t="shared" si="7"/>
        <v/>
      </c>
      <c r="S29" s="33" t="str">
        <f t="shared" si="8"/>
        <v/>
      </c>
      <c r="T29" s="33" t="str">
        <f t="shared" si="9"/>
        <v/>
      </c>
      <c r="U29" s="33" t="str">
        <f t="shared" si="10"/>
        <v/>
      </c>
      <c r="V29" s="33" t="str">
        <f t="shared" si="11"/>
        <v/>
      </c>
    </row>
    <row r="30" spans="1:31" x14ac:dyDescent="0.25">
      <c r="A30" s="19" t="str">
        <v>Development,Fetching data,SDK</v>
      </c>
      <c r="B30" t="s">
        <v>377</v>
      </c>
      <c r="C30" s="19" t="str" cm="1">
        <f t="array" ref="C30:E30">_xlfn.TEXTSPLIT(A30,",")</f>
        <v>Development</v>
      </c>
      <c r="D30" s="19" t="str">
        <v>Fetching data</v>
      </c>
      <c r="E30" s="19" t="str">
        <v>SDK</v>
      </c>
      <c r="F30" s="36" t="str" cm="1">
        <f t="array" ref="F30">_xlfn.TEXTJOIN(",",TRUE,_xlfn._xlws.FILTER(CLASSIFICATION[Keyword], ($E30=CLASSIFICATION[Keyword Aggr])*($D30=CLASSIFICATION[Functional Scope Aggr])))</f>
        <v>SDK</v>
      </c>
      <c r="G30" s="32" t="str">
        <f t="shared" si="4"/>
        <v/>
      </c>
      <c r="H30" s="32" t="str">
        <f t="shared" si="4"/>
        <v/>
      </c>
      <c r="I30" s="32" t="str">
        <f t="shared" si="12"/>
        <v>SDK</v>
      </c>
      <c r="J30" s="33" t="str" cm="1">
        <f t="array" aca="1" ref="J30" ca="1">_xlfn.LET(
_xlpm._platform_range, INDIRECT("'Platform review'!$C"&amp;_xlfn.XMATCH(J$2,'Platform review'!$A$1:$A$127)&amp;":$E"&amp;_xlfn.XMATCH(J$2,'Platform review'!$A$1:$A$127)+19),
_xlpm._original_keywords, _xlfn._xlws.FILTER(CLASSIFICATION[[Keyword]:[Keyword]], ($E30=CLASSIFICATION[[Keyword Aggr]:[Keyword Aggr]])*($D30=CLASSIFICATION[[Functional Scope Aggr]:[Functional Scope Aggr]])),
_xlpm._platform_keywords, _xlfn.TEXTSPLIT(SUBSTITUTE(SUBSTITUTE(VLOOKUP($D30,_xlpm._platform_range,3,FALSE),"+"&amp;CHAR(34),"+"),CHAR(34),""),", "),
_xlpm._exists, SUMPRODUCT(--ISNUMBER(MATCH(_xlpm._platform_keywords,_xlpm._original_keywords,0)))&gt;0,
_xlfn.IFS(AND(_xlpm._exists,LEFT($E30,1)="+"),"+",_xlpm._exists,"*",NOT(_xlpm._exists),"")
)</f>
        <v/>
      </c>
      <c r="K30" s="33" t="str" cm="1">
        <f t="array" aca="1" ref="K30" ca="1">_xlfn.LET(
_xlpm._platform_range, INDIRECT("'Platform review'!$C"&amp;_xlfn.XMATCH(K$2,'Platform review'!$A$1:$A$127)&amp;":$E"&amp;_xlfn.XMATCH(K$2,'Platform review'!$A$1:$A$127)+19),
_xlpm._original_keywords, _xlfn._xlws.FILTER(CLASSIFICATION[[Keyword]:[Keyword]], ($E30=CLASSIFICATION[[Keyword Aggr]:[Keyword Aggr]])*($D30=CLASSIFICATION[[Functional Scope Aggr]:[Functional Scope Aggr]])),
_xlpm._platform_keywords, _xlfn.TEXTSPLIT(SUBSTITUTE(SUBSTITUTE(VLOOKUP($D30,_xlpm._platform_range,3,FALSE),"+"&amp;CHAR(34),"+"),CHAR(34),""),", "),
_xlpm._exists, SUMPRODUCT(--ISNUMBER(MATCH(_xlpm._platform_keywords,_xlpm._original_keywords,0)))&gt;0,
_xlfn.IFS(AND(_xlpm._exists,LEFT($E30,1)="+"),"+",_xlpm._exists,"*",NOT(_xlpm._exists),"")
)</f>
        <v/>
      </c>
      <c r="L30" s="33" t="str" cm="1">
        <f t="array" aca="1" ref="L30" ca="1">_xlfn.LET(
_xlpm._platform_range, INDIRECT("'Platform review'!$C"&amp;_xlfn.XMATCH(L$2,'Platform review'!$A$1:$A$127)&amp;":$E"&amp;_xlfn.XMATCH(L$2,'Platform review'!$A$1:$A$127)+19),
_xlpm._original_keywords, _xlfn._xlws.FILTER(CLASSIFICATION[[Keyword]:[Keyword]], ($E30=CLASSIFICATION[[Keyword Aggr]:[Keyword Aggr]])*($D30=CLASSIFICATION[[Functional Scope Aggr]:[Functional Scope Aggr]])),
_xlpm._platform_keywords, _xlfn.TEXTSPLIT(SUBSTITUTE(SUBSTITUTE(VLOOKUP($D30,_xlpm._platform_range,3,FALSE),"+"&amp;CHAR(34),"+"),CHAR(34),""),", "),
_xlpm._exists, SUMPRODUCT(--ISNUMBER(MATCH(_xlpm._platform_keywords,_xlpm._original_keywords,0)))&gt;0,
_xlfn.IFS(AND(_xlpm._exists,LEFT($E30,1)="+"),"+",_xlpm._exists,"*",NOT(_xlpm._exists),"")
)</f>
        <v/>
      </c>
      <c r="M30" s="33" t="str" cm="1">
        <f t="array" aca="1" ref="M30" ca="1">_xlfn.LET(
_xlpm._platform_range, INDIRECT("'Platform review'!$C"&amp;_xlfn.XMATCH(M$2,'Platform review'!$A$1:$A$127)&amp;":$E"&amp;_xlfn.XMATCH(M$2,'Platform review'!$A$1:$A$127)+19),
_xlpm._original_keywords, _xlfn._xlws.FILTER(CLASSIFICATION[[Keyword]:[Keyword]], ($E30=CLASSIFICATION[[Keyword Aggr]:[Keyword Aggr]])*($D30=CLASSIFICATION[[Functional Scope Aggr]:[Functional Scope Aggr]])),
_xlpm._platform_keywords, _xlfn.TEXTSPLIT(SUBSTITUTE(SUBSTITUTE(VLOOKUP($D30,_xlpm._platform_range,3,FALSE),"+"&amp;CHAR(34),"+"),CHAR(34),""),", "),
_xlpm._exists, SUMPRODUCT(--ISNUMBER(MATCH(_xlpm._platform_keywords,_xlpm._original_keywords,0)))&gt;0,
_xlfn.IFS(AND(_xlpm._exists,LEFT($E30,1)="+"),"+",_xlpm._exists,"*",NOT(_xlpm._exists),"")
)</f>
        <v>*</v>
      </c>
      <c r="N30" s="33" t="str" cm="1">
        <f t="array" aca="1" ref="N30" ca="1">_xlfn.LET(
_xlpm._platform_range, INDIRECT("'Platform review'!$C"&amp;_xlfn.XMATCH(N$2,'Platform review'!$A$1:$A$127)&amp;":$E"&amp;_xlfn.XMATCH(N$2,'Platform review'!$A$1:$A$127)+19),
_xlpm._original_keywords, _xlfn._xlws.FILTER(CLASSIFICATION[[Keyword]:[Keyword]], ($E30=CLASSIFICATION[[Keyword Aggr]:[Keyword Aggr]])*($D30=CLASSIFICATION[[Functional Scope Aggr]:[Functional Scope Aggr]])),
_xlpm._platform_keywords, _xlfn.TEXTSPLIT(SUBSTITUTE(SUBSTITUTE(VLOOKUP($D30,_xlpm._platform_range,3,FALSE),"+"&amp;CHAR(34),"+"),CHAR(34),""),", "),
_xlpm._exists, SUMPRODUCT(--ISNUMBER(MATCH(_xlpm._platform_keywords,_xlpm._original_keywords,0)))&gt;0,
_xlfn.IFS(AND(_xlpm._exists,LEFT($E30,1)="+"),"+",_xlpm._exists,"*",NOT(_xlpm._exists),"")
)</f>
        <v/>
      </c>
      <c r="O30" s="33" t="str" cm="1">
        <f t="array" aca="1" ref="O30" ca="1">_xlfn.LET(
_xlpm._platform_range, INDIRECT("'Platform review'!$C"&amp;_xlfn.XMATCH(O$2,'Platform review'!$A$1:$A$127)&amp;":$E"&amp;_xlfn.XMATCH(O$2,'Platform review'!$A$1:$A$127)+19),
_xlpm._original_keywords, _xlfn._xlws.FILTER(CLASSIFICATION[[Keyword]:[Keyword]], ($E30=CLASSIFICATION[[Keyword Aggr]:[Keyword Aggr]])*($D30=CLASSIFICATION[[Functional Scope Aggr]:[Functional Scope Aggr]])),
_xlpm._platform_keywords, _xlfn.TEXTSPLIT(SUBSTITUTE(SUBSTITUTE(VLOOKUP($D30,_xlpm._platform_range,3,FALSE),"+"&amp;CHAR(34),"+"),CHAR(34),""),", "),
_xlpm._exists, SUMPRODUCT(--ISNUMBER(MATCH(_xlpm._platform_keywords,_xlpm._original_keywords,0)))&gt;0,
_xlfn.IFS(AND(_xlpm._exists,LEFT($E30,1)="+"),"+",_xlpm._exists,"*",NOT(_xlpm._exists),"")
)</f>
        <v/>
      </c>
      <c r="Q30" s="33" t="str">
        <f t="shared" si="6"/>
        <v/>
      </c>
      <c r="R30" s="33" t="str">
        <f t="shared" si="7"/>
        <v/>
      </c>
      <c r="S30" s="33" t="str">
        <f t="shared" si="8"/>
        <v/>
      </c>
      <c r="T30" s="33" t="str">
        <f t="shared" si="9"/>
        <v/>
      </c>
      <c r="U30" s="33" t="str">
        <f t="shared" si="10"/>
        <v/>
      </c>
      <c r="V30" s="33" t="str">
        <f t="shared" si="11"/>
        <v/>
      </c>
    </row>
    <row r="31" spans="1:31" x14ac:dyDescent="0.25">
      <c r="A31" s="19" t="str">
        <v>Development,Fetching data,SQL</v>
      </c>
      <c r="B31" t="s">
        <v>377</v>
      </c>
      <c r="C31" s="19" t="str" cm="1">
        <f t="array" ref="C31:E31">_xlfn.TEXTSPLIT(A31,",")</f>
        <v>Development</v>
      </c>
      <c r="D31" s="19" t="str">
        <v>Fetching data</v>
      </c>
      <c r="E31" s="19" t="str">
        <v>SQL</v>
      </c>
      <c r="F31" s="36" t="str" cm="1">
        <f t="array" ref="F31">_xlfn.TEXTJOIN(",",TRUE,_xlfn._xlws.FILTER(CLASSIFICATION[Keyword], ($E31=CLASSIFICATION[Keyword Aggr])*($D31=CLASSIFICATION[Functional Scope Aggr])))</f>
        <v>SQL (Azure SQL Database),SQL Databases. JDBC,SQL Queries</v>
      </c>
      <c r="G31" s="32" t="str">
        <f t="shared" si="4"/>
        <v/>
      </c>
      <c r="H31" s="32" t="str">
        <f t="shared" si="4"/>
        <v/>
      </c>
      <c r="I31" s="32" t="str">
        <f t="shared" si="12"/>
        <v>SQL</v>
      </c>
      <c r="J31" s="33" t="str" cm="1">
        <f t="array" aca="1" ref="J31" ca="1">_xlfn.LET(
_xlpm._platform_range, INDIRECT("'Platform review'!$C"&amp;_xlfn.XMATCH(J$2,'Platform review'!$A$1:$A$127)&amp;":$E"&amp;_xlfn.XMATCH(J$2,'Platform review'!$A$1:$A$127)+19),
_xlpm._original_keywords, _xlfn._xlws.FILTER(CLASSIFICATION[[Keyword]:[Keyword]], ($E31=CLASSIFICATION[[Keyword Aggr]:[Keyword Aggr]])*($D31=CLASSIFICATION[[Functional Scope Aggr]:[Functional Scope Aggr]])),
_xlpm._platform_keywords, _xlfn.TEXTSPLIT(SUBSTITUTE(SUBSTITUTE(VLOOKUP($D31,_xlpm._platform_range,3,FALSE),"+"&amp;CHAR(34),"+"),CHAR(34),""),", "),
_xlpm._exists, SUMPRODUCT(--ISNUMBER(MATCH(_xlpm._platform_keywords,_xlpm._original_keywords,0)))&gt;0,
_xlfn.IFS(AND(_xlpm._exists,LEFT($E31,1)="+"),"+",_xlpm._exists,"*",NOT(_xlpm._exists),"")
)</f>
        <v/>
      </c>
      <c r="K31" s="33" t="str" cm="1">
        <f t="array" aca="1" ref="K31" ca="1">_xlfn.LET(
_xlpm._platform_range, INDIRECT("'Platform review'!$C"&amp;_xlfn.XMATCH(K$2,'Platform review'!$A$1:$A$127)&amp;":$E"&amp;_xlfn.XMATCH(K$2,'Platform review'!$A$1:$A$127)+19),
_xlpm._original_keywords, _xlfn._xlws.FILTER(CLASSIFICATION[[Keyword]:[Keyword]], ($E31=CLASSIFICATION[[Keyword Aggr]:[Keyword Aggr]])*($D31=CLASSIFICATION[[Functional Scope Aggr]:[Functional Scope Aggr]])),
_xlpm._platform_keywords, _xlfn.TEXTSPLIT(SUBSTITUTE(SUBSTITUTE(VLOOKUP($D31,_xlpm._platform_range,3,FALSE),"+"&amp;CHAR(34),"+"),CHAR(34),""),", "),
_xlpm._exists, SUMPRODUCT(--ISNUMBER(MATCH(_xlpm._platform_keywords,_xlpm._original_keywords,0)))&gt;0,
_xlfn.IFS(AND(_xlpm._exists,LEFT($E31,1)="+"),"+",_xlpm._exists,"*",NOT(_xlpm._exists),"")
)</f>
        <v>*</v>
      </c>
      <c r="L31" s="33" t="str" cm="1">
        <f t="array" aca="1" ref="L31" ca="1">_xlfn.LET(
_xlpm._platform_range, INDIRECT("'Platform review'!$C"&amp;_xlfn.XMATCH(L$2,'Platform review'!$A$1:$A$127)&amp;":$E"&amp;_xlfn.XMATCH(L$2,'Platform review'!$A$1:$A$127)+19),
_xlpm._original_keywords, _xlfn._xlws.FILTER(CLASSIFICATION[[Keyword]:[Keyword]], ($E31=CLASSIFICATION[[Keyword Aggr]:[Keyword Aggr]])*($D31=CLASSIFICATION[[Functional Scope Aggr]:[Functional Scope Aggr]])),
_xlpm._platform_keywords, _xlfn.TEXTSPLIT(SUBSTITUTE(SUBSTITUTE(VLOOKUP($D31,_xlpm._platform_range,3,FALSE),"+"&amp;CHAR(34),"+"),CHAR(34),""),", "),
_xlpm._exists, SUMPRODUCT(--ISNUMBER(MATCH(_xlpm._platform_keywords,_xlpm._original_keywords,0)))&gt;0,
_xlfn.IFS(AND(_xlpm._exists,LEFT($E31,1)="+"),"+",_xlpm._exists,"*",NOT(_xlpm._exists),"")
)</f>
        <v/>
      </c>
      <c r="M31" s="33" t="str" cm="1">
        <f t="array" aca="1" ref="M31" ca="1">_xlfn.LET(
_xlpm._platform_range, INDIRECT("'Platform review'!$C"&amp;_xlfn.XMATCH(M$2,'Platform review'!$A$1:$A$127)&amp;":$E"&amp;_xlfn.XMATCH(M$2,'Platform review'!$A$1:$A$127)+19),
_xlpm._original_keywords, _xlfn._xlws.FILTER(CLASSIFICATION[[Keyword]:[Keyword]], ($E31=CLASSIFICATION[[Keyword Aggr]:[Keyword Aggr]])*($D31=CLASSIFICATION[[Functional Scope Aggr]:[Functional Scope Aggr]])),
_xlpm._platform_keywords, _xlfn.TEXTSPLIT(SUBSTITUTE(SUBSTITUTE(VLOOKUP($D31,_xlpm._platform_range,3,FALSE),"+"&amp;CHAR(34),"+"),CHAR(34),""),", "),
_xlpm._exists, SUMPRODUCT(--ISNUMBER(MATCH(_xlpm._platform_keywords,_xlpm._original_keywords,0)))&gt;0,
_xlfn.IFS(AND(_xlpm._exists,LEFT($E31,1)="+"),"+",_xlpm._exists,"*",NOT(_xlpm._exists),"")
)</f>
        <v>*</v>
      </c>
      <c r="N31" s="33" t="str" cm="1">
        <f t="array" aca="1" ref="N31" ca="1">_xlfn.LET(
_xlpm._platform_range, INDIRECT("'Platform review'!$C"&amp;_xlfn.XMATCH(N$2,'Platform review'!$A$1:$A$127)&amp;":$E"&amp;_xlfn.XMATCH(N$2,'Platform review'!$A$1:$A$127)+19),
_xlpm._original_keywords, _xlfn._xlws.FILTER(CLASSIFICATION[[Keyword]:[Keyword]], ($E31=CLASSIFICATION[[Keyword Aggr]:[Keyword Aggr]])*($D31=CLASSIFICATION[[Functional Scope Aggr]:[Functional Scope Aggr]])),
_xlpm._platform_keywords, _xlfn.TEXTSPLIT(SUBSTITUTE(SUBSTITUTE(VLOOKUP($D31,_xlpm._platform_range,3,FALSE),"+"&amp;CHAR(34),"+"),CHAR(34),""),", "),
_xlpm._exists, SUMPRODUCT(--ISNUMBER(MATCH(_xlpm._platform_keywords,_xlpm._original_keywords,0)))&gt;0,
_xlfn.IFS(AND(_xlpm._exists,LEFT($E31,1)="+"),"+",_xlpm._exists,"*",NOT(_xlpm._exists),"")
)</f>
        <v>*</v>
      </c>
      <c r="O31" s="33" t="str" cm="1">
        <f t="array" aca="1" ref="O31" ca="1">_xlfn.LET(
_xlpm._platform_range, INDIRECT("'Platform review'!$C"&amp;_xlfn.XMATCH(O$2,'Platform review'!$A$1:$A$127)&amp;":$E"&amp;_xlfn.XMATCH(O$2,'Platform review'!$A$1:$A$127)+19),
_xlpm._original_keywords, _xlfn._xlws.FILTER(CLASSIFICATION[[Keyword]:[Keyword]], ($E31=CLASSIFICATION[[Keyword Aggr]:[Keyword Aggr]])*($D31=CLASSIFICATION[[Functional Scope Aggr]:[Functional Scope Aggr]])),
_xlpm._platform_keywords, _xlfn.TEXTSPLIT(SUBSTITUTE(SUBSTITUTE(VLOOKUP($D31,_xlpm._platform_range,3,FALSE),"+"&amp;CHAR(34),"+"),CHAR(34),""),", "),
_xlpm._exists, SUMPRODUCT(--ISNUMBER(MATCH(_xlpm._platform_keywords,_xlpm._original_keywords,0)))&gt;0,
_xlfn.IFS(AND(_xlpm._exists,LEFT($E31,1)="+"),"+",_xlpm._exists,"*",NOT(_xlpm._exists),"")
)</f>
        <v/>
      </c>
      <c r="Q31" s="33" t="str">
        <f t="shared" si="6"/>
        <v/>
      </c>
      <c r="R31" s="33" t="str">
        <f t="shared" si="7"/>
        <v/>
      </c>
      <c r="S31" s="33" t="str">
        <f t="shared" si="8"/>
        <v/>
      </c>
      <c r="T31" s="33" t="str">
        <f t="shared" si="9"/>
        <v/>
      </c>
      <c r="U31" s="33" t="str">
        <f t="shared" si="10"/>
        <v/>
      </c>
      <c r="V31" s="33" t="str">
        <f t="shared" si="11"/>
        <v/>
      </c>
    </row>
    <row r="32" spans="1:31" x14ac:dyDescent="0.25">
      <c r="A32" s="19" t="str">
        <v>Development,Fetching data,Web API</v>
      </c>
      <c r="B32" t="s">
        <v>377</v>
      </c>
      <c r="C32" s="19" t="str" cm="1">
        <f t="array" ref="C32:E32">_xlfn.TEXTSPLIT(A32,",")</f>
        <v>Development</v>
      </c>
      <c r="D32" s="19" t="str">
        <v>Fetching data</v>
      </c>
      <c r="E32" s="19" t="str">
        <v>Web API</v>
      </c>
      <c r="F32" s="36" t="str" cm="1">
        <f t="array" ref="F32">_xlfn.TEXTJOIN(",",TRUE,_xlfn._xlws.FILTER(CLASSIFICATION[Keyword], ($E32=CLASSIFICATION[Keyword Aggr])*($D32=CLASSIFICATION[Functional Scope Aggr])))</f>
        <v>Web API,Web API (Microsoft Dataverse)</v>
      </c>
      <c r="G32" s="32" t="str">
        <f t="shared" si="4"/>
        <v/>
      </c>
      <c r="H32" s="32" t="str">
        <f t="shared" si="4"/>
        <v/>
      </c>
      <c r="I32" s="32" t="str">
        <f t="shared" si="12"/>
        <v>Web API</v>
      </c>
      <c r="J32" s="33" t="str" cm="1">
        <f t="array" aca="1" ref="J32" ca="1">_xlfn.LET(
_xlpm._platform_range, INDIRECT("'Platform review'!$C"&amp;_xlfn.XMATCH(J$2,'Platform review'!$A$1:$A$127)&amp;":$E"&amp;_xlfn.XMATCH(J$2,'Platform review'!$A$1:$A$127)+19),
_xlpm._original_keywords, _xlfn._xlws.FILTER(CLASSIFICATION[[Keyword]:[Keyword]], ($E32=CLASSIFICATION[[Keyword Aggr]:[Keyword Aggr]])*($D32=CLASSIFICATION[[Functional Scope Aggr]:[Functional Scope Aggr]])),
_xlpm._platform_keywords, _xlfn.TEXTSPLIT(SUBSTITUTE(SUBSTITUTE(VLOOKUP($D32,_xlpm._platform_range,3,FALSE),"+"&amp;CHAR(34),"+"),CHAR(34),""),", "),
_xlpm._exists, SUMPRODUCT(--ISNUMBER(MATCH(_xlpm._platform_keywords,_xlpm._original_keywords,0)))&gt;0,
_xlfn.IFS(AND(_xlpm._exists,LEFT($E32,1)="+"),"+",_xlpm._exists,"*",NOT(_xlpm._exists),"")
)</f>
        <v/>
      </c>
      <c r="K32" s="33" t="str" cm="1">
        <f t="array" aca="1" ref="K32" ca="1">_xlfn.LET(
_xlpm._platform_range, INDIRECT("'Platform review'!$C"&amp;_xlfn.XMATCH(K$2,'Platform review'!$A$1:$A$127)&amp;":$E"&amp;_xlfn.XMATCH(K$2,'Platform review'!$A$1:$A$127)+19),
_xlpm._original_keywords, _xlfn._xlws.FILTER(CLASSIFICATION[[Keyword]:[Keyword]], ($E32=CLASSIFICATION[[Keyword Aggr]:[Keyword Aggr]])*($D32=CLASSIFICATION[[Functional Scope Aggr]:[Functional Scope Aggr]])),
_xlpm._platform_keywords, _xlfn.TEXTSPLIT(SUBSTITUTE(SUBSTITUTE(VLOOKUP($D32,_xlpm._platform_range,3,FALSE),"+"&amp;CHAR(34),"+"),CHAR(34),""),", "),
_xlpm._exists, SUMPRODUCT(--ISNUMBER(MATCH(_xlpm._platform_keywords,_xlpm._original_keywords,0)))&gt;0,
_xlfn.IFS(AND(_xlpm._exists,LEFT($E32,1)="+"),"+",_xlpm._exists,"*",NOT(_xlpm._exists),"")
)</f>
        <v/>
      </c>
      <c r="L32" s="33" t="str" cm="1">
        <f t="array" aca="1" ref="L32" ca="1">_xlfn.LET(
_xlpm._platform_range, INDIRECT("'Platform review'!$C"&amp;_xlfn.XMATCH(L$2,'Platform review'!$A$1:$A$127)&amp;":$E"&amp;_xlfn.XMATCH(L$2,'Platform review'!$A$1:$A$127)+19),
_xlpm._original_keywords, _xlfn._xlws.FILTER(CLASSIFICATION[[Keyword]:[Keyword]], ($E32=CLASSIFICATION[[Keyword Aggr]:[Keyword Aggr]])*($D32=CLASSIFICATION[[Functional Scope Aggr]:[Functional Scope Aggr]])),
_xlpm._platform_keywords, _xlfn.TEXTSPLIT(SUBSTITUTE(SUBSTITUTE(VLOOKUP($D32,_xlpm._platform_range,3,FALSE),"+"&amp;CHAR(34),"+"),CHAR(34),""),", "),
_xlpm._exists, SUMPRODUCT(--ISNUMBER(MATCH(_xlpm._platform_keywords,_xlpm._original_keywords,0)))&gt;0,
_xlfn.IFS(AND(_xlpm._exists,LEFT($E32,1)="+"),"+",_xlpm._exists,"*",NOT(_xlpm._exists),"")
)</f>
        <v/>
      </c>
      <c r="M32" s="33" t="str" cm="1">
        <f t="array" aca="1" ref="M32" ca="1">_xlfn.LET(
_xlpm._platform_range, INDIRECT("'Platform review'!$C"&amp;_xlfn.XMATCH(M$2,'Platform review'!$A$1:$A$127)&amp;":$E"&amp;_xlfn.XMATCH(M$2,'Platform review'!$A$1:$A$127)+19),
_xlpm._original_keywords, _xlfn._xlws.FILTER(CLASSIFICATION[[Keyword]:[Keyword]], ($E32=CLASSIFICATION[[Keyword Aggr]:[Keyword Aggr]])*($D32=CLASSIFICATION[[Functional Scope Aggr]:[Functional Scope Aggr]])),
_xlpm._platform_keywords, _xlfn.TEXTSPLIT(SUBSTITUTE(SUBSTITUTE(VLOOKUP($D32,_xlpm._platform_range,3,FALSE),"+"&amp;CHAR(34),"+"),CHAR(34),""),", "),
_xlpm._exists, SUMPRODUCT(--ISNUMBER(MATCH(_xlpm._platform_keywords,_xlpm._original_keywords,0)))&gt;0,
_xlfn.IFS(AND(_xlpm._exists,LEFT($E32,1)="+"),"+",_xlpm._exists,"*",NOT(_xlpm._exists),"")
)</f>
        <v>*</v>
      </c>
      <c r="N32" s="33" t="str" cm="1">
        <f t="array" aca="1" ref="N32" ca="1">_xlfn.LET(
_xlpm._platform_range, INDIRECT("'Platform review'!$C"&amp;_xlfn.XMATCH(N$2,'Platform review'!$A$1:$A$127)&amp;":$E"&amp;_xlfn.XMATCH(N$2,'Platform review'!$A$1:$A$127)+19),
_xlpm._original_keywords, _xlfn._xlws.FILTER(CLASSIFICATION[[Keyword]:[Keyword]], ($E32=CLASSIFICATION[[Keyword Aggr]:[Keyword Aggr]])*($D32=CLASSIFICATION[[Functional Scope Aggr]:[Functional Scope Aggr]])),
_xlpm._platform_keywords, _xlfn.TEXTSPLIT(SUBSTITUTE(SUBSTITUTE(VLOOKUP($D32,_xlpm._platform_range,3,FALSE),"+"&amp;CHAR(34),"+"),CHAR(34),""),", "),
_xlpm._exists, SUMPRODUCT(--ISNUMBER(MATCH(_xlpm._platform_keywords,_xlpm._original_keywords,0)))&gt;0,
_xlfn.IFS(AND(_xlpm._exists,LEFT($E32,1)="+"),"+",_xlpm._exists,"*",NOT(_xlpm._exists),"")
)</f>
        <v>*</v>
      </c>
      <c r="O32" s="33" t="str" cm="1">
        <f t="array" aca="1" ref="O32" ca="1">_xlfn.LET(
_xlpm._platform_range, INDIRECT("'Platform review'!$C"&amp;_xlfn.XMATCH(O$2,'Platform review'!$A$1:$A$127)&amp;":$E"&amp;_xlfn.XMATCH(O$2,'Platform review'!$A$1:$A$127)+19),
_xlpm._original_keywords, _xlfn._xlws.FILTER(CLASSIFICATION[[Keyword]:[Keyword]], ($E32=CLASSIFICATION[[Keyword Aggr]:[Keyword Aggr]])*($D32=CLASSIFICATION[[Functional Scope Aggr]:[Functional Scope Aggr]])),
_xlpm._platform_keywords, _xlfn.TEXTSPLIT(SUBSTITUTE(SUBSTITUTE(VLOOKUP($D32,_xlpm._platform_range,3,FALSE),"+"&amp;CHAR(34),"+"),CHAR(34),""),", "),
_xlpm._exists, SUMPRODUCT(--ISNUMBER(MATCH(_xlpm._platform_keywords,_xlpm._original_keywords,0)))&gt;0,
_xlfn.IFS(AND(_xlpm._exists,LEFT($E32,1)="+"),"+",_xlpm._exists,"*",NOT(_xlpm._exists),"")
)</f>
        <v/>
      </c>
      <c r="Q32" s="33" t="str">
        <f t="shared" si="6"/>
        <v/>
      </c>
      <c r="R32" s="33" t="str">
        <f t="shared" si="7"/>
        <v/>
      </c>
      <c r="S32" s="33" t="str">
        <f t="shared" si="8"/>
        <v/>
      </c>
      <c r="T32" s="33" t="str">
        <f t="shared" si="9"/>
        <v/>
      </c>
      <c r="U32" s="33" t="str">
        <f t="shared" si="10"/>
        <v/>
      </c>
      <c r="V32" s="33" t="str">
        <f t="shared" si="11"/>
        <v/>
      </c>
    </row>
    <row r="33" spans="1:22" x14ac:dyDescent="0.25">
      <c r="A33" s="19" t="str">
        <v>Development,GUI design and development,CSS/SCSS</v>
      </c>
      <c r="B33" t="s">
        <v>377</v>
      </c>
      <c r="C33" s="19" t="str" cm="1">
        <f t="array" ref="C33:E33">_xlfn.TEXTSPLIT(A33,",")</f>
        <v>Development</v>
      </c>
      <c r="D33" s="19" t="str">
        <v>GUI design and development</v>
      </c>
      <c r="E33" s="19" t="str">
        <v>CSS/SCSS</v>
      </c>
      <c r="F33" s="36" t="str" cm="1">
        <f t="array" ref="F33">_xlfn.TEXTJOIN(",",TRUE,_xlfn._xlws.FILTER(CLASSIFICATION[Keyword], ($E33=CLASSIFICATION[Keyword Aggr])*($D33=CLASSIFICATION[Functional Scope Aggr])))</f>
        <v>CSS,SASS (SCSS),Style Classes</v>
      </c>
      <c r="G33" s="32" t="str">
        <f t="shared" si="4"/>
        <v/>
      </c>
      <c r="H33" s="32" t="str">
        <f t="shared" si="4"/>
        <v>GUI design and development</v>
      </c>
      <c r="I33" s="32" t="str">
        <f t="shared" si="12"/>
        <v>CSS/SCSS</v>
      </c>
      <c r="J33" s="33" t="str" cm="1">
        <f t="array" aca="1" ref="J33" ca="1">_xlfn.LET(
_xlpm._platform_range, INDIRECT("'Platform review'!$C"&amp;_xlfn.XMATCH(J$2,'Platform review'!$A$1:$A$127)&amp;":$E"&amp;_xlfn.XMATCH(J$2,'Platform review'!$A$1:$A$127)+19),
_xlpm._original_keywords, _xlfn._xlws.FILTER(CLASSIFICATION[[Keyword]:[Keyword]], ($E33=CLASSIFICATION[[Keyword Aggr]:[Keyword Aggr]])*($D33=CLASSIFICATION[[Functional Scope Aggr]:[Functional Scope Aggr]])),
_xlpm._platform_keywords, _xlfn.TEXTSPLIT(SUBSTITUTE(SUBSTITUTE(VLOOKUP($D33,_xlpm._platform_range,3,FALSE),"+"&amp;CHAR(34),"+"),CHAR(34),""),", "),
_xlpm._exists, SUMPRODUCT(--ISNUMBER(MATCH(_xlpm._platform_keywords,_xlpm._original_keywords,0)))&gt;0,
_xlfn.IFS(AND(_xlpm._exists,LEFT($E33,1)="+"),"+",_xlpm._exists,"*",NOT(_xlpm._exists),"")
)</f>
        <v>*</v>
      </c>
      <c r="K33" s="33" t="str" cm="1">
        <f t="array" aca="1" ref="K33" ca="1">_xlfn.LET(
_xlpm._platform_range, INDIRECT("'Platform review'!$C"&amp;_xlfn.XMATCH(K$2,'Platform review'!$A$1:$A$127)&amp;":$E"&amp;_xlfn.XMATCH(K$2,'Platform review'!$A$1:$A$127)+19),
_xlpm._original_keywords, _xlfn._xlws.FILTER(CLASSIFICATION[[Keyword]:[Keyword]], ($E33=CLASSIFICATION[[Keyword Aggr]:[Keyword Aggr]])*($D33=CLASSIFICATION[[Functional Scope Aggr]:[Functional Scope Aggr]])),
_xlpm._platform_keywords, _xlfn.TEXTSPLIT(SUBSTITUTE(SUBSTITUTE(VLOOKUP($D33,_xlpm._platform_range,3,FALSE),"+"&amp;CHAR(34),"+"),CHAR(34),""),", "),
_xlpm._exists, SUMPRODUCT(--ISNUMBER(MATCH(_xlpm._platform_keywords,_xlpm._original_keywords,0)))&gt;0,
_xlfn.IFS(AND(_xlpm._exists,LEFT($E33,1)="+"),"+",_xlpm._exists,"*",NOT(_xlpm._exists),"")
)</f>
        <v>*</v>
      </c>
      <c r="L33" s="33" t="str" cm="1">
        <f t="array" aca="1" ref="L33" ca="1">_xlfn.LET(
_xlpm._platform_range, INDIRECT("'Platform review'!$C"&amp;_xlfn.XMATCH(L$2,'Platform review'!$A$1:$A$127)&amp;":$E"&amp;_xlfn.XMATCH(L$2,'Platform review'!$A$1:$A$127)+19),
_xlpm._original_keywords, _xlfn._xlws.FILTER(CLASSIFICATION[[Keyword]:[Keyword]], ($E33=CLASSIFICATION[[Keyword Aggr]:[Keyword Aggr]])*($D33=CLASSIFICATION[[Functional Scope Aggr]:[Functional Scope Aggr]])),
_xlpm._platform_keywords, _xlfn.TEXTSPLIT(SUBSTITUTE(SUBSTITUTE(VLOOKUP($D33,_xlpm._platform_range,3,FALSE),"+"&amp;CHAR(34),"+"),CHAR(34),""),", "),
_xlpm._exists, SUMPRODUCT(--ISNUMBER(MATCH(_xlpm._platform_keywords,_xlpm._original_keywords,0)))&gt;0,
_xlfn.IFS(AND(_xlpm._exists,LEFT($E33,1)="+"),"+",_xlpm._exists,"*",NOT(_xlpm._exists),"")
)</f>
        <v/>
      </c>
      <c r="M33" s="33" t="str" cm="1">
        <f t="array" aca="1" ref="M33" ca="1">_xlfn.LET(
_xlpm._platform_range, INDIRECT("'Platform review'!$C"&amp;_xlfn.XMATCH(M$2,'Platform review'!$A$1:$A$127)&amp;":$E"&amp;_xlfn.XMATCH(M$2,'Platform review'!$A$1:$A$127)+19),
_xlpm._original_keywords, _xlfn._xlws.FILTER(CLASSIFICATION[[Keyword]:[Keyword]], ($E33=CLASSIFICATION[[Keyword Aggr]:[Keyword Aggr]])*($D33=CLASSIFICATION[[Functional Scope Aggr]:[Functional Scope Aggr]])),
_xlpm._platform_keywords, _xlfn.TEXTSPLIT(SUBSTITUTE(SUBSTITUTE(VLOOKUP($D33,_xlpm._platform_range,3,FALSE),"+"&amp;CHAR(34),"+"),CHAR(34),""),", "),
_xlpm._exists, SUMPRODUCT(--ISNUMBER(MATCH(_xlpm._platform_keywords,_xlpm._original_keywords,0)))&gt;0,
_xlfn.IFS(AND(_xlpm._exists,LEFT($E33,1)="+"),"+",_xlpm._exists,"*",NOT(_xlpm._exists),"")
)</f>
        <v/>
      </c>
      <c r="N33" s="33" t="str" cm="1">
        <f t="array" aca="1" ref="N33" ca="1">_xlfn.LET(
_xlpm._platform_range, INDIRECT("'Platform review'!$C"&amp;_xlfn.XMATCH(N$2,'Platform review'!$A$1:$A$127)&amp;":$E"&amp;_xlfn.XMATCH(N$2,'Platform review'!$A$1:$A$127)+19),
_xlpm._original_keywords, _xlfn._xlws.FILTER(CLASSIFICATION[[Keyword]:[Keyword]], ($E33=CLASSIFICATION[[Keyword Aggr]:[Keyword Aggr]])*($D33=CLASSIFICATION[[Functional Scope Aggr]:[Functional Scope Aggr]])),
_xlpm._platform_keywords, _xlfn.TEXTSPLIT(SUBSTITUTE(SUBSTITUTE(VLOOKUP($D33,_xlpm._platform_range,3,FALSE),"+"&amp;CHAR(34),"+"),CHAR(34),""),", "),
_xlpm._exists, SUMPRODUCT(--ISNUMBER(MATCH(_xlpm._platform_keywords,_xlpm._original_keywords,0)))&gt;0,
_xlfn.IFS(AND(_xlpm._exists,LEFT($E33,1)="+"),"+",_xlpm._exists,"*",NOT(_xlpm._exists),"")
)</f>
        <v/>
      </c>
      <c r="O33" s="33" t="str" cm="1">
        <f t="array" aca="1" ref="O33" ca="1">_xlfn.LET(
_xlpm._platform_range, INDIRECT("'Platform review'!$C"&amp;_xlfn.XMATCH(O$2,'Platform review'!$A$1:$A$127)&amp;":$E"&amp;_xlfn.XMATCH(O$2,'Platform review'!$A$1:$A$127)+19),
_xlpm._original_keywords, _xlfn._xlws.FILTER(CLASSIFICATION[[Keyword]:[Keyword]], ($E33=CLASSIFICATION[[Keyword Aggr]:[Keyword Aggr]])*($D33=CLASSIFICATION[[Functional Scope Aggr]:[Functional Scope Aggr]])),
_xlpm._platform_keywords, _xlfn.TEXTSPLIT(SUBSTITUTE(SUBSTITUTE(VLOOKUP($D33,_xlpm._platform_range,3,FALSE),"+"&amp;CHAR(34),"+"),CHAR(34),""),", "),
_xlpm._exists, SUMPRODUCT(--ISNUMBER(MATCH(_xlpm._platform_keywords,_xlpm._original_keywords,0)))&gt;0,
_xlfn.IFS(AND(_xlpm._exists,LEFT($E33,1)="+"),"+",_xlpm._exists,"*",NOT(_xlpm._exists),"")
)</f>
        <v/>
      </c>
      <c r="Q33" s="33">
        <f t="shared" ca="1" si="6"/>
        <v>2</v>
      </c>
      <c r="R33" s="33">
        <f t="shared" ca="1" si="7"/>
        <v>4</v>
      </c>
      <c r="S33" s="33">
        <f t="shared" ca="1" si="8"/>
        <v>4</v>
      </c>
      <c r="T33" s="33">
        <f t="shared" ca="1" si="9"/>
        <v>3</v>
      </c>
      <c r="U33" s="33">
        <f t="shared" ca="1" si="10"/>
        <v>0</v>
      </c>
      <c r="V33" s="33">
        <f t="shared" ca="1" si="11"/>
        <v>1</v>
      </c>
    </row>
    <row r="34" spans="1:22" x14ac:dyDescent="0.25">
      <c r="A34" s="19" t="str">
        <v>Development,GUI design and development,Responsive Web Design</v>
      </c>
      <c r="B34" t="s">
        <v>377</v>
      </c>
      <c r="C34" s="19" t="str" cm="1">
        <f t="array" ref="C34:E34">_xlfn.TEXTSPLIT(A34,",")</f>
        <v>Development</v>
      </c>
      <c r="D34" s="19" t="str">
        <v>GUI design and development</v>
      </c>
      <c r="E34" s="19" t="str">
        <v>Responsive Web Design</v>
      </c>
      <c r="F34" s="36" t="str" cm="1">
        <f t="array" ref="F34">_xlfn.TEXTJOIN(",",TRUE,_xlfn._xlws.FILTER(CLASSIFICATION[Keyword], ($E34=CLASSIFICATION[Keyword Aggr])*($D34=CLASSIFICATION[Functional Scope Aggr])))</f>
        <v>Grid,Reactive Web App,Responsive Breakpoints,Responsive Web Design</v>
      </c>
      <c r="G34" s="32" t="str">
        <f t="shared" si="4"/>
        <v/>
      </c>
      <c r="H34" s="32" t="str">
        <f t="shared" si="4"/>
        <v/>
      </c>
      <c r="I34" s="32" t="str">
        <f t="shared" si="12"/>
        <v>Responsive Web Design</v>
      </c>
      <c r="J34" s="33" t="str" cm="1">
        <f t="array" aca="1" ref="J34" ca="1">_xlfn.LET(
_xlpm._platform_range, INDIRECT("'Platform review'!$C"&amp;_xlfn.XMATCH(J$2,'Platform review'!$A$1:$A$127)&amp;":$E"&amp;_xlfn.XMATCH(J$2,'Platform review'!$A$1:$A$127)+19),
_xlpm._original_keywords, _xlfn._xlws.FILTER(CLASSIFICATION[[Keyword]:[Keyword]], ($E34=CLASSIFICATION[[Keyword Aggr]:[Keyword Aggr]])*($D34=CLASSIFICATION[[Functional Scope Aggr]:[Functional Scope Aggr]])),
_xlpm._platform_keywords, _xlfn.TEXTSPLIT(SUBSTITUTE(SUBSTITUTE(VLOOKUP($D34,_xlpm._platform_range,3,FALSE),"+"&amp;CHAR(34),"+"),CHAR(34),""),", "),
_xlpm._exists, SUMPRODUCT(--ISNUMBER(MATCH(_xlpm._platform_keywords,_xlpm._original_keywords,0)))&gt;0,
_xlfn.IFS(AND(_xlpm._exists,LEFT($E34,1)="+"),"+",_xlpm._exists,"*",NOT(_xlpm._exists),"")
)</f>
        <v/>
      </c>
      <c r="K34" s="33" t="str" cm="1">
        <f t="array" aca="1" ref="K34" ca="1">_xlfn.LET(
_xlpm._platform_range, INDIRECT("'Platform review'!$C"&amp;_xlfn.XMATCH(K$2,'Platform review'!$A$1:$A$127)&amp;":$E"&amp;_xlfn.XMATCH(K$2,'Platform review'!$A$1:$A$127)+19),
_xlpm._original_keywords, _xlfn._xlws.FILTER(CLASSIFICATION[[Keyword]:[Keyword]], ($E34=CLASSIFICATION[[Keyword Aggr]:[Keyword Aggr]])*($D34=CLASSIFICATION[[Functional Scope Aggr]:[Functional Scope Aggr]])),
_xlpm._platform_keywords, _xlfn.TEXTSPLIT(SUBSTITUTE(SUBSTITUTE(VLOOKUP($D34,_xlpm._platform_range,3,FALSE),"+"&amp;CHAR(34),"+"),CHAR(34),""),", "),
_xlpm._exists, SUMPRODUCT(--ISNUMBER(MATCH(_xlpm._platform_keywords,_xlpm._original_keywords,0)))&gt;0,
_xlfn.IFS(AND(_xlpm._exists,LEFT($E34,1)="+"),"+",_xlpm._exists,"*",NOT(_xlpm._exists),"")
)</f>
        <v>*</v>
      </c>
      <c r="L34" s="33" t="str" cm="1">
        <f t="array" aca="1" ref="L34" ca="1">_xlfn.LET(
_xlpm._platform_range, INDIRECT("'Platform review'!$C"&amp;_xlfn.XMATCH(L$2,'Platform review'!$A$1:$A$127)&amp;":$E"&amp;_xlfn.XMATCH(L$2,'Platform review'!$A$1:$A$127)+19),
_xlpm._original_keywords, _xlfn._xlws.FILTER(CLASSIFICATION[[Keyword]:[Keyword]], ($E34=CLASSIFICATION[[Keyword Aggr]:[Keyword Aggr]])*($D34=CLASSIFICATION[[Functional Scope Aggr]:[Functional Scope Aggr]])),
_xlpm._platform_keywords, _xlfn.TEXTSPLIT(SUBSTITUTE(SUBSTITUTE(VLOOKUP($D34,_xlpm._platform_range,3,FALSE),"+"&amp;CHAR(34),"+"),CHAR(34),""),", "),
_xlpm._exists, SUMPRODUCT(--ISNUMBER(MATCH(_xlpm._platform_keywords,_xlpm._original_keywords,0)))&gt;0,
_xlfn.IFS(AND(_xlpm._exists,LEFT($E34,1)="+"),"+",_xlpm._exists,"*",NOT(_xlpm._exists),"")
)</f>
        <v/>
      </c>
      <c r="M34" s="33" t="str" cm="1">
        <f t="array" aca="1" ref="M34" ca="1">_xlfn.LET(
_xlpm._platform_range, INDIRECT("'Platform review'!$C"&amp;_xlfn.XMATCH(M$2,'Platform review'!$A$1:$A$127)&amp;":$E"&amp;_xlfn.XMATCH(M$2,'Platform review'!$A$1:$A$127)+19),
_xlpm._original_keywords, _xlfn._xlws.FILTER(CLASSIFICATION[[Keyword]:[Keyword]], ($E34=CLASSIFICATION[[Keyword Aggr]:[Keyword Aggr]])*($D34=CLASSIFICATION[[Functional Scope Aggr]:[Functional Scope Aggr]])),
_xlpm._platform_keywords, _xlfn.TEXTSPLIT(SUBSTITUTE(SUBSTITUTE(VLOOKUP($D34,_xlpm._platform_range,3,FALSE),"+"&amp;CHAR(34),"+"),CHAR(34),""),", "),
_xlpm._exists, SUMPRODUCT(--ISNUMBER(MATCH(_xlpm._platform_keywords,_xlpm._original_keywords,0)))&gt;0,
_xlfn.IFS(AND(_xlpm._exists,LEFT($E34,1)="+"),"+",_xlpm._exists,"*",NOT(_xlpm._exists),"")
)</f>
        <v/>
      </c>
      <c r="N34" s="33" t="str" cm="1">
        <f t="array" aca="1" ref="N34" ca="1">_xlfn.LET(
_xlpm._platform_range, INDIRECT("'Platform review'!$C"&amp;_xlfn.XMATCH(N$2,'Platform review'!$A$1:$A$127)&amp;":$E"&amp;_xlfn.XMATCH(N$2,'Platform review'!$A$1:$A$127)+19),
_xlpm._original_keywords, _xlfn._xlws.FILTER(CLASSIFICATION[[Keyword]:[Keyword]], ($E34=CLASSIFICATION[[Keyword Aggr]:[Keyword Aggr]])*($D34=CLASSIFICATION[[Functional Scope Aggr]:[Functional Scope Aggr]])),
_xlpm._platform_keywords, _xlfn.TEXTSPLIT(SUBSTITUTE(SUBSTITUTE(VLOOKUP($D34,_xlpm._platform_range,3,FALSE),"+"&amp;CHAR(34),"+"),CHAR(34),""),", "),
_xlpm._exists, SUMPRODUCT(--ISNUMBER(MATCH(_xlpm._platform_keywords,_xlpm._original_keywords,0)))&gt;0,
_xlfn.IFS(AND(_xlpm._exists,LEFT($E34,1)="+"),"+",_xlpm._exists,"*",NOT(_xlpm._exists),"")
)</f>
        <v/>
      </c>
      <c r="O34" s="33" t="str" cm="1">
        <f t="array" aca="1" ref="O34" ca="1">_xlfn.LET(
_xlpm._platform_range, INDIRECT("'Platform review'!$C"&amp;_xlfn.XMATCH(O$2,'Platform review'!$A$1:$A$127)&amp;":$E"&amp;_xlfn.XMATCH(O$2,'Platform review'!$A$1:$A$127)+19),
_xlpm._original_keywords, _xlfn._xlws.FILTER(CLASSIFICATION[[Keyword]:[Keyword]], ($E34=CLASSIFICATION[[Keyword Aggr]:[Keyword Aggr]])*($D34=CLASSIFICATION[[Functional Scope Aggr]:[Functional Scope Aggr]])),
_xlpm._platform_keywords, _xlfn.TEXTSPLIT(SUBSTITUTE(SUBSTITUTE(VLOOKUP($D34,_xlpm._platform_range,3,FALSE),"+"&amp;CHAR(34),"+"),CHAR(34),""),", "),
_xlpm._exists, SUMPRODUCT(--ISNUMBER(MATCH(_xlpm._platform_keywords,_xlpm._original_keywords,0)))&gt;0,
_xlfn.IFS(AND(_xlpm._exists,LEFT($E34,1)="+"),"+",_xlpm._exists,"*",NOT(_xlpm._exists),"")
)</f>
        <v/>
      </c>
      <c r="Q34" s="33" t="str">
        <f t="shared" si="6"/>
        <v/>
      </c>
      <c r="R34" s="33" t="str">
        <f t="shared" si="7"/>
        <v/>
      </c>
      <c r="S34" s="33" t="str">
        <f t="shared" si="8"/>
        <v/>
      </c>
      <c r="T34" s="33" t="str">
        <f t="shared" si="9"/>
        <v/>
      </c>
      <c r="U34" s="33" t="str">
        <f t="shared" si="10"/>
        <v/>
      </c>
      <c r="V34" s="33" t="str">
        <f t="shared" si="11"/>
        <v/>
      </c>
    </row>
    <row r="35" spans="1:22" x14ac:dyDescent="0.25">
      <c r="A35" s="19" t="str">
        <v>Development,GUI design and development,HTML</v>
      </c>
      <c r="B35" t="s">
        <v>377</v>
      </c>
      <c r="C35" s="19" t="str" cm="1">
        <f t="array" ref="C35:E35">_xlfn.TEXTSPLIT(A35,",")</f>
        <v>Development</v>
      </c>
      <c r="D35" s="19" t="str">
        <v>GUI design and development</v>
      </c>
      <c r="E35" s="19" t="str">
        <v>HTML</v>
      </c>
      <c r="F35" s="36" t="str" cm="1">
        <f t="array" ref="F35">_xlfn.TEXTJOIN(",",TRUE,_xlfn._xlws.FILTER(CLASSIFICATION[Keyword], ($E35=CLASSIFICATION[Keyword Aggr])*($D35=CLASSIFICATION[Functional Scope Aggr])))</f>
        <v>HTML</v>
      </c>
      <c r="G35" s="32" t="str">
        <f t="shared" si="4"/>
        <v/>
      </c>
      <c r="H35" s="32" t="str">
        <f t="shared" si="4"/>
        <v/>
      </c>
      <c r="I35" s="32" t="str">
        <f t="shared" si="12"/>
        <v>HTML</v>
      </c>
      <c r="J35" s="33" t="str" cm="1">
        <f t="array" aca="1" ref="J35" ca="1">_xlfn.LET(
_xlpm._platform_range, INDIRECT("'Platform review'!$C"&amp;_xlfn.XMATCH(J$2,'Platform review'!$A$1:$A$127)&amp;":$E"&amp;_xlfn.XMATCH(J$2,'Platform review'!$A$1:$A$127)+19),
_xlpm._original_keywords, _xlfn._xlws.FILTER(CLASSIFICATION[[Keyword]:[Keyword]], ($E35=CLASSIFICATION[[Keyword Aggr]:[Keyword Aggr]])*($D35=CLASSIFICATION[[Functional Scope Aggr]:[Functional Scope Aggr]])),
_xlpm._platform_keywords, _xlfn.TEXTSPLIT(SUBSTITUTE(SUBSTITUTE(VLOOKUP($D35,_xlpm._platform_range,3,FALSE),"+"&amp;CHAR(34),"+"),CHAR(34),""),", "),
_xlpm._exists, SUMPRODUCT(--ISNUMBER(MATCH(_xlpm._platform_keywords,_xlpm._original_keywords,0)))&gt;0,
_xlfn.IFS(AND(_xlpm._exists,LEFT($E35,1)="+"),"+",_xlpm._exists,"*",NOT(_xlpm._exists),"")
)</f>
        <v>*</v>
      </c>
      <c r="K35" s="33" t="str" cm="1">
        <f t="array" aca="1" ref="K35" ca="1">_xlfn.LET(
_xlpm._platform_range, INDIRECT("'Platform review'!$C"&amp;_xlfn.XMATCH(K$2,'Platform review'!$A$1:$A$127)&amp;":$E"&amp;_xlfn.XMATCH(K$2,'Platform review'!$A$1:$A$127)+19),
_xlpm._original_keywords, _xlfn._xlws.FILTER(CLASSIFICATION[[Keyword]:[Keyword]], ($E35=CLASSIFICATION[[Keyword Aggr]:[Keyword Aggr]])*($D35=CLASSIFICATION[[Functional Scope Aggr]:[Functional Scope Aggr]])),
_xlpm._platform_keywords, _xlfn.TEXTSPLIT(SUBSTITUTE(SUBSTITUTE(VLOOKUP($D35,_xlpm._platform_range,3,FALSE),"+"&amp;CHAR(34),"+"),CHAR(34),""),", "),
_xlpm._exists, SUMPRODUCT(--ISNUMBER(MATCH(_xlpm._platform_keywords,_xlpm._original_keywords,0)))&gt;0,
_xlfn.IFS(AND(_xlpm._exists,LEFT($E35,1)="+"),"+",_xlpm._exists,"*",NOT(_xlpm._exists),"")
)</f>
        <v>*</v>
      </c>
      <c r="L35" s="33" t="str" cm="1">
        <f t="array" aca="1" ref="L35" ca="1">_xlfn.LET(
_xlpm._platform_range, INDIRECT("'Platform review'!$C"&amp;_xlfn.XMATCH(L$2,'Platform review'!$A$1:$A$127)&amp;":$E"&amp;_xlfn.XMATCH(L$2,'Platform review'!$A$1:$A$127)+19),
_xlpm._original_keywords, _xlfn._xlws.FILTER(CLASSIFICATION[[Keyword]:[Keyword]], ($E35=CLASSIFICATION[[Keyword Aggr]:[Keyword Aggr]])*($D35=CLASSIFICATION[[Functional Scope Aggr]:[Functional Scope Aggr]])),
_xlpm._platform_keywords, _xlfn.TEXTSPLIT(SUBSTITUTE(SUBSTITUTE(VLOOKUP($D35,_xlpm._platform_range,3,FALSE),"+"&amp;CHAR(34),"+"),CHAR(34),""),", "),
_xlpm._exists, SUMPRODUCT(--ISNUMBER(MATCH(_xlpm._platform_keywords,_xlpm._original_keywords,0)))&gt;0,
_xlfn.IFS(AND(_xlpm._exists,LEFT($E35,1)="+"),"+",_xlpm._exists,"*",NOT(_xlpm._exists),"")
)</f>
        <v>*</v>
      </c>
      <c r="M35" s="33" t="str" cm="1">
        <f t="array" aca="1" ref="M35" ca="1">_xlfn.LET(
_xlpm._platform_range, INDIRECT("'Platform review'!$C"&amp;_xlfn.XMATCH(M$2,'Platform review'!$A$1:$A$127)&amp;":$E"&amp;_xlfn.XMATCH(M$2,'Platform review'!$A$1:$A$127)+19),
_xlpm._original_keywords, _xlfn._xlws.FILTER(CLASSIFICATION[[Keyword]:[Keyword]], ($E35=CLASSIFICATION[[Keyword Aggr]:[Keyword Aggr]])*($D35=CLASSIFICATION[[Functional Scope Aggr]:[Functional Scope Aggr]])),
_xlpm._platform_keywords, _xlfn.TEXTSPLIT(SUBSTITUTE(SUBSTITUTE(VLOOKUP($D35,_xlpm._platform_range,3,FALSE),"+"&amp;CHAR(34),"+"),CHAR(34),""),", "),
_xlpm._exists, SUMPRODUCT(--ISNUMBER(MATCH(_xlpm._platform_keywords,_xlpm._original_keywords,0)))&gt;0,
_xlfn.IFS(AND(_xlpm._exists,LEFT($E35,1)="+"),"+",_xlpm._exists,"*",NOT(_xlpm._exists),"")
)</f>
        <v/>
      </c>
      <c r="N35" s="33" t="str" cm="1">
        <f t="array" aca="1" ref="N35" ca="1">_xlfn.LET(
_xlpm._platform_range, INDIRECT("'Platform review'!$C"&amp;_xlfn.XMATCH(N$2,'Platform review'!$A$1:$A$127)&amp;":$E"&amp;_xlfn.XMATCH(N$2,'Platform review'!$A$1:$A$127)+19),
_xlpm._original_keywords, _xlfn._xlws.FILTER(CLASSIFICATION[[Keyword]:[Keyword]], ($E35=CLASSIFICATION[[Keyword Aggr]:[Keyword Aggr]])*($D35=CLASSIFICATION[[Functional Scope Aggr]:[Functional Scope Aggr]])),
_xlpm._platform_keywords, _xlfn.TEXTSPLIT(SUBSTITUTE(SUBSTITUTE(VLOOKUP($D35,_xlpm._platform_range,3,FALSE),"+"&amp;CHAR(34),"+"),CHAR(34),""),", "),
_xlpm._exists, SUMPRODUCT(--ISNUMBER(MATCH(_xlpm._platform_keywords,_xlpm._original_keywords,0)))&gt;0,
_xlfn.IFS(AND(_xlpm._exists,LEFT($E35,1)="+"),"+",_xlpm._exists,"*",NOT(_xlpm._exists),"")
)</f>
        <v/>
      </c>
      <c r="O35" s="33" t="str" cm="1">
        <f t="array" aca="1" ref="O35" ca="1">_xlfn.LET(
_xlpm._platform_range, INDIRECT("'Platform review'!$C"&amp;_xlfn.XMATCH(O$2,'Platform review'!$A$1:$A$127)&amp;":$E"&amp;_xlfn.XMATCH(O$2,'Platform review'!$A$1:$A$127)+19),
_xlpm._original_keywords, _xlfn._xlws.FILTER(CLASSIFICATION[[Keyword]:[Keyword]], ($E35=CLASSIFICATION[[Keyword Aggr]:[Keyword Aggr]])*($D35=CLASSIFICATION[[Functional Scope Aggr]:[Functional Scope Aggr]])),
_xlpm._platform_keywords, _xlfn.TEXTSPLIT(SUBSTITUTE(SUBSTITUTE(VLOOKUP($D35,_xlpm._platform_range,3,FALSE),"+"&amp;CHAR(34),"+"),CHAR(34),""),", "),
_xlpm._exists, SUMPRODUCT(--ISNUMBER(MATCH(_xlpm._platform_keywords,_xlpm._original_keywords,0)))&gt;0,
_xlfn.IFS(AND(_xlpm._exists,LEFT($E35,1)="+"),"+",_xlpm._exists,"*",NOT(_xlpm._exists),"")
)</f>
        <v/>
      </c>
      <c r="Q35" s="33" t="str">
        <f t="shared" si="6"/>
        <v/>
      </c>
      <c r="R35" s="33" t="str">
        <f t="shared" si="7"/>
        <v/>
      </c>
      <c r="S35" s="33" t="str">
        <f t="shared" si="8"/>
        <v/>
      </c>
      <c r="T35" s="33" t="str">
        <f t="shared" si="9"/>
        <v/>
      </c>
      <c r="U35" s="33" t="str">
        <f t="shared" si="10"/>
        <v/>
      </c>
      <c r="V35" s="33" t="str">
        <f t="shared" si="11"/>
        <v/>
      </c>
    </row>
    <row r="36" spans="1:22" x14ac:dyDescent="0.25">
      <c r="A36" s="19" t="str">
        <v>Development,GUI design and development,IT Data Types</v>
      </c>
      <c r="B36" t="s">
        <v>377</v>
      </c>
      <c r="C36" s="19" t="str" cm="1">
        <f t="array" ref="C36:E36">_xlfn.TEXTSPLIT(A36,",")</f>
        <v>Development</v>
      </c>
      <c r="D36" s="19" t="str">
        <v>GUI design and development</v>
      </c>
      <c r="E36" s="19" t="str">
        <v>IT Data Types</v>
      </c>
      <c r="F36" s="36" t="str" cm="1">
        <f t="array" ref="F36">_xlfn.TEXTJOIN(",",TRUE,_xlfn._xlws.FILTER(CLASSIFICATION[Keyword], ($E36=CLASSIFICATION[Keyword Aggr])*($D36=CLASSIFICATION[Functional Scope Aggr])))</f>
        <v>IT Data Types</v>
      </c>
      <c r="G36" s="32" t="str">
        <f t="shared" si="4"/>
        <v/>
      </c>
      <c r="H36" s="32" t="str">
        <f t="shared" si="4"/>
        <v/>
      </c>
      <c r="I36" s="32" t="str">
        <f t="shared" si="12"/>
        <v>IT Data Types</v>
      </c>
      <c r="J36" s="33" t="str" cm="1">
        <f t="array" aca="1" ref="J36" ca="1">_xlfn.LET(
_xlpm._platform_range, INDIRECT("'Platform review'!$C"&amp;_xlfn.XMATCH(J$2,'Platform review'!$A$1:$A$127)&amp;":$E"&amp;_xlfn.XMATCH(J$2,'Platform review'!$A$1:$A$127)+19),
_xlpm._original_keywords, _xlfn._xlws.FILTER(CLASSIFICATION[[Keyword]:[Keyword]], ($E36=CLASSIFICATION[[Keyword Aggr]:[Keyword Aggr]])*($D36=CLASSIFICATION[[Functional Scope Aggr]:[Functional Scope Aggr]])),
_xlpm._platform_keywords, _xlfn.TEXTSPLIT(SUBSTITUTE(SUBSTITUTE(VLOOKUP($D36,_xlpm._platform_range,3,FALSE),"+"&amp;CHAR(34),"+"),CHAR(34),""),", "),
_xlpm._exists, SUMPRODUCT(--ISNUMBER(MATCH(_xlpm._platform_keywords,_xlpm._original_keywords,0)))&gt;0,
_xlfn.IFS(AND(_xlpm._exists,LEFT($E36,1)="+"),"+",_xlpm._exists,"*",NOT(_xlpm._exists),"")
)</f>
        <v/>
      </c>
      <c r="K36" s="33" t="str" cm="1">
        <f t="array" aca="1" ref="K36" ca="1">_xlfn.LET(
_xlpm._platform_range, INDIRECT("'Platform review'!$C"&amp;_xlfn.XMATCH(K$2,'Platform review'!$A$1:$A$127)&amp;":$E"&amp;_xlfn.XMATCH(K$2,'Platform review'!$A$1:$A$127)+19),
_xlpm._original_keywords, _xlfn._xlws.FILTER(CLASSIFICATION[[Keyword]:[Keyword]], ($E36=CLASSIFICATION[[Keyword Aggr]:[Keyword Aggr]])*($D36=CLASSIFICATION[[Functional Scope Aggr]:[Functional Scope Aggr]])),
_xlpm._platform_keywords, _xlfn.TEXTSPLIT(SUBSTITUTE(SUBSTITUTE(VLOOKUP($D36,_xlpm._platform_range,3,FALSE),"+"&amp;CHAR(34),"+"),CHAR(34),""),", "),
_xlpm._exists, SUMPRODUCT(--ISNUMBER(MATCH(_xlpm._platform_keywords,_xlpm._original_keywords,0)))&gt;0,
_xlfn.IFS(AND(_xlpm._exists,LEFT($E36,1)="+"),"+",_xlpm._exists,"*",NOT(_xlpm._exists),"")
)</f>
        <v>*</v>
      </c>
      <c r="L36" s="33" t="str" cm="1">
        <f t="array" aca="1" ref="L36" ca="1">_xlfn.LET(
_xlpm._platform_range, INDIRECT("'Platform review'!$C"&amp;_xlfn.XMATCH(L$2,'Platform review'!$A$1:$A$127)&amp;":$E"&amp;_xlfn.XMATCH(L$2,'Platform review'!$A$1:$A$127)+19),
_xlpm._original_keywords, _xlfn._xlws.FILTER(CLASSIFICATION[[Keyword]:[Keyword]], ($E36=CLASSIFICATION[[Keyword Aggr]:[Keyword Aggr]])*($D36=CLASSIFICATION[[Functional Scope Aggr]:[Functional Scope Aggr]])),
_xlpm._platform_keywords, _xlfn.TEXTSPLIT(SUBSTITUTE(SUBSTITUTE(VLOOKUP($D36,_xlpm._platform_range,3,FALSE),"+"&amp;CHAR(34),"+"),CHAR(34),""),", "),
_xlpm._exists, SUMPRODUCT(--ISNUMBER(MATCH(_xlpm._platform_keywords,_xlpm._original_keywords,0)))&gt;0,
_xlfn.IFS(AND(_xlpm._exists,LEFT($E36,1)="+"),"+",_xlpm._exists,"*",NOT(_xlpm._exists),"")
)</f>
        <v>*</v>
      </c>
      <c r="M36" s="33" t="str" cm="1">
        <f t="array" aca="1" ref="M36" ca="1">_xlfn.LET(
_xlpm._platform_range, INDIRECT("'Platform review'!$C"&amp;_xlfn.XMATCH(M$2,'Platform review'!$A$1:$A$127)&amp;":$E"&amp;_xlfn.XMATCH(M$2,'Platform review'!$A$1:$A$127)+19),
_xlpm._original_keywords, _xlfn._xlws.FILTER(CLASSIFICATION[[Keyword]:[Keyword]], ($E36=CLASSIFICATION[[Keyword Aggr]:[Keyword Aggr]])*($D36=CLASSIFICATION[[Functional Scope Aggr]:[Functional Scope Aggr]])),
_xlpm._platform_keywords, _xlfn.TEXTSPLIT(SUBSTITUTE(SUBSTITUTE(VLOOKUP($D36,_xlpm._platform_range,3,FALSE),"+"&amp;CHAR(34),"+"),CHAR(34),""),", "),
_xlpm._exists, SUMPRODUCT(--ISNUMBER(MATCH(_xlpm._platform_keywords,_xlpm._original_keywords,0)))&gt;0,
_xlfn.IFS(AND(_xlpm._exists,LEFT($E36,1)="+"),"+",_xlpm._exists,"*",NOT(_xlpm._exists),"")
)</f>
        <v>*</v>
      </c>
      <c r="N36" s="33" t="str" cm="1">
        <f t="array" aca="1" ref="N36" ca="1">_xlfn.LET(
_xlpm._platform_range, INDIRECT("'Platform review'!$C"&amp;_xlfn.XMATCH(N$2,'Platform review'!$A$1:$A$127)&amp;":$E"&amp;_xlfn.XMATCH(N$2,'Platform review'!$A$1:$A$127)+19),
_xlpm._original_keywords, _xlfn._xlws.FILTER(CLASSIFICATION[[Keyword]:[Keyword]], ($E36=CLASSIFICATION[[Keyword Aggr]:[Keyword Aggr]])*($D36=CLASSIFICATION[[Functional Scope Aggr]:[Functional Scope Aggr]])),
_xlpm._platform_keywords, _xlfn.TEXTSPLIT(SUBSTITUTE(SUBSTITUTE(VLOOKUP($D36,_xlpm._platform_range,3,FALSE),"+"&amp;CHAR(34),"+"),CHAR(34),""),", "),
_xlpm._exists, SUMPRODUCT(--ISNUMBER(MATCH(_xlpm._platform_keywords,_xlpm._original_keywords,0)))&gt;0,
_xlfn.IFS(AND(_xlpm._exists,LEFT($E36,1)="+"),"+",_xlpm._exists,"*",NOT(_xlpm._exists),"")
)</f>
        <v/>
      </c>
      <c r="O36" s="33" t="str" cm="1">
        <f t="array" aca="1" ref="O36" ca="1">_xlfn.LET(
_xlpm._platform_range, INDIRECT("'Platform review'!$C"&amp;_xlfn.XMATCH(O$2,'Platform review'!$A$1:$A$127)&amp;":$E"&amp;_xlfn.XMATCH(O$2,'Platform review'!$A$1:$A$127)+19),
_xlpm._original_keywords, _xlfn._xlws.FILTER(CLASSIFICATION[[Keyword]:[Keyword]], ($E36=CLASSIFICATION[[Keyword Aggr]:[Keyword Aggr]])*($D36=CLASSIFICATION[[Functional Scope Aggr]:[Functional Scope Aggr]])),
_xlpm._platform_keywords, _xlfn.TEXTSPLIT(SUBSTITUTE(SUBSTITUTE(VLOOKUP($D36,_xlpm._platform_range,3,FALSE),"+"&amp;CHAR(34),"+"),CHAR(34),""),", "),
_xlpm._exists, SUMPRODUCT(--ISNUMBER(MATCH(_xlpm._platform_keywords,_xlpm._original_keywords,0)))&gt;0,
_xlfn.IFS(AND(_xlpm._exists,LEFT($E36,1)="+"),"+",_xlpm._exists,"*",NOT(_xlpm._exists),"")
)</f>
        <v/>
      </c>
      <c r="Q36" s="33" t="str">
        <f t="shared" si="6"/>
        <v/>
      </c>
      <c r="R36" s="33" t="str">
        <f t="shared" si="7"/>
        <v/>
      </c>
      <c r="S36" s="33" t="str">
        <f t="shared" si="8"/>
        <v/>
      </c>
      <c r="T36" s="33" t="str">
        <f t="shared" si="9"/>
        <v/>
      </c>
      <c r="U36" s="33" t="str">
        <f t="shared" si="10"/>
        <v/>
      </c>
      <c r="V36" s="33" t="str">
        <f t="shared" si="11"/>
        <v/>
      </c>
    </row>
    <row r="37" spans="1:22" x14ac:dyDescent="0.25">
      <c r="A37" s="19" t="str">
        <v>Development,GUI design and development,JavaScript</v>
      </c>
      <c r="B37" t="s">
        <v>377</v>
      </c>
      <c r="C37" s="19" t="str" cm="1">
        <f t="array" ref="C37:E37">_xlfn.TEXTSPLIT(A37,",")</f>
        <v>Development</v>
      </c>
      <c r="D37" s="19" t="str">
        <v>GUI design and development</v>
      </c>
      <c r="E37" s="19" t="str">
        <v>JavaScript</v>
      </c>
      <c r="F37" s="36" t="str" cm="1">
        <f t="array" ref="F37">_xlfn.TEXTJOIN(",",TRUE,_xlfn._xlws.FILTER(CLASSIFICATION[Keyword], ($E37=CLASSIFICATION[Keyword Aggr])*($D37=CLASSIFICATION[Functional Scope Aggr])))</f>
        <v>JavaScript</v>
      </c>
      <c r="G37" s="32" t="str">
        <f t="shared" si="4"/>
        <v/>
      </c>
      <c r="H37" s="32" t="str">
        <f t="shared" si="4"/>
        <v/>
      </c>
      <c r="I37" s="32" t="str">
        <f t="shared" si="12"/>
        <v>JavaScript</v>
      </c>
      <c r="J37" s="33" t="str" cm="1">
        <f t="array" aca="1" ref="J37" ca="1">_xlfn.LET(
_xlpm._platform_range, INDIRECT("'Platform review'!$C"&amp;_xlfn.XMATCH(J$2,'Platform review'!$A$1:$A$127)&amp;":$E"&amp;_xlfn.XMATCH(J$2,'Platform review'!$A$1:$A$127)+19),
_xlpm._original_keywords, _xlfn._xlws.FILTER(CLASSIFICATION[[Keyword]:[Keyword]], ($E37=CLASSIFICATION[[Keyword Aggr]:[Keyword Aggr]])*($D37=CLASSIFICATION[[Functional Scope Aggr]:[Functional Scope Aggr]])),
_xlpm._platform_keywords, _xlfn.TEXTSPLIT(SUBSTITUTE(SUBSTITUTE(VLOOKUP($D37,_xlpm._platform_range,3,FALSE),"+"&amp;CHAR(34),"+"),CHAR(34),""),", "),
_xlpm._exists, SUMPRODUCT(--ISNUMBER(MATCH(_xlpm._platform_keywords,_xlpm._original_keywords,0)))&gt;0,
_xlfn.IFS(AND(_xlpm._exists,LEFT($E37,1)="+"),"+",_xlpm._exists,"*",NOT(_xlpm._exists),"")
)</f>
        <v/>
      </c>
      <c r="K37" s="33" t="str" cm="1">
        <f t="array" aca="1" ref="K37" ca="1">_xlfn.LET(
_xlpm._platform_range, INDIRECT("'Platform review'!$C"&amp;_xlfn.XMATCH(K$2,'Platform review'!$A$1:$A$127)&amp;":$E"&amp;_xlfn.XMATCH(K$2,'Platform review'!$A$1:$A$127)+19),
_xlpm._original_keywords, _xlfn._xlws.FILTER(CLASSIFICATION[[Keyword]:[Keyword]], ($E37=CLASSIFICATION[[Keyword Aggr]:[Keyword Aggr]])*($D37=CLASSIFICATION[[Functional Scope Aggr]:[Functional Scope Aggr]])),
_xlpm._platform_keywords, _xlfn.TEXTSPLIT(SUBSTITUTE(SUBSTITUTE(VLOOKUP($D37,_xlpm._platform_range,3,FALSE),"+"&amp;CHAR(34),"+"),CHAR(34),""),", "),
_xlpm._exists, SUMPRODUCT(--ISNUMBER(MATCH(_xlpm._platform_keywords,_xlpm._original_keywords,0)))&gt;0,
_xlfn.IFS(AND(_xlpm._exists,LEFT($E37,1)="+"),"+",_xlpm._exists,"*",NOT(_xlpm._exists),"")
)</f>
        <v/>
      </c>
      <c r="L37" s="33" t="str" cm="1">
        <f t="array" aca="1" ref="L37" ca="1">_xlfn.LET(
_xlpm._platform_range, INDIRECT("'Platform review'!$C"&amp;_xlfn.XMATCH(L$2,'Platform review'!$A$1:$A$127)&amp;":$E"&amp;_xlfn.XMATCH(L$2,'Platform review'!$A$1:$A$127)+19),
_xlpm._original_keywords, _xlfn._xlws.FILTER(CLASSIFICATION[[Keyword]:[Keyword]], ($E37=CLASSIFICATION[[Keyword Aggr]:[Keyword Aggr]])*($D37=CLASSIFICATION[[Functional Scope Aggr]:[Functional Scope Aggr]])),
_xlpm._platform_keywords, _xlfn.TEXTSPLIT(SUBSTITUTE(SUBSTITUTE(VLOOKUP($D37,_xlpm._platform_range,3,FALSE),"+"&amp;CHAR(34),"+"),CHAR(34),""),", "),
_xlpm._exists, SUMPRODUCT(--ISNUMBER(MATCH(_xlpm._platform_keywords,_xlpm._original_keywords,0)))&gt;0,
_xlfn.IFS(AND(_xlpm._exists,LEFT($E37,1)="+"),"+",_xlpm._exists,"*",NOT(_xlpm._exists),"")
)</f>
        <v/>
      </c>
      <c r="M37" s="33" t="str" cm="1">
        <f t="array" aca="1" ref="M37" ca="1">_xlfn.LET(
_xlpm._platform_range, INDIRECT("'Platform review'!$C"&amp;_xlfn.XMATCH(M$2,'Platform review'!$A$1:$A$127)&amp;":$E"&amp;_xlfn.XMATCH(M$2,'Platform review'!$A$1:$A$127)+19),
_xlpm._original_keywords, _xlfn._xlws.FILTER(CLASSIFICATION[[Keyword]:[Keyword]], ($E37=CLASSIFICATION[[Keyword Aggr]:[Keyword Aggr]])*($D37=CLASSIFICATION[[Functional Scope Aggr]:[Functional Scope Aggr]])),
_xlpm._platform_keywords, _xlfn.TEXTSPLIT(SUBSTITUTE(SUBSTITUTE(VLOOKUP($D37,_xlpm._platform_range,3,FALSE),"+"&amp;CHAR(34),"+"),CHAR(34),""),", "),
_xlpm._exists, SUMPRODUCT(--ISNUMBER(MATCH(_xlpm._platform_keywords,_xlpm._original_keywords,0)))&gt;0,
_xlfn.IFS(AND(_xlpm._exists,LEFT($E37,1)="+"),"+",_xlpm._exists,"*",NOT(_xlpm._exists),"")
)</f>
        <v>*</v>
      </c>
      <c r="N37" s="33" t="str" cm="1">
        <f t="array" aca="1" ref="N37" ca="1">_xlfn.LET(
_xlpm._platform_range, INDIRECT("'Platform review'!$C"&amp;_xlfn.XMATCH(N$2,'Platform review'!$A$1:$A$127)&amp;":$E"&amp;_xlfn.XMATCH(N$2,'Platform review'!$A$1:$A$127)+19),
_xlpm._original_keywords, _xlfn._xlws.FILTER(CLASSIFICATION[[Keyword]:[Keyword]], ($E37=CLASSIFICATION[[Keyword Aggr]:[Keyword Aggr]])*($D37=CLASSIFICATION[[Functional Scope Aggr]:[Functional Scope Aggr]])),
_xlpm._platform_keywords, _xlfn.TEXTSPLIT(SUBSTITUTE(SUBSTITUTE(VLOOKUP($D37,_xlpm._platform_range,3,FALSE),"+"&amp;CHAR(34),"+"),CHAR(34),""),", "),
_xlpm._exists, SUMPRODUCT(--ISNUMBER(MATCH(_xlpm._platform_keywords,_xlpm._original_keywords,0)))&gt;0,
_xlfn.IFS(AND(_xlpm._exists,LEFT($E37,1)="+"),"+",_xlpm._exists,"*",NOT(_xlpm._exists),"")
)</f>
        <v/>
      </c>
      <c r="O37" s="33" t="str" cm="1">
        <f t="array" aca="1" ref="O37" ca="1">_xlfn.LET(
_xlpm._platform_range, INDIRECT("'Platform review'!$C"&amp;_xlfn.XMATCH(O$2,'Platform review'!$A$1:$A$127)&amp;":$E"&amp;_xlfn.XMATCH(O$2,'Platform review'!$A$1:$A$127)+19),
_xlpm._original_keywords, _xlfn._xlws.FILTER(CLASSIFICATION[[Keyword]:[Keyword]], ($E37=CLASSIFICATION[[Keyword Aggr]:[Keyword Aggr]])*($D37=CLASSIFICATION[[Functional Scope Aggr]:[Functional Scope Aggr]])),
_xlpm._platform_keywords, _xlfn.TEXTSPLIT(SUBSTITUTE(SUBSTITUTE(VLOOKUP($D37,_xlpm._platform_range,3,FALSE),"+"&amp;CHAR(34),"+"),CHAR(34),""),", "),
_xlpm._exists, SUMPRODUCT(--ISNUMBER(MATCH(_xlpm._platform_keywords,_xlpm._original_keywords,0)))&gt;0,
_xlfn.IFS(AND(_xlpm._exists,LEFT($E37,1)="+"),"+",_xlpm._exists,"*",NOT(_xlpm._exists),"")
)</f>
        <v/>
      </c>
      <c r="Q37" s="33" t="str">
        <f t="shared" si="6"/>
        <v/>
      </c>
      <c r="R37" s="33" t="str">
        <f t="shared" si="7"/>
        <v/>
      </c>
      <c r="S37" s="33" t="str">
        <f t="shared" si="8"/>
        <v/>
      </c>
      <c r="T37" s="33" t="str">
        <f t="shared" si="9"/>
        <v/>
      </c>
      <c r="U37" s="33" t="str">
        <f t="shared" si="10"/>
        <v/>
      </c>
      <c r="V37" s="33" t="str">
        <f t="shared" si="11"/>
        <v/>
      </c>
    </row>
    <row r="38" spans="1:22" x14ac:dyDescent="0.25">
      <c r="A38" s="19" t="str">
        <v>Development,GUI design and development,Scripts</v>
      </c>
      <c r="B38" t="s">
        <v>377</v>
      </c>
      <c r="C38" s="19" t="str" cm="1">
        <f t="array" ref="C38:E38">_xlfn.TEXTSPLIT(A38,",")</f>
        <v>Development</v>
      </c>
      <c r="D38" s="19" t="str">
        <v>GUI design and development</v>
      </c>
      <c r="E38" s="19" t="str">
        <v>Scripts</v>
      </c>
      <c r="F38" s="36" t="str" cm="1">
        <f t="array" ref="F38">_xlfn.TEXTJOIN(",",TRUE,_xlfn._xlws.FILTER(CLASSIFICATION[Keyword], ($E38=CLASSIFICATION[Keyword Aggr])*($D38=CLASSIFICATION[Functional Scope Aggr])))</f>
        <v>Scripts</v>
      </c>
      <c r="G38" s="32" t="str">
        <f t="shared" si="4"/>
        <v/>
      </c>
      <c r="H38" s="32" t="str">
        <f t="shared" si="4"/>
        <v/>
      </c>
      <c r="I38" s="32" t="str">
        <f t="shared" si="12"/>
        <v>Scripts</v>
      </c>
      <c r="J38" s="33" t="str" cm="1">
        <f t="array" aca="1" ref="J38" ca="1">_xlfn.LET(
_xlpm._platform_range, INDIRECT("'Platform review'!$C"&amp;_xlfn.XMATCH(J$2,'Platform review'!$A$1:$A$127)&amp;":$E"&amp;_xlfn.XMATCH(J$2,'Platform review'!$A$1:$A$127)+19),
_xlpm._original_keywords, _xlfn._xlws.FILTER(CLASSIFICATION[[Keyword]:[Keyword]], ($E38=CLASSIFICATION[[Keyword Aggr]:[Keyword Aggr]])*($D38=CLASSIFICATION[[Functional Scope Aggr]:[Functional Scope Aggr]])),
_xlpm._platform_keywords, _xlfn.TEXTSPLIT(SUBSTITUTE(SUBSTITUTE(VLOOKUP($D38,_xlpm._platform_range,3,FALSE),"+"&amp;CHAR(34),"+"),CHAR(34),""),", "),
_xlpm._exists, SUMPRODUCT(--ISNUMBER(MATCH(_xlpm._platform_keywords,_xlpm._original_keywords,0)))&gt;0,
_xlfn.IFS(AND(_xlpm._exists,LEFT($E38,1)="+"),"+",_xlpm._exists,"*",NOT(_xlpm._exists),"")
)</f>
        <v/>
      </c>
      <c r="K38" s="33" t="str" cm="1">
        <f t="array" aca="1" ref="K38" ca="1">_xlfn.LET(
_xlpm._platform_range, INDIRECT("'Platform review'!$C"&amp;_xlfn.XMATCH(K$2,'Platform review'!$A$1:$A$127)&amp;":$E"&amp;_xlfn.XMATCH(K$2,'Platform review'!$A$1:$A$127)+19),
_xlpm._original_keywords, _xlfn._xlws.FILTER(CLASSIFICATION[[Keyword]:[Keyword]], ($E38=CLASSIFICATION[[Keyword Aggr]:[Keyword Aggr]])*($D38=CLASSIFICATION[[Functional Scope Aggr]:[Functional Scope Aggr]])),
_xlpm._platform_keywords, _xlfn.TEXTSPLIT(SUBSTITUTE(SUBSTITUTE(VLOOKUP($D38,_xlpm._platform_range,3,FALSE),"+"&amp;CHAR(34),"+"),CHAR(34),""),", "),
_xlpm._exists, SUMPRODUCT(--ISNUMBER(MATCH(_xlpm._platform_keywords,_xlpm._original_keywords,0)))&gt;0,
_xlfn.IFS(AND(_xlpm._exists,LEFT($E38,1)="+"),"+",_xlpm._exists,"*",NOT(_xlpm._exists),"")
)</f>
        <v/>
      </c>
      <c r="L38" s="33" t="str" cm="1">
        <f t="array" aca="1" ref="L38" ca="1">_xlfn.LET(
_xlpm._platform_range, INDIRECT("'Platform review'!$C"&amp;_xlfn.XMATCH(L$2,'Platform review'!$A$1:$A$127)&amp;":$E"&amp;_xlfn.XMATCH(L$2,'Platform review'!$A$1:$A$127)+19),
_xlpm._original_keywords, _xlfn._xlws.FILTER(CLASSIFICATION[[Keyword]:[Keyword]], ($E38=CLASSIFICATION[[Keyword Aggr]:[Keyword Aggr]])*($D38=CLASSIFICATION[[Functional Scope Aggr]:[Functional Scope Aggr]])),
_xlpm._platform_keywords, _xlfn.TEXTSPLIT(SUBSTITUTE(SUBSTITUTE(VLOOKUP($D38,_xlpm._platform_range,3,FALSE),"+"&amp;CHAR(34),"+"),CHAR(34),""),", "),
_xlpm._exists, SUMPRODUCT(--ISNUMBER(MATCH(_xlpm._platform_keywords,_xlpm._original_keywords,0)))&gt;0,
_xlfn.IFS(AND(_xlpm._exists,LEFT($E38,1)="+"),"+",_xlpm._exists,"*",NOT(_xlpm._exists),"")
)</f>
        <v>*</v>
      </c>
      <c r="M38" s="33" t="str" cm="1">
        <f t="array" aca="1" ref="M38" ca="1">_xlfn.LET(
_xlpm._platform_range, INDIRECT("'Platform review'!$C"&amp;_xlfn.XMATCH(M$2,'Platform review'!$A$1:$A$127)&amp;":$E"&amp;_xlfn.XMATCH(M$2,'Platform review'!$A$1:$A$127)+19),
_xlpm._original_keywords, _xlfn._xlws.FILTER(CLASSIFICATION[[Keyword]:[Keyword]], ($E38=CLASSIFICATION[[Keyword Aggr]:[Keyword Aggr]])*($D38=CLASSIFICATION[[Functional Scope Aggr]:[Functional Scope Aggr]])),
_xlpm._platform_keywords, _xlfn.TEXTSPLIT(SUBSTITUTE(SUBSTITUTE(VLOOKUP($D38,_xlpm._platform_range,3,FALSE),"+"&amp;CHAR(34),"+"),CHAR(34),""),", "),
_xlpm._exists, SUMPRODUCT(--ISNUMBER(MATCH(_xlpm._platform_keywords,_xlpm._original_keywords,0)))&gt;0,
_xlfn.IFS(AND(_xlpm._exists,LEFT($E38,1)="+"),"+",_xlpm._exists,"*",NOT(_xlpm._exists),"")
)</f>
        <v/>
      </c>
      <c r="N38" s="33" t="str" cm="1">
        <f t="array" aca="1" ref="N38" ca="1">_xlfn.LET(
_xlpm._platform_range, INDIRECT("'Platform review'!$C"&amp;_xlfn.XMATCH(N$2,'Platform review'!$A$1:$A$127)&amp;":$E"&amp;_xlfn.XMATCH(N$2,'Platform review'!$A$1:$A$127)+19),
_xlpm._original_keywords, _xlfn._xlws.FILTER(CLASSIFICATION[[Keyword]:[Keyword]], ($E38=CLASSIFICATION[[Keyword Aggr]:[Keyword Aggr]])*($D38=CLASSIFICATION[[Functional Scope Aggr]:[Functional Scope Aggr]])),
_xlpm._platform_keywords, _xlfn.TEXTSPLIT(SUBSTITUTE(SUBSTITUTE(VLOOKUP($D38,_xlpm._platform_range,3,FALSE),"+"&amp;CHAR(34),"+"),CHAR(34),""),", "),
_xlpm._exists, SUMPRODUCT(--ISNUMBER(MATCH(_xlpm._platform_keywords,_xlpm._original_keywords,0)))&gt;0,
_xlfn.IFS(AND(_xlpm._exists,LEFT($E38,1)="+"),"+",_xlpm._exists,"*",NOT(_xlpm._exists),"")
)</f>
        <v/>
      </c>
      <c r="O38" s="33" t="str" cm="1">
        <f t="array" aca="1" ref="O38" ca="1">_xlfn.LET(
_xlpm._platform_range, INDIRECT("'Platform review'!$C"&amp;_xlfn.XMATCH(O$2,'Platform review'!$A$1:$A$127)&amp;":$E"&amp;_xlfn.XMATCH(O$2,'Platform review'!$A$1:$A$127)+19),
_xlpm._original_keywords, _xlfn._xlws.FILTER(CLASSIFICATION[[Keyword]:[Keyword]], ($E38=CLASSIFICATION[[Keyword Aggr]:[Keyword Aggr]])*($D38=CLASSIFICATION[[Functional Scope Aggr]:[Functional Scope Aggr]])),
_xlpm._platform_keywords, _xlfn.TEXTSPLIT(SUBSTITUTE(SUBSTITUTE(VLOOKUP($D38,_xlpm._platform_range,3,FALSE),"+"&amp;CHAR(34),"+"),CHAR(34),""),", "),
_xlpm._exists, SUMPRODUCT(--ISNUMBER(MATCH(_xlpm._platform_keywords,_xlpm._original_keywords,0)))&gt;0,
_xlfn.IFS(AND(_xlpm._exists,LEFT($E38,1)="+"),"+",_xlpm._exists,"*",NOT(_xlpm._exists),"")
)</f>
        <v/>
      </c>
      <c r="Q38" s="33" t="str">
        <f t="shared" si="6"/>
        <v/>
      </c>
      <c r="R38" s="33" t="str">
        <f t="shared" si="7"/>
        <v/>
      </c>
      <c r="S38" s="33" t="str">
        <f t="shared" si="8"/>
        <v/>
      </c>
      <c r="T38" s="33" t="str">
        <f t="shared" si="9"/>
        <v/>
      </c>
      <c r="U38" s="33" t="str">
        <f t="shared" si="10"/>
        <v/>
      </c>
      <c r="V38" s="33" t="str">
        <f t="shared" si="11"/>
        <v/>
      </c>
    </row>
    <row r="39" spans="1:22" x14ac:dyDescent="0.25">
      <c r="A39" s="19" t="str">
        <v>Development,GUI design and development,Variables</v>
      </c>
      <c r="B39" t="s">
        <v>377</v>
      </c>
      <c r="C39" s="19" t="str" cm="1">
        <f t="array" ref="C39:E39">_xlfn.TEXTSPLIT(A39,",")</f>
        <v>Development</v>
      </c>
      <c r="D39" s="19" t="str">
        <v>GUI design and development</v>
      </c>
      <c r="E39" s="19" t="str">
        <v>Variables</v>
      </c>
      <c r="F39" s="36" t="str" cm="1">
        <f t="array" ref="F39">_xlfn.TEXTJOIN(",",TRUE,_xlfn._xlws.FILTER(CLASSIFICATION[Keyword], ($E39=CLASSIFICATION[Keyword Aggr])*($D39=CLASSIFICATION[Functional Scope Aggr])))</f>
        <v>Variables</v>
      </c>
      <c r="G39" s="32" t="str">
        <f t="shared" si="4"/>
        <v/>
      </c>
      <c r="H39" s="32" t="str">
        <f t="shared" si="4"/>
        <v/>
      </c>
      <c r="I39" s="32" t="str">
        <f t="shared" si="12"/>
        <v>Variables</v>
      </c>
      <c r="J39" s="33" t="str" cm="1">
        <f t="array" aca="1" ref="J39" ca="1">_xlfn.LET(
_xlpm._platform_range, INDIRECT("'Platform review'!$C"&amp;_xlfn.XMATCH(J$2,'Platform review'!$A$1:$A$127)&amp;":$E"&amp;_xlfn.XMATCH(J$2,'Platform review'!$A$1:$A$127)+19),
_xlpm._original_keywords, _xlfn._xlws.FILTER(CLASSIFICATION[[Keyword]:[Keyword]], ($E39=CLASSIFICATION[[Keyword Aggr]:[Keyword Aggr]])*($D39=CLASSIFICATION[[Functional Scope Aggr]:[Functional Scope Aggr]])),
_xlpm._platform_keywords, _xlfn.TEXTSPLIT(SUBSTITUTE(SUBSTITUTE(VLOOKUP($D39,_xlpm._platform_range,3,FALSE),"+"&amp;CHAR(34),"+"),CHAR(34),""),", "),
_xlpm._exists, SUMPRODUCT(--ISNUMBER(MATCH(_xlpm._platform_keywords,_xlpm._original_keywords,0)))&gt;0,
_xlfn.IFS(AND(_xlpm._exists,LEFT($E39,1)="+"),"+",_xlpm._exists,"*",NOT(_xlpm._exists),"")
)</f>
        <v/>
      </c>
      <c r="K39" s="33" t="str" cm="1">
        <f t="array" aca="1" ref="K39" ca="1">_xlfn.LET(
_xlpm._platform_range, INDIRECT("'Platform review'!$C"&amp;_xlfn.XMATCH(K$2,'Platform review'!$A$1:$A$127)&amp;":$E"&amp;_xlfn.XMATCH(K$2,'Platform review'!$A$1:$A$127)+19),
_xlpm._original_keywords, _xlfn._xlws.FILTER(CLASSIFICATION[[Keyword]:[Keyword]], ($E39=CLASSIFICATION[[Keyword Aggr]:[Keyword Aggr]])*($D39=CLASSIFICATION[[Functional Scope Aggr]:[Functional Scope Aggr]])),
_xlpm._platform_keywords, _xlfn.TEXTSPLIT(SUBSTITUTE(SUBSTITUTE(VLOOKUP($D39,_xlpm._platform_range,3,FALSE),"+"&amp;CHAR(34),"+"),CHAR(34),""),", "),
_xlpm._exists, SUMPRODUCT(--ISNUMBER(MATCH(_xlpm._platform_keywords,_xlpm._original_keywords,0)))&gt;0,
_xlfn.IFS(AND(_xlpm._exists,LEFT($E39,1)="+"),"+",_xlpm._exists,"*",NOT(_xlpm._exists),"")
)</f>
        <v/>
      </c>
      <c r="L39" s="33" t="str" cm="1">
        <f t="array" aca="1" ref="L39" ca="1">_xlfn.LET(
_xlpm._platform_range, INDIRECT("'Platform review'!$C"&amp;_xlfn.XMATCH(L$2,'Platform review'!$A$1:$A$127)&amp;":$E"&amp;_xlfn.XMATCH(L$2,'Platform review'!$A$1:$A$127)+19),
_xlpm._original_keywords, _xlfn._xlws.FILTER(CLASSIFICATION[[Keyword]:[Keyword]], ($E39=CLASSIFICATION[[Keyword Aggr]:[Keyword Aggr]])*($D39=CLASSIFICATION[[Functional Scope Aggr]:[Functional Scope Aggr]])),
_xlpm._platform_keywords, _xlfn.TEXTSPLIT(SUBSTITUTE(SUBSTITUTE(VLOOKUP($D39,_xlpm._platform_range,3,FALSE),"+"&amp;CHAR(34),"+"),CHAR(34),""),", "),
_xlpm._exists, SUMPRODUCT(--ISNUMBER(MATCH(_xlpm._platform_keywords,_xlpm._original_keywords,0)))&gt;0,
_xlfn.IFS(AND(_xlpm._exists,LEFT($E39,1)="+"),"+",_xlpm._exists,"*",NOT(_xlpm._exists),"")
)</f>
        <v>*</v>
      </c>
      <c r="M39" s="33" t="str" cm="1">
        <f t="array" aca="1" ref="M39" ca="1">_xlfn.LET(
_xlpm._platform_range, INDIRECT("'Platform review'!$C"&amp;_xlfn.XMATCH(M$2,'Platform review'!$A$1:$A$127)&amp;":$E"&amp;_xlfn.XMATCH(M$2,'Platform review'!$A$1:$A$127)+19),
_xlpm._original_keywords, _xlfn._xlws.FILTER(CLASSIFICATION[[Keyword]:[Keyword]], ($E39=CLASSIFICATION[[Keyword Aggr]:[Keyword Aggr]])*($D39=CLASSIFICATION[[Functional Scope Aggr]:[Functional Scope Aggr]])),
_xlpm._platform_keywords, _xlfn.TEXTSPLIT(SUBSTITUTE(SUBSTITUTE(VLOOKUP($D39,_xlpm._platform_range,3,FALSE),"+"&amp;CHAR(34),"+"),CHAR(34),""),", "),
_xlpm._exists, SUMPRODUCT(--ISNUMBER(MATCH(_xlpm._platform_keywords,_xlpm._original_keywords,0)))&gt;0,
_xlfn.IFS(AND(_xlpm._exists,LEFT($E39,1)="+"),"+",_xlpm._exists,"*",NOT(_xlpm._exists),"")
)</f>
        <v/>
      </c>
      <c r="N39" s="33" t="str" cm="1">
        <f t="array" aca="1" ref="N39" ca="1">_xlfn.LET(
_xlpm._platform_range, INDIRECT("'Platform review'!$C"&amp;_xlfn.XMATCH(N$2,'Platform review'!$A$1:$A$127)&amp;":$E"&amp;_xlfn.XMATCH(N$2,'Platform review'!$A$1:$A$127)+19),
_xlpm._original_keywords, _xlfn._xlws.FILTER(CLASSIFICATION[[Keyword]:[Keyword]], ($E39=CLASSIFICATION[[Keyword Aggr]:[Keyword Aggr]])*($D39=CLASSIFICATION[[Functional Scope Aggr]:[Functional Scope Aggr]])),
_xlpm._platform_keywords, _xlfn.TEXTSPLIT(SUBSTITUTE(SUBSTITUTE(VLOOKUP($D39,_xlpm._platform_range,3,FALSE),"+"&amp;CHAR(34),"+"),CHAR(34),""),", "),
_xlpm._exists, SUMPRODUCT(--ISNUMBER(MATCH(_xlpm._platform_keywords,_xlpm._original_keywords,0)))&gt;0,
_xlfn.IFS(AND(_xlpm._exists,LEFT($E39,1)="+"),"+",_xlpm._exists,"*",NOT(_xlpm._exists),"")
)</f>
        <v/>
      </c>
      <c r="O39" s="33" t="str" cm="1">
        <f t="array" aca="1" ref="O39" ca="1">_xlfn.LET(
_xlpm._platform_range, INDIRECT("'Platform review'!$C"&amp;_xlfn.XMATCH(O$2,'Platform review'!$A$1:$A$127)&amp;":$E"&amp;_xlfn.XMATCH(O$2,'Platform review'!$A$1:$A$127)+19),
_xlpm._original_keywords, _xlfn._xlws.FILTER(CLASSIFICATION[[Keyword]:[Keyword]], ($E39=CLASSIFICATION[[Keyword Aggr]:[Keyword Aggr]])*($D39=CLASSIFICATION[[Functional Scope Aggr]:[Functional Scope Aggr]])),
_xlpm._platform_keywords, _xlfn.TEXTSPLIT(SUBSTITUTE(SUBSTITUTE(VLOOKUP($D39,_xlpm._platform_range,3,FALSE),"+"&amp;CHAR(34),"+"),CHAR(34),""),", "),
_xlpm._exists, SUMPRODUCT(--ISNUMBER(MATCH(_xlpm._platform_keywords,_xlpm._original_keywords,0)))&gt;0,
_xlfn.IFS(AND(_xlpm._exists,LEFT($E39,1)="+"),"+",_xlpm._exists,"*",NOT(_xlpm._exists),"")
)</f>
        <v/>
      </c>
      <c r="Q39" s="33" t="str">
        <f t="shared" si="6"/>
        <v/>
      </c>
      <c r="R39" s="33" t="str">
        <f t="shared" si="7"/>
        <v/>
      </c>
      <c r="S39" s="33" t="str">
        <f t="shared" si="8"/>
        <v/>
      </c>
      <c r="T39" s="33" t="str">
        <f t="shared" si="9"/>
        <v/>
      </c>
      <c r="U39" s="33" t="str">
        <f t="shared" si="10"/>
        <v/>
      </c>
      <c r="V39" s="33" t="str">
        <f t="shared" si="11"/>
        <v/>
      </c>
    </row>
    <row r="40" spans="1:22" x14ac:dyDescent="0.25">
      <c r="A40" s="19" t="str">
        <v>Development,GUI design and development,XML</v>
      </c>
      <c r="B40" t="s">
        <v>377</v>
      </c>
      <c r="C40" s="19" t="str" cm="1">
        <f t="array" ref="C40:E40">_xlfn.TEXTSPLIT(A40,",")</f>
        <v>Development</v>
      </c>
      <c r="D40" s="19" t="str">
        <v>GUI design and development</v>
      </c>
      <c r="E40" s="19" t="str">
        <v>XML</v>
      </c>
      <c r="F40" s="36" t="str" cm="1">
        <f t="array" ref="F40">_xlfn.TEXTJOIN(",",TRUE,_xlfn._xlws.FILTER(CLASSIFICATION[Keyword], ($E40=CLASSIFICATION[Keyword Aggr])*($D40=CLASSIFICATION[Functional Scope Aggr])))</f>
        <v>XML</v>
      </c>
      <c r="G40" s="32" t="str">
        <f t="shared" si="4"/>
        <v/>
      </c>
      <c r="H40" s="32" t="str">
        <f t="shared" si="4"/>
        <v/>
      </c>
      <c r="I40" s="32" t="str">
        <f t="shared" si="12"/>
        <v>XML</v>
      </c>
      <c r="J40" s="33" t="str" cm="1">
        <f t="array" aca="1" ref="J40" ca="1">_xlfn.LET(
_xlpm._platform_range, INDIRECT("'Platform review'!$C"&amp;_xlfn.XMATCH(J$2,'Platform review'!$A$1:$A$127)&amp;":$E"&amp;_xlfn.XMATCH(J$2,'Platform review'!$A$1:$A$127)+19),
_xlpm._original_keywords, _xlfn._xlws.FILTER(CLASSIFICATION[[Keyword]:[Keyword]], ($E40=CLASSIFICATION[[Keyword Aggr]:[Keyword Aggr]])*($D40=CLASSIFICATION[[Functional Scope Aggr]:[Functional Scope Aggr]])),
_xlpm._platform_keywords, _xlfn.TEXTSPLIT(SUBSTITUTE(SUBSTITUTE(VLOOKUP($D40,_xlpm._platform_range,3,FALSE),"+"&amp;CHAR(34),"+"),CHAR(34),""),", "),
_xlpm._exists, SUMPRODUCT(--ISNUMBER(MATCH(_xlpm._platform_keywords,_xlpm._original_keywords,0)))&gt;0,
_xlfn.IFS(AND(_xlpm._exists,LEFT($E40,1)="+"),"+",_xlpm._exists,"*",NOT(_xlpm._exists),"")
)</f>
        <v/>
      </c>
      <c r="K40" s="33" t="str" cm="1">
        <f t="array" aca="1" ref="K40" ca="1">_xlfn.LET(
_xlpm._platform_range, INDIRECT("'Platform review'!$C"&amp;_xlfn.XMATCH(K$2,'Platform review'!$A$1:$A$127)&amp;":$E"&amp;_xlfn.XMATCH(K$2,'Platform review'!$A$1:$A$127)+19),
_xlpm._original_keywords, _xlfn._xlws.FILTER(CLASSIFICATION[[Keyword]:[Keyword]], ($E40=CLASSIFICATION[[Keyword Aggr]:[Keyword Aggr]])*($D40=CLASSIFICATION[[Functional Scope Aggr]:[Functional Scope Aggr]])),
_xlpm._platform_keywords, _xlfn.TEXTSPLIT(SUBSTITUTE(SUBSTITUTE(VLOOKUP($D40,_xlpm._platform_range,3,FALSE),"+"&amp;CHAR(34),"+"),CHAR(34),""),", "),
_xlpm._exists, SUMPRODUCT(--ISNUMBER(MATCH(_xlpm._platform_keywords,_xlpm._original_keywords,0)))&gt;0,
_xlfn.IFS(AND(_xlpm._exists,LEFT($E40,1)="+"),"+",_xlpm._exists,"*",NOT(_xlpm._exists),"")
)</f>
        <v/>
      </c>
      <c r="L40" s="33" t="str" cm="1">
        <f t="array" aca="1" ref="L40" ca="1">_xlfn.LET(
_xlpm._platform_range, INDIRECT("'Platform review'!$C"&amp;_xlfn.XMATCH(L$2,'Platform review'!$A$1:$A$127)&amp;":$E"&amp;_xlfn.XMATCH(L$2,'Platform review'!$A$1:$A$127)+19),
_xlpm._original_keywords, _xlfn._xlws.FILTER(CLASSIFICATION[[Keyword]:[Keyword]], ($E40=CLASSIFICATION[[Keyword Aggr]:[Keyword Aggr]])*($D40=CLASSIFICATION[[Functional Scope Aggr]:[Functional Scope Aggr]])),
_xlpm._platform_keywords, _xlfn.TEXTSPLIT(SUBSTITUTE(SUBSTITUTE(VLOOKUP($D40,_xlpm._platform_range,3,FALSE),"+"&amp;CHAR(34),"+"),CHAR(34),""),", "),
_xlpm._exists, SUMPRODUCT(--ISNUMBER(MATCH(_xlpm._platform_keywords,_xlpm._original_keywords,0)))&gt;0,
_xlfn.IFS(AND(_xlpm._exists,LEFT($E40,1)="+"),"+",_xlpm._exists,"*",NOT(_xlpm._exists),"")
)</f>
        <v/>
      </c>
      <c r="M40" s="33" t="str" cm="1">
        <f t="array" aca="1" ref="M40" ca="1">_xlfn.LET(
_xlpm._platform_range, INDIRECT("'Platform review'!$C"&amp;_xlfn.XMATCH(M$2,'Platform review'!$A$1:$A$127)&amp;":$E"&amp;_xlfn.XMATCH(M$2,'Platform review'!$A$1:$A$127)+19),
_xlpm._original_keywords, _xlfn._xlws.FILTER(CLASSIFICATION[[Keyword]:[Keyword]], ($E40=CLASSIFICATION[[Keyword Aggr]:[Keyword Aggr]])*($D40=CLASSIFICATION[[Functional Scope Aggr]:[Functional Scope Aggr]])),
_xlpm._platform_keywords, _xlfn.TEXTSPLIT(SUBSTITUTE(SUBSTITUTE(VLOOKUP($D40,_xlpm._platform_range,3,FALSE),"+"&amp;CHAR(34),"+"),CHAR(34),""),", "),
_xlpm._exists, SUMPRODUCT(--ISNUMBER(MATCH(_xlpm._platform_keywords,_xlpm._original_keywords,0)))&gt;0,
_xlfn.IFS(AND(_xlpm._exists,LEFT($E40,1)="+"),"+",_xlpm._exists,"*",NOT(_xlpm._exists),"")
)</f>
        <v>*</v>
      </c>
      <c r="N40" s="33" t="str" cm="1">
        <f t="array" aca="1" ref="N40" ca="1">_xlfn.LET(
_xlpm._platform_range, INDIRECT("'Platform review'!$C"&amp;_xlfn.XMATCH(N$2,'Platform review'!$A$1:$A$127)&amp;":$E"&amp;_xlfn.XMATCH(N$2,'Platform review'!$A$1:$A$127)+19),
_xlpm._original_keywords, _xlfn._xlws.FILTER(CLASSIFICATION[[Keyword]:[Keyword]], ($E40=CLASSIFICATION[[Keyword Aggr]:[Keyword Aggr]])*($D40=CLASSIFICATION[[Functional Scope Aggr]:[Functional Scope Aggr]])),
_xlpm._platform_keywords, _xlfn.TEXTSPLIT(SUBSTITUTE(SUBSTITUTE(VLOOKUP($D40,_xlpm._platform_range,3,FALSE),"+"&amp;CHAR(34),"+"),CHAR(34),""),", "),
_xlpm._exists, SUMPRODUCT(--ISNUMBER(MATCH(_xlpm._platform_keywords,_xlpm._original_keywords,0)))&gt;0,
_xlfn.IFS(AND(_xlpm._exists,LEFT($E40,1)="+"),"+",_xlpm._exists,"*",NOT(_xlpm._exists),"")
)</f>
        <v/>
      </c>
      <c r="O40" s="33" t="str" cm="1">
        <f t="array" aca="1" ref="O40" ca="1">_xlfn.LET(
_xlpm._platform_range, INDIRECT("'Platform review'!$C"&amp;_xlfn.XMATCH(O$2,'Platform review'!$A$1:$A$127)&amp;":$E"&amp;_xlfn.XMATCH(O$2,'Platform review'!$A$1:$A$127)+19),
_xlpm._original_keywords, _xlfn._xlws.FILTER(CLASSIFICATION[[Keyword]:[Keyword]], ($E40=CLASSIFICATION[[Keyword Aggr]:[Keyword Aggr]])*($D40=CLASSIFICATION[[Functional Scope Aggr]:[Functional Scope Aggr]])),
_xlpm._platform_keywords, _xlfn.TEXTSPLIT(SUBSTITUTE(SUBSTITUTE(VLOOKUP($D40,_xlpm._platform_range,3,FALSE),"+"&amp;CHAR(34),"+"),CHAR(34),""),", "),
_xlpm._exists, SUMPRODUCT(--ISNUMBER(MATCH(_xlpm._platform_keywords,_xlpm._original_keywords,0)))&gt;0,
_xlfn.IFS(AND(_xlpm._exists,LEFT($E40,1)="+"),"+",_xlpm._exists,"*",NOT(_xlpm._exists),"")
)</f>
        <v>*</v>
      </c>
      <c r="Q40" s="33" t="str">
        <f t="shared" si="6"/>
        <v/>
      </c>
      <c r="R40" s="33" t="str">
        <f t="shared" si="7"/>
        <v/>
      </c>
      <c r="S40" s="33" t="str">
        <f t="shared" si="8"/>
        <v/>
      </c>
      <c r="T40" s="33" t="str">
        <f t="shared" si="9"/>
        <v/>
      </c>
      <c r="U40" s="33" t="str">
        <f t="shared" si="10"/>
        <v/>
      </c>
      <c r="V40" s="33" t="str">
        <f t="shared" si="11"/>
        <v/>
      </c>
    </row>
    <row r="41" spans="1:22" x14ac:dyDescent="0.25">
      <c r="A41" s="19" t="str">
        <v>Development,Data validation development,Domain Model</v>
      </c>
      <c r="B41" t="s">
        <v>377</v>
      </c>
      <c r="C41" s="19" t="str" cm="1">
        <f t="array" ref="C41:E41">_xlfn.TEXTSPLIT(A41,",")</f>
        <v>Development</v>
      </c>
      <c r="D41" s="19" t="str">
        <v>Data validation development</v>
      </c>
      <c r="E41" s="19" t="str">
        <v>Domain Model</v>
      </c>
      <c r="F41" s="36" t="str" cm="1">
        <f t="array" ref="F41">_xlfn.TEXTJOIN(",",TRUE,_xlfn._xlws.FILTER(CLASSIFICATION[Keyword], ($E41=CLASSIFICATION[Keyword Aggr])*($D41=CLASSIFICATION[Functional Scope Aggr])))</f>
        <v>Domain Model</v>
      </c>
      <c r="G41" s="32" t="str">
        <f t="shared" si="4"/>
        <v/>
      </c>
      <c r="H41" s="32" t="str">
        <f t="shared" si="4"/>
        <v>Data validation development</v>
      </c>
      <c r="I41" s="32" t="str">
        <f t="shared" si="12"/>
        <v>Domain Model</v>
      </c>
      <c r="J41" s="33" t="str" cm="1">
        <f t="array" aca="1" ref="J41" ca="1">_xlfn.LET(
_xlpm._platform_range, INDIRECT("'Platform review'!$C"&amp;_xlfn.XMATCH(J$2,'Platform review'!$A$1:$A$127)&amp;":$E"&amp;_xlfn.XMATCH(J$2,'Platform review'!$A$1:$A$127)+19),
_xlpm._original_keywords, _xlfn._xlws.FILTER(CLASSIFICATION[[Keyword]:[Keyword]], ($E41=CLASSIFICATION[[Keyword Aggr]:[Keyword Aggr]])*($D41=CLASSIFICATION[[Functional Scope Aggr]:[Functional Scope Aggr]])),
_xlpm._platform_keywords, _xlfn.TEXTSPLIT(SUBSTITUTE(SUBSTITUTE(VLOOKUP($D41,_xlpm._platform_range,3,FALSE),"+"&amp;CHAR(34),"+"),CHAR(34),""),", "),
_xlpm._exists, SUMPRODUCT(--ISNUMBER(MATCH(_xlpm._platform_keywords,_xlpm._original_keywords,0)))&gt;0,
_xlfn.IFS(AND(_xlpm._exists,LEFT($E41,1)="+"),"+",_xlpm._exists,"*",NOT(_xlpm._exists),"")
)</f>
        <v>*</v>
      </c>
      <c r="K41" s="33" t="str" cm="1">
        <f t="array" aca="1" ref="K41" ca="1">_xlfn.LET(
_xlpm._platform_range, INDIRECT("'Platform review'!$C"&amp;_xlfn.XMATCH(K$2,'Platform review'!$A$1:$A$127)&amp;":$E"&amp;_xlfn.XMATCH(K$2,'Platform review'!$A$1:$A$127)+19),
_xlpm._original_keywords, _xlfn._xlws.FILTER(CLASSIFICATION[[Keyword]:[Keyword]], ($E41=CLASSIFICATION[[Keyword Aggr]:[Keyword Aggr]])*($D41=CLASSIFICATION[[Functional Scope Aggr]:[Functional Scope Aggr]])),
_xlpm._platform_keywords, _xlfn.TEXTSPLIT(SUBSTITUTE(SUBSTITUTE(VLOOKUP($D41,_xlpm._platform_range,3,FALSE),"+"&amp;CHAR(34),"+"),CHAR(34),""),", "),
_xlpm._exists, SUMPRODUCT(--ISNUMBER(MATCH(_xlpm._platform_keywords,_xlpm._original_keywords,0)))&gt;0,
_xlfn.IFS(AND(_xlpm._exists,LEFT($E41,1)="+"),"+",_xlpm._exists,"*",NOT(_xlpm._exists),"")
)</f>
        <v/>
      </c>
      <c r="L41" s="33" t="str" cm="1">
        <f t="array" aca="1" ref="L41" ca="1">_xlfn.LET(
_xlpm._platform_range, INDIRECT("'Platform review'!$C"&amp;_xlfn.XMATCH(L$2,'Platform review'!$A$1:$A$127)&amp;":$E"&amp;_xlfn.XMATCH(L$2,'Platform review'!$A$1:$A$127)+19),
_xlpm._original_keywords, _xlfn._xlws.FILTER(CLASSIFICATION[[Keyword]:[Keyword]], ($E41=CLASSIFICATION[[Keyword Aggr]:[Keyword Aggr]])*($D41=CLASSIFICATION[[Functional Scope Aggr]:[Functional Scope Aggr]])),
_xlpm._platform_keywords, _xlfn.TEXTSPLIT(SUBSTITUTE(SUBSTITUTE(VLOOKUP($D41,_xlpm._platform_range,3,FALSE),"+"&amp;CHAR(34),"+"),CHAR(34),""),", "),
_xlpm._exists, SUMPRODUCT(--ISNUMBER(MATCH(_xlpm._platform_keywords,_xlpm._original_keywords,0)))&gt;0,
_xlfn.IFS(AND(_xlpm._exists,LEFT($E41,1)="+"),"+",_xlpm._exists,"*",NOT(_xlpm._exists),"")
)</f>
        <v/>
      </c>
      <c r="M41" s="33" t="str" cm="1">
        <f t="array" aca="1" ref="M41" ca="1">_xlfn.LET(
_xlpm._platform_range, INDIRECT("'Platform review'!$C"&amp;_xlfn.XMATCH(M$2,'Platform review'!$A$1:$A$127)&amp;":$E"&amp;_xlfn.XMATCH(M$2,'Platform review'!$A$1:$A$127)+19),
_xlpm._original_keywords, _xlfn._xlws.FILTER(CLASSIFICATION[[Keyword]:[Keyword]], ($E41=CLASSIFICATION[[Keyword Aggr]:[Keyword Aggr]])*($D41=CLASSIFICATION[[Functional Scope Aggr]:[Functional Scope Aggr]])),
_xlpm._platform_keywords, _xlfn.TEXTSPLIT(SUBSTITUTE(SUBSTITUTE(VLOOKUP($D41,_xlpm._platform_range,3,FALSE),"+"&amp;CHAR(34),"+"),CHAR(34),""),", "),
_xlpm._exists, SUMPRODUCT(--ISNUMBER(MATCH(_xlpm._platform_keywords,_xlpm._original_keywords,0)))&gt;0,
_xlfn.IFS(AND(_xlpm._exists,LEFT($E41,1)="+"),"+",_xlpm._exists,"*",NOT(_xlpm._exists),"")
)</f>
        <v/>
      </c>
      <c r="N41" s="33" t="str" cm="1">
        <f t="array" aca="1" ref="N41" ca="1">_xlfn.LET(
_xlpm._platform_range, INDIRECT("'Platform review'!$C"&amp;_xlfn.XMATCH(N$2,'Platform review'!$A$1:$A$127)&amp;":$E"&amp;_xlfn.XMATCH(N$2,'Platform review'!$A$1:$A$127)+19),
_xlpm._original_keywords, _xlfn._xlws.FILTER(CLASSIFICATION[[Keyword]:[Keyword]], ($E41=CLASSIFICATION[[Keyword Aggr]:[Keyword Aggr]])*($D41=CLASSIFICATION[[Functional Scope Aggr]:[Functional Scope Aggr]])),
_xlpm._platform_keywords, _xlfn.TEXTSPLIT(SUBSTITUTE(SUBSTITUTE(VLOOKUP($D41,_xlpm._platform_range,3,FALSE),"+"&amp;CHAR(34),"+"),CHAR(34),""),", "),
_xlpm._exists, SUMPRODUCT(--ISNUMBER(MATCH(_xlpm._platform_keywords,_xlpm._original_keywords,0)))&gt;0,
_xlfn.IFS(AND(_xlpm._exists,LEFT($E41,1)="+"),"+",_xlpm._exists,"*",NOT(_xlpm._exists),"")
)</f>
        <v/>
      </c>
      <c r="O41" s="33" t="str" cm="1">
        <f t="array" aca="1" ref="O41" ca="1">_xlfn.LET(
_xlpm._platform_range, INDIRECT("'Platform review'!$C"&amp;_xlfn.XMATCH(O$2,'Platform review'!$A$1:$A$127)&amp;":$E"&amp;_xlfn.XMATCH(O$2,'Platform review'!$A$1:$A$127)+19),
_xlpm._original_keywords, _xlfn._xlws.FILTER(CLASSIFICATION[[Keyword]:[Keyword]], ($E41=CLASSIFICATION[[Keyword Aggr]:[Keyword Aggr]])*($D41=CLASSIFICATION[[Functional Scope Aggr]:[Functional Scope Aggr]])),
_xlpm._platform_keywords, _xlfn.TEXTSPLIT(SUBSTITUTE(SUBSTITUTE(VLOOKUP($D41,_xlpm._platform_range,3,FALSE),"+"&amp;CHAR(34),"+"),CHAR(34),""),", "),
_xlpm._exists, SUMPRODUCT(--ISNUMBER(MATCH(_xlpm._platform_keywords,_xlpm._original_keywords,0)))&gt;0,
_xlfn.IFS(AND(_xlpm._exists,LEFT($E41,1)="+"),"+",_xlpm._exists,"*",NOT(_xlpm._exists),"")
)</f>
        <v/>
      </c>
      <c r="Q41" s="33">
        <f t="shared" ca="1" si="6"/>
        <v>1</v>
      </c>
      <c r="R41" s="33">
        <f t="shared" ca="1" si="7"/>
        <v>0</v>
      </c>
      <c r="S41" s="33">
        <f t="shared" ca="1" si="8"/>
        <v>1</v>
      </c>
      <c r="T41" s="33">
        <f t="shared" ca="1" si="9"/>
        <v>0</v>
      </c>
      <c r="U41" s="33">
        <f t="shared" ca="1" si="10"/>
        <v>0</v>
      </c>
      <c r="V41" s="33">
        <f t="shared" ca="1" si="11"/>
        <v>1</v>
      </c>
    </row>
    <row r="42" spans="1:22" x14ac:dyDescent="0.25">
      <c r="A42" s="19" t="str">
        <v>Development,Data validation development,Scripts</v>
      </c>
      <c r="B42" t="s">
        <v>377</v>
      </c>
      <c r="C42" s="19" t="str" cm="1">
        <f t="array" ref="C42:E42">_xlfn.TEXTSPLIT(A42,",")</f>
        <v>Development</v>
      </c>
      <c r="D42" s="19" t="str">
        <v>Data validation development</v>
      </c>
      <c r="E42" s="19" t="str">
        <v>Scripts</v>
      </c>
      <c r="F42" s="36" t="str" cm="1">
        <f t="array" ref="F42">_xlfn.TEXTJOIN(",",TRUE,_xlfn._xlws.FILTER(CLASSIFICATION[Keyword], ($E42=CLASSIFICATION[Keyword Aggr])*($D42=CLASSIFICATION[Functional Scope Aggr])))</f>
        <v>Scripts (Deluge),Scripts</v>
      </c>
      <c r="G42" s="32" t="str">
        <f t="shared" si="4"/>
        <v/>
      </c>
      <c r="H42" s="32" t="str">
        <f t="shared" si="4"/>
        <v/>
      </c>
      <c r="I42" s="32" t="str">
        <f t="shared" si="12"/>
        <v>Scripts</v>
      </c>
      <c r="J42" s="33" t="str" cm="1">
        <f t="array" aca="1" ref="J42" ca="1">_xlfn.LET(
_xlpm._platform_range, INDIRECT("'Platform review'!$C"&amp;_xlfn.XMATCH(J$2,'Platform review'!$A$1:$A$127)&amp;":$E"&amp;_xlfn.XMATCH(J$2,'Platform review'!$A$1:$A$127)+19),
_xlpm._original_keywords, _xlfn._xlws.FILTER(CLASSIFICATION[[Keyword]:[Keyword]], ($E42=CLASSIFICATION[[Keyword Aggr]:[Keyword Aggr]])*($D42=CLASSIFICATION[[Functional Scope Aggr]:[Functional Scope Aggr]])),
_xlpm._platform_keywords, _xlfn.TEXTSPLIT(SUBSTITUTE(SUBSTITUTE(VLOOKUP($D42,_xlpm._platform_range,3,FALSE),"+"&amp;CHAR(34),"+"),CHAR(34),""),", "),
_xlpm._exists, SUMPRODUCT(--ISNUMBER(MATCH(_xlpm._platform_keywords,_xlpm._original_keywords,0)))&gt;0,
_xlfn.IFS(AND(_xlpm._exists,LEFT($E42,1)="+"),"+",_xlpm._exists,"*",NOT(_xlpm._exists),"")
)</f>
        <v/>
      </c>
      <c r="K42" s="33" t="str" cm="1">
        <f t="array" aca="1" ref="K42" ca="1">_xlfn.LET(
_xlpm._platform_range, INDIRECT("'Platform review'!$C"&amp;_xlfn.XMATCH(K$2,'Platform review'!$A$1:$A$127)&amp;":$E"&amp;_xlfn.XMATCH(K$2,'Platform review'!$A$1:$A$127)+19),
_xlpm._original_keywords, _xlfn._xlws.FILTER(CLASSIFICATION[[Keyword]:[Keyword]], ($E42=CLASSIFICATION[[Keyword Aggr]:[Keyword Aggr]])*($D42=CLASSIFICATION[[Functional Scope Aggr]:[Functional Scope Aggr]])),
_xlpm._platform_keywords, _xlfn.TEXTSPLIT(SUBSTITUTE(SUBSTITUTE(VLOOKUP($D42,_xlpm._platform_range,3,FALSE),"+"&amp;CHAR(34),"+"),CHAR(34),""),", "),
_xlpm._exists, SUMPRODUCT(--ISNUMBER(MATCH(_xlpm._platform_keywords,_xlpm._original_keywords,0)))&gt;0,
_xlfn.IFS(AND(_xlpm._exists,LEFT($E42,1)="+"),"+",_xlpm._exists,"*",NOT(_xlpm._exists),"")
)</f>
        <v/>
      </c>
      <c r="L42" s="33" t="str" cm="1">
        <f t="array" aca="1" ref="L42" ca="1">_xlfn.LET(
_xlpm._platform_range, INDIRECT("'Platform review'!$C"&amp;_xlfn.XMATCH(L$2,'Platform review'!$A$1:$A$127)&amp;":$E"&amp;_xlfn.XMATCH(L$2,'Platform review'!$A$1:$A$127)+19),
_xlpm._original_keywords, _xlfn._xlws.FILTER(CLASSIFICATION[[Keyword]:[Keyword]], ($E42=CLASSIFICATION[[Keyword Aggr]:[Keyword Aggr]])*($D42=CLASSIFICATION[[Functional Scope Aggr]:[Functional Scope Aggr]])),
_xlpm._platform_keywords, _xlfn.TEXTSPLIT(SUBSTITUTE(SUBSTITUTE(VLOOKUP($D42,_xlpm._platform_range,3,FALSE),"+"&amp;CHAR(34),"+"),CHAR(34),""),", "),
_xlpm._exists, SUMPRODUCT(--ISNUMBER(MATCH(_xlpm._platform_keywords,_xlpm._original_keywords,0)))&gt;0,
_xlfn.IFS(AND(_xlpm._exists,LEFT($E42,1)="+"),"+",_xlpm._exists,"*",NOT(_xlpm._exists),"")
)</f>
        <v>*</v>
      </c>
      <c r="M42" s="33" t="str" cm="1">
        <f t="array" aca="1" ref="M42" ca="1">_xlfn.LET(
_xlpm._platform_range, INDIRECT("'Platform review'!$C"&amp;_xlfn.XMATCH(M$2,'Platform review'!$A$1:$A$127)&amp;":$E"&amp;_xlfn.XMATCH(M$2,'Platform review'!$A$1:$A$127)+19),
_xlpm._original_keywords, _xlfn._xlws.FILTER(CLASSIFICATION[[Keyword]:[Keyword]], ($E42=CLASSIFICATION[[Keyword Aggr]:[Keyword Aggr]])*($D42=CLASSIFICATION[[Functional Scope Aggr]:[Functional Scope Aggr]])),
_xlpm._platform_keywords, _xlfn.TEXTSPLIT(SUBSTITUTE(SUBSTITUTE(VLOOKUP($D42,_xlpm._platform_range,3,FALSE),"+"&amp;CHAR(34),"+"),CHAR(34),""),", "),
_xlpm._exists, SUMPRODUCT(--ISNUMBER(MATCH(_xlpm._platform_keywords,_xlpm._original_keywords,0)))&gt;0,
_xlfn.IFS(AND(_xlpm._exists,LEFT($E42,1)="+"),"+",_xlpm._exists,"*",NOT(_xlpm._exists),"")
)</f>
        <v/>
      </c>
      <c r="N42" s="33" t="str" cm="1">
        <f t="array" aca="1" ref="N42" ca="1">_xlfn.LET(
_xlpm._platform_range, INDIRECT("'Platform review'!$C"&amp;_xlfn.XMATCH(N$2,'Platform review'!$A$1:$A$127)&amp;":$E"&amp;_xlfn.XMATCH(N$2,'Platform review'!$A$1:$A$127)+19),
_xlpm._original_keywords, _xlfn._xlws.FILTER(CLASSIFICATION[[Keyword]:[Keyword]], ($E42=CLASSIFICATION[[Keyword Aggr]:[Keyword Aggr]])*($D42=CLASSIFICATION[[Functional Scope Aggr]:[Functional Scope Aggr]])),
_xlpm._platform_keywords, _xlfn.TEXTSPLIT(SUBSTITUTE(SUBSTITUTE(VLOOKUP($D42,_xlpm._platform_range,3,FALSE),"+"&amp;CHAR(34),"+"),CHAR(34),""),", "),
_xlpm._exists, SUMPRODUCT(--ISNUMBER(MATCH(_xlpm._platform_keywords,_xlpm._original_keywords,0)))&gt;0,
_xlfn.IFS(AND(_xlpm._exists,LEFT($E42,1)="+"),"+",_xlpm._exists,"*",NOT(_xlpm._exists),"")
)</f>
        <v/>
      </c>
      <c r="O42" s="33" t="str" cm="1">
        <f t="array" aca="1" ref="O42" ca="1">_xlfn.LET(
_xlpm._platform_range, INDIRECT("'Platform review'!$C"&amp;_xlfn.XMATCH(O$2,'Platform review'!$A$1:$A$127)&amp;":$E"&amp;_xlfn.XMATCH(O$2,'Platform review'!$A$1:$A$127)+19),
_xlpm._original_keywords, _xlfn._xlws.FILTER(CLASSIFICATION[[Keyword]:[Keyword]], ($E42=CLASSIFICATION[[Keyword Aggr]:[Keyword Aggr]])*($D42=CLASSIFICATION[[Functional Scope Aggr]:[Functional Scope Aggr]])),
_xlpm._platform_keywords, _xlfn.TEXTSPLIT(SUBSTITUTE(SUBSTITUTE(VLOOKUP($D42,_xlpm._platform_range,3,FALSE),"+"&amp;CHAR(34),"+"),CHAR(34),""),", "),
_xlpm._exists, SUMPRODUCT(--ISNUMBER(MATCH(_xlpm._platform_keywords,_xlpm._original_keywords,0)))&gt;0,
_xlfn.IFS(AND(_xlpm._exists,LEFT($E42,1)="+"),"+",_xlpm._exists,"*",NOT(_xlpm._exists),"")
)</f>
        <v>*</v>
      </c>
      <c r="Q42" s="33" t="str">
        <f t="shared" si="6"/>
        <v/>
      </c>
      <c r="R42" s="33" t="str">
        <f t="shared" si="7"/>
        <v/>
      </c>
      <c r="S42" s="33" t="str">
        <f t="shared" si="8"/>
        <v/>
      </c>
      <c r="T42" s="33" t="str">
        <f t="shared" si="9"/>
        <v/>
      </c>
      <c r="U42" s="33" t="str">
        <f t="shared" si="10"/>
        <v/>
      </c>
      <c r="V42" s="33" t="str">
        <f t="shared" si="11"/>
        <v/>
      </c>
    </row>
    <row r="43" spans="1:22" x14ac:dyDescent="0.25">
      <c r="A43" s="19" t="str">
        <v>Development,Actions design and development,API</v>
      </c>
      <c r="B43" t="s">
        <v>377</v>
      </c>
      <c r="C43" s="19" t="str" cm="1">
        <f t="array" ref="C43:E43">_xlfn.TEXTSPLIT(A43,",")</f>
        <v>Development</v>
      </c>
      <c r="D43" s="19" t="str">
        <v>Actions design and development</v>
      </c>
      <c r="E43" s="19" t="str">
        <v>API</v>
      </c>
      <c r="F43" s="36" t="str" cm="1">
        <f t="array" ref="F43">_xlfn.TEXTJOIN(",",TRUE,_xlfn._xlws.FILTER(CLASSIFICATION[Keyword], ($E43=CLASSIFICATION[Keyword Aggr])*($D43=CLASSIFICATION[Functional Scope Aggr])))</f>
        <v>API,REST API</v>
      </c>
      <c r="G43" s="32" t="str">
        <f t="shared" si="4"/>
        <v/>
      </c>
      <c r="H43" s="32" t="str">
        <f t="shared" si="4"/>
        <v>Actions design and development</v>
      </c>
      <c r="I43" s="32" t="str">
        <f t="shared" si="12"/>
        <v>API</v>
      </c>
      <c r="J43" s="33" t="str" cm="1">
        <f t="array" aca="1" ref="J43" ca="1">_xlfn.LET(
_xlpm._platform_range, INDIRECT("'Platform review'!$C"&amp;_xlfn.XMATCH(J$2,'Platform review'!$A$1:$A$127)&amp;":$E"&amp;_xlfn.XMATCH(J$2,'Platform review'!$A$1:$A$127)+19),
_xlpm._original_keywords, _xlfn._xlws.FILTER(CLASSIFICATION[[Keyword]:[Keyword]], ($E43=CLASSIFICATION[[Keyword Aggr]:[Keyword Aggr]])*($D43=CLASSIFICATION[[Functional Scope Aggr]:[Functional Scope Aggr]])),
_xlpm._platform_keywords, _xlfn.TEXTSPLIT(SUBSTITUTE(SUBSTITUTE(VLOOKUP($D43,_xlpm._platform_range,3,FALSE),"+"&amp;CHAR(34),"+"),CHAR(34),""),", "),
_xlpm._exists, SUMPRODUCT(--ISNUMBER(MATCH(_xlpm._platform_keywords,_xlpm._original_keywords,0)))&gt;0,
_xlfn.IFS(AND(_xlpm._exists,LEFT($E43,1)="+"),"+",_xlpm._exists,"*",NOT(_xlpm._exists),"")
)</f>
        <v>*</v>
      </c>
      <c r="K43" s="33" t="str" cm="1">
        <f t="array" aca="1" ref="K43" ca="1">_xlfn.LET(
_xlpm._platform_range, INDIRECT("'Platform review'!$C"&amp;_xlfn.XMATCH(K$2,'Platform review'!$A$1:$A$127)&amp;":$E"&amp;_xlfn.XMATCH(K$2,'Platform review'!$A$1:$A$127)+19),
_xlpm._original_keywords, _xlfn._xlws.FILTER(CLASSIFICATION[[Keyword]:[Keyword]], ($E43=CLASSIFICATION[[Keyword Aggr]:[Keyword Aggr]])*($D43=CLASSIFICATION[[Functional Scope Aggr]:[Functional Scope Aggr]])),
_xlpm._platform_keywords, _xlfn.TEXTSPLIT(SUBSTITUTE(SUBSTITUTE(VLOOKUP($D43,_xlpm._platform_range,3,FALSE),"+"&amp;CHAR(34),"+"),CHAR(34),""),", "),
_xlpm._exists, SUMPRODUCT(--ISNUMBER(MATCH(_xlpm._platform_keywords,_xlpm._original_keywords,0)))&gt;0,
_xlfn.IFS(AND(_xlpm._exists,LEFT($E43,1)="+"),"+",_xlpm._exists,"*",NOT(_xlpm._exists),"")
)</f>
        <v>*</v>
      </c>
      <c r="L43" s="33" t="str" cm="1">
        <f t="array" aca="1" ref="L43" ca="1">_xlfn.LET(
_xlpm._platform_range, INDIRECT("'Platform review'!$C"&amp;_xlfn.XMATCH(L$2,'Platform review'!$A$1:$A$127)&amp;":$E"&amp;_xlfn.XMATCH(L$2,'Platform review'!$A$1:$A$127)+19),
_xlpm._original_keywords, _xlfn._xlws.FILTER(CLASSIFICATION[[Keyword]:[Keyword]], ($E43=CLASSIFICATION[[Keyword Aggr]:[Keyword Aggr]])*($D43=CLASSIFICATION[[Functional Scope Aggr]:[Functional Scope Aggr]])),
_xlpm._platform_keywords, _xlfn.TEXTSPLIT(SUBSTITUTE(SUBSTITUTE(VLOOKUP($D43,_xlpm._platform_range,3,FALSE),"+"&amp;CHAR(34),"+"),CHAR(34),""),", "),
_xlpm._exists, SUMPRODUCT(--ISNUMBER(MATCH(_xlpm._platform_keywords,_xlpm._original_keywords,0)))&gt;0,
_xlfn.IFS(AND(_xlpm._exists,LEFT($E43,1)="+"),"+",_xlpm._exists,"*",NOT(_xlpm._exists),"")
)</f>
        <v>*</v>
      </c>
      <c r="M43" s="33" t="str" cm="1">
        <f t="array" aca="1" ref="M43" ca="1">_xlfn.LET(
_xlpm._platform_range, INDIRECT("'Platform review'!$C"&amp;_xlfn.XMATCH(M$2,'Platform review'!$A$1:$A$127)&amp;":$E"&amp;_xlfn.XMATCH(M$2,'Platform review'!$A$1:$A$127)+19),
_xlpm._original_keywords, _xlfn._xlws.FILTER(CLASSIFICATION[[Keyword]:[Keyword]], ($E43=CLASSIFICATION[[Keyword Aggr]:[Keyword Aggr]])*($D43=CLASSIFICATION[[Functional Scope Aggr]:[Functional Scope Aggr]])),
_xlpm._platform_keywords, _xlfn.TEXTSPLIT(SUBSTITUTE(SUBSTITUTE(VLOOKUP($D43,_xlpm._platform_range,3,FALSE),"+"&amp;CHAR(34),"+"),CHAR(34),""),", "),
_xlpm._exists, SUMPRODUCT(--ISNUMBER(MATCH(_xlpm._platform_keywords,_xlpm._original_keywords,0)))&gt;0,
_xlfn.IFS(AND(_xlpm._exists,LEFT($E43,1)="+"),"+",_xlpm._exists,"*",NOT(_xlpm._exists),"")
)</f>
        <v>*</v>
      </c>
      <c r="N43" s="33" t="str" cm="1">
        <f t="array" aca="1" ref="N43" ca="1">_xlfn.LET(
_xlpm._platform_range, INDIRECT("'Platform review'!$C"&amp;_xlfn.XMATCH(N$2,'Platform review'!$A$1:$A$127)&amp;":$E"&amp;_xlfn.XMATCH(N$2,'Platform review'!$A$1:$A$127)+19),
_xlpm._original_keywords, _xlfn._xlws.FILTER(CLASSIFICATION[[Keyword]:[Keyword]], ($E43=CLASSIFICATION[[Keyword Aggr]:[Keyword Aggr]])*($D43=CLASSIFICATION[[Functional Scope Aggr]:[Functional Scope Aggr]])),
_xlpm._platform_keywords, _xlfn.TEXTSPLIT(SUBSTITUTE(SUBSTITUTE(VLOOKUP($D43,_xlpm._platform_range,3,FALSE),"+"&amp;CHAR(34),"+"),CHAR(34),""),", "),
_xlpm._exists, SUMPRODUCT(--ISNUMBER(MATCH(_xlpm._platform_keywords,_xlpm._original_keywords,0)))&gt;0,
_xlfn.IFS(AND(_xlpm._exists,LEFT($E43,1)="+"),"+",_xlpm._exists,"*",NOT(_xlpm._exists),"")
)</f>
        <v/>
      </c>
      <c r="O43" s="33" t="str" cm="1">
        <f t="array" aca="1" ref="O43" ca="1">_xlfn.LET(
_xlpm._platform_range, INDIRECT("'Platform review'!$C"&amp;_xlfn.XMATCH(O$2,'Platform review'!$A$1:$A$127)&amp;":$E"&amp;_xlfn.XMATCH(O$2,'Platform review'!$A$1:$A$127)+19),
_xlpm._original_keywords, _xlfn._xlws.FILTER(CLASSIFICATION[[Keyword]:[Keyword]], ($E43=CLASSIFICATION[[Keyword Aggr]:[Keyword Aggr]])*($D43=CLASSIFICATION[[Functional Scope Aggr]:[Functional Scope Aggr]])),
_xlpm._platform_keywords, _xlfn.TEXTSPLIT(SUBSTITUTE(SUBSTITUTE(VLOOKUP($D43,_xlpm._platform_range,3,FALSE),"+"&amp;CHAR(34),"+"),CHAR(34),""),", "),
_xlpm._exists, SUMPRODUCT(--ISNUMBER(MATCH(_xlpm._platform_keywords,_xlpm._original_keywords,0)))&gt;0,
_xlfn.IFS(AND(_xlpm._exists,LEFT($E43,1)="+"),"+",_xlpm._exists,"*",NOT(_xlpm._exists),"")
)</f>
        <v>*</v>
      </c>
      <c r="Q43" s="33">
        <f t="shared" ca="1" si="6"/>
        <v>3</v>
      </c>
      <c r="R43" s="33">
        <f t="shared" ca="1" si="7"/>
        <v>2</v>
      </c>
      <c r="S43" s="33">
        <f t="shared" ca="1" si="8"/>
        <v>2</v>
      </c>
      <c r="T43" s="33">
        <f t="shared" ca="1" si="9"/>
        <v>3</v>
      </c>
      <c r="U43" s="33">
        <f t="shared" ca="1" si="10"/>
        <v>0</v>
      </c>
      <c r="V43" s="33">
        <f t="shared" ca="1" si="11"/>
        <v>2</v>
      </c>
    </row>
    <row r="44" spans="1:22" x14ac:dyDescent="0.25">
      <c r="A44" s="19" t="str">
        <v>Development,Actions design and development,Java</v>
      </c>
      <c r="B44" t="s">
        <v>377</v>
      </c>
      <c r="C44" s="19" t="str" cm="1">
        <f t="array" ref="C44:E44">_xlfn.TEXTSPLIT(A44,",")</f>
        <v>Development</v>
      </c>
      <c r="D44" s="19" t="str">
        <v>Actions design and development</v>
      </c>
      <c r="E44" s="19" t="str">
        <v>Java</v>
      </c>
      <c r="F44" s="36" t="str" cm="1">
        <f t="array" ref="F44">_xlfn.TEXTJOIN(",",TRUE,_xlfn._xlws.FILTER(CLASSIFICATION[Keyword], ($E44=CLASSIFICATION[Keyword Aggr])*($D44=CLASSIFICATION[Functional Scope Aggr])))</f>
        <v>Java</v>
      </c>
      <c r="G44" s="32" t="str">
        <f t="shared" si="4"/>
        <v/>
      </c>
      <c r="H44" s="32" t="str">
        <f t="shared" si="4"/>
        <v/>
      </c>
      <c r="I44" s="32" t="str">
        <f t="shared" si="12"/>
        <v>Java</v>
      </c>
      <c r="J44" s="33" t="str" cm="1">
        <f t="array" aca="1" ref="J44" ca="1">_xlfn.LET(
_xlpm._platform_range, INDIRECT("'Platform review'!$C"&amp;_xlfn.XMATCH(J$2,'Platform review'!$A$1:$A$127)&amp;":$E"&amp;_xlfn.XMATCH(J$2,'Platform review'!$A$1:$A$127)+19),
_xlpm._original_keywords, _xlfn._xlws.FILTER(CLASSIFICATION[[Keyword]:[Keyword]], ($E44=CLASSIFICATION[[Keyword Aggr]:[Keyword Aggr]])*($D44=CLASSIFICATION[[Functional Scope Aggr]:[Functional Scope Aggr]])),
_xlpm._platform_keywords, _xlfn.TEXTSPLIT(SUBSTITUTE(SUBSTITUTE(VLOOKUP($D44,_xlpm._platform_range,3,FALSE),"+"&amp;CHAR(34),"+"),CHAR(34),""),", "),
_xlpm._exists, SUMPRODUCT(--ISNUMBER(MATCH(_xlpm._platform_keywords,_xlpm._original_keywords,0)))&gt;0,
_xlfn.IFS(AND(_xlpm._exists,LEFT($E44,1)="+"),"+",_xlpm._exists,"*",NOT(_xlpm._exists),"")
)</f>
        <v>*</v>
      </c>
      <c r="K44" s="33" t="str" cm="1">
        <f t="array" aca="1" ref="K44" ca="1">_xlfn.LET(
_xlpm._platform_range, INDIRECT("'Platform review'!$C"&amp;_xlfn.XMATCH(K$2,'Platform review'!$A$1:$A$127)&amp;":$E"&amp;_xlfn.XMATCH(K$2,'Platform review'!$A$1:$A$127)+19),
_xlpm._original_keywords, _xlfn._xlws.FILTER(CLASSIFICATION[[Keyword]:[Keyword]], ($E44=CLASSIFICATION[[Keyword Aggr]:[Keyword Aggr]])*($D44=CLASSIFICATION[[Functional Scope Aggr]:[Functional Scope Aggr]])),
_xlpm._platform_keywords, _xlfn.TEXTSPLIT(SUBSTITUTE(SUBSTITUTE(VLOOKUP($D44,_xlpm._platform_range,3,FALSE),"+"&amp;CHAR(34),"+"),CHAR(34),""),", "),
_xlpm._exists, SUMPRODUCT(--ISNUMBER(MATCH(_xlpm._platform_keywords,_xlpm._original_keywords,0)))&gt;0,
_xlfn.IFS(AND(_xlpm._exists,LEFT($E44,1)="+"),"+",_xlpm._exists,"*",NOT(_xlpm._exists),"")
)</f>
        <v/>
      </c>
      <c r="L44" s="33" t="str" cm="1">
        <f t="array" aca="1" ref="L44" ca="1">_xlfn.LET(
_xlpm._platform_range, INDIRECT("'Platform review'!$C"&amp;_xlfn.XMATCH(L$2,'Platform review'!$A$1:$A$127)&amp;":$E"&amp;_xlfn.XMATCH(L$2,'Platform review'!$A$1:$A$127)+19),
_xlpm._original_keywords, _xlfn._xlws.FILTER(CLASSIFICATION[[Keyword]:[Keyword]], ($E44=CLASSIFICATION[[Keyword Aggr]:[Keyword Aggr]])*($D44=CLASSIFICATION[[Functional Scope Aggr]:[Functional Scope Aggr]])),
_xlpm._platform_keywords, _xlfn.TEXTSPLIT(SUBSTITUTE(SUBSTITUTE(VLOOKUP($D44,_xlpm._platform_range,3,FALSE),"+"&amp;CHAR(34),"+"),CHAR(34),""),", "),
_xlpm._exists, SUMPRODUCT(--ISNUMBER(MATCH(_xlpm._platform_keywords,_xlpm._original_keywords,0)))&gt;0,
_xlfn.IFS(AND(_xlpm._exists,LEFT($E44,1)="+"),"+",_xlpm._exists,"*",NOT(_xlpm._exists),"")
)</f>
        <v/>
      </c>
      <c r="M44" s="33" t="str" cm="1">
        <f t="array" aca="1" ref="M44" ca="1">_xlfn.LET(
_xlpm._platform_range, INDIRECT("'Platform review'!$C"&amp;_xlfn.XMATCH(M$2,'Platform review'!$A$1:$A$127)&amp;":$E"&amp;_xlfn.XMATCH(M$2,'Platform review'!$A$1:$A$127)+19),
_xlpm._original_keywords, _xlfn._xlws.FILTER(CLASSIFICATION[[Keyword]:[Keyword]], ($E44=CLASSIFICATION[[Keyword Aggr]:[Keyword Aggr]])*($D44=CLASSIFICATION[[Functional Scope Aggr]:[Functional Scope Aggr]])),
_xlpm._platform_keywords, _xlfn.TEXTSPLIT(SUBSTITUTE(SUBSTITUTE(VLOOKUP($D44,_xlpm._platform_range,3,FALSE),"+"&amp;CHAR(34),"+"),CHAR(34),""),", "),
_xlpm._exists, SUMPRODUCT(--ISNUMBER(MATCH(_xlpm._platform_keywords,_xlpm._original_keywords,0)))&gt;0,
_xlfn.IFS(AND(_xlpm._exists,LEFT($E44,1)="+"),"+",_xlpm._exists,"*",NOT(_xlpm._exists),"")
)</f>
        <v/>
      </c>
      <c r="N44" s="33" t="str" cm="1">
        <f t="array" aca="1" ref="N44" ca="1">_xlfn.LET(
_xlpm._platform_range, INDIRECT("'Platform review'!$C"&amp;_xlfn.XMATCH(N$2,'Platform review'!$A$1:$A$127)&amp;":$E"&amp;_xlfn.XMATCH(N$2,'Platform review'!$A$1:$A$127)+19),
_xlpm._original_keywords, _xlfn._xlws.FILTER(CLASSIFICATION[[Keyword]:[Keyword]], ($E44=CLASSIFICATION[[Keyword Aggr]:[Keyword Aggr]])*($D44=CLASSIFICATION[[Functional Scope Aggr]:[Functional Scope Aggr]])),
_xlpm._platform_keywords, _xlfn.TEXTSPLIT(SUBSTITUTE(SUBSTITUTE(VLOOKUP($D44,_xlpm._platform_range,3,FALSE),"+"&amp;CHAR(34),"+"),CHAR(34),""),", "),
_xlpm._exists, SUMPRODUCT(--ISNUMBER(MATCH(_xlpm._platform_keywords,_xlpm._original_keywords,0)))&gt;0,
_xlfn.IFS(AND(_xlpm._exists,LEFT($E44,1)="+"),"+",_xlpm._exists,"*",NOT(_xlpm._exists),"")
)</f>
        <v/>
      </c>
      <c r="O44" s="33" t="str" cm="1">
        <f t="array" aca="1" ref="O44" ca="1">_xlfn.LET(
_xlpm._platform_range, INDIRECT("'Platform review'!$C"&amp;_xlfn.XMATCH(O$2,'Platform review'!$A$1:$A$127)&amp;":$E"&amp;_xlfn.XMATCH(O$2,'Platform review'!$A$1:$A$127)+19),
_xlpm._original_keywords, _xlfn._xlws.FILTER(CLASSIFICATION[[Keyword]:[Keyword]], ($E44=CLASSIFICATION[[Keyword Aggr]:[Keyword Aggr]])*($D44=CLASSIFICATION[[Functional Scope Aggr]:[Functional Scope Aggr]])),
_xlpm._platform_keywords, _xlfn.TEXTSPLIT(SUBSTITUTE(SUBSTITUTE(VLOOKUP($D44,_xlpm._platform_range,3,FALSE),"+"&amp;CHAR(34),"+"),CHAR(34),""),", "),
_xlpm._exists, SUMPRODUCT(--ISNUMBER(MATCH(_xlpm._platform_keywords,_xlpm._original_keywords,0)))&gt;0,
_xlfn.IFS(AND(_xlpm._exists,LEFT($E44,1)="+"),"+",_xlpm._exists,"*",NOT(_xlpm._exists),"")
)</f>
        <v/>
      </c>
      <c r="Q44" s="33" t="str">
        <f t="shared" si="6"/>
        <v/>
      </c>
      <c r="R44" s="33" t="str">
        <f t="shared" si="7"/>
        <v/>
      </c>
      <c r="S44" s="33" t="str">
        <f t="shared" si="8"/>
        <v/>
      </c>
      <c r="T44" s="33" t="str">
        <f t="shared" si="9"/>
        <v/>
      </c>
      <c r="U44" s="33" t="str">
        <f t="shared" si="10"/>
        <v/>
      </c>
      <c r="V44" s="33" t="str">
        <f t="shared" si="11"/>
        <v/>
      </c>
    </row>
    <row r="45" spans="1:22" x14ac:dyDescent="0.25">
      <c r="A45" s="19" t="str">
        <v>Development,Actions design and development,JavaScript</v>
      </c>
      <c r="B45" t="s">
        <v>377</v>
      </c>
      <c r="C45" s="19" t="str" cm="1">
        <f t="array" ref="C45:E45">_xlfn.TEXTSPLIT(A45,",")</f>
        <v>Development</v>
      </c>
      <c r="D45" s="19" t="str">
        <v>Actions design and development</v>
      </c>
      <c r="E45" s="19" t="str">
        <v>JavaScript</v>
      </c>
      <c r="F45" s="36" t="str" cm="1">
        <f t="array" ref="F45">_xlfn.TEXTJOIN(",",TRUE,_xlfn._xlws.FILTER(CLASSIFICATION[Keyword], ($E45=CLASSIFICATION[Keyword Aggr])*($D45=CLASSIFICATION[Functional Scope Aggr])))</f>
        <v>JavaScript</v>
      </c>
      <c r="G45" s="32" t="str">
        <f t="shared" si="4"/>
        <v/>
      </c>
      <c r="H45" s="32" t="str">
        <f t="shared" si="4"/>
        <v/>
      </c>
      <c r="I45" s="32" t="str">
        <f t="shared" si="12"/>
        <v>JavaScript</v>
      </c>
      <c r="J45" s="33" t="str" cm="1">
        <f t="array" aca="1" ref="J45" ca="1">_xlfn.LET(
_xlpm._platform_range, INDIRECT("'Platform review'!$C"&amp;_xlfn.XMATCH(J$2,'Platform review'!$A$1:$A$127)&amp;":$E"&amp;_xlfn.XMATCH(J$2,'Platform review'!$A$1:$A$127)+19),
_xlpm._original_keywords, _xlfn._xlws.FILTER(CLASSIFICATION[[Keyword]:[Keyword]], ($E45=CLASSIFICATION[[Keyword Aggr]:[Keyword Aggr]])*($D45=CLASSIFICATION[[Functional Scope Aggr]:[Functional Scope Aggr]])),
_xlpm._platform_keywords, _xlfn.TEXTSPLIT(SUBSTITUTE(SUBSTITUTE(VLOOKUP($D45,_xlpm._platform_range,3,FALSE),"+"&amp;CHAR(34),"+"),CHAR(34),""),", "),
_xlpm._exists, SUMPRODUCT(--ISNUMBER(MATCH(_xlpm._platform_keywords,_xlpm._original_keywords,0)))&gt;0,
_xlfn.IFS(AND(_xlpm._exists,LEFT($E45,1)="+"),"+",_xlpm._exists,"*",NOT(_xlpm._exists),"")
)</f>
        <v>*</v>
      </c>
      <c r="K45" s="33" t="str" cm="1">
        <f t="array" aca="1" ref="K45" ca="1">_xlfn.LET(
_xlpm._platform_range, INDIRECT("'Platform review'!$C"&amp;_xlfn.XMATCH(K$2,'Platform review'!$A$1:$A$127)&amp;":$E"&amp;_xlfn.XMATCH(K$2,'Platform review'!$A$1:$A$127)+19),
_xlpm._original_keywords, _xlfn._xlws.FILTER(CLASSIFICATION[[Keyword]:[Keyword]], ($E45=CLASSIFICATION[[Keyword Aggr]:[Keyword Aggr]])*($D45=CLASSIFICATION[[Functional Scope Aggr]:[Functional Scope Aggr]])),
_xlpm._platform_keywords, _xlfn.TEXTSPLIT(SUBSTITUTE(SUBSTITUTE(VLOOKUP($D45,_xlpm._platform_range,3,FALSE),"+"&amp;CHAR(34),"+"),CHAR(34),""),", "),
_xlpm._exists, SUMPRODUCT(--ISNUMBER(MATCH(_xlpm._platform_keywords,_xlpm._original_keywords,0)))&gt;0,
_xlfn.IFS(AND(_xlpm._exists,LEFT($E45,1)="+"),"+",_xlpm._exists,"*",NOT(_xlpm._exists),"")
)</f>
        <v>*</v>
      </c>
      <c r="L45" s="33" t="str" cm="1">
        <f t="array" aca="1" ref="L45" ca="1">_xlfn.LET(
_xlpm._platform_range, INDIRECT("'Platform review'!$C"&amp;_xlfn.XMATCH(L$2,'Platform review'!$A$1:$A$127)&amp;":$E"&amp;_xlfn.XMATCH(L$2,'Platform review'!$A$1:$A$127)+19),
_xlpm._original_keywords, _xlfn._xlws.FILTER(CLASSIFICATION[[Keyword]:[Keyword]], ($E45=CLASSIFICATION[[Keyword Aggr]:[Keyword Aggr]])*($D45=CLASSIFICATION[[Functional Scope Aggr]:[Functional Scope Aggr]])),
_xlpm._platform_keywords, _xlfn.TEXTSPLIT(SUBSTITUTE(SUBSTITUTE(VLOOKUP($D45,_xlpm._platform_range,3,FALSE),"+"&amp;CHAR(34),"+"),CHAR(34),""),", "),
_xlpm._exists, SUMPRODUCT(--ISNUMBER(MATCH(_xlpm._platform_keywords,_xlpm._original_keywords,0)))&gt;0,
_xlfn.IFS(AND(_xlpm._exists,LEFT($E45,1)="+"),"+",_xlpm._exists,"*",NOT(_xlpm._exists),"")
)</f>
        <v/>
      </c>
      <c r="M45" s="33" t="str" cm="1">
        <f t="array" aca="1" ref="M45" ca="1">_xlfn.LET(
_xlpm._platform_range, INDIRECT("'Platform review'!$C"&amp;_xlfn.XMATCH(M$2,'Platform review'!$A$1:$A$127)&amp;":$E"&amp;_xlfn.XMATCH(M$2,'Platform review'!$A$1:$A$127)+19),
_xlpm._original_keywords, _xlfn._xlws.FILTER(CLASSIFICATION[[Keyword]:[Keyword]], ($E45=CLASSIFICATION[[Keyword Aggr]:[Keyword Aggr]])*($D45=CLASSIFICATION[[Functional Scope Aggr]:[Functional Scope Aggr]])),
_xlpm._platform_keywords, _xlfn.TEXTSPLIT(SUBSTITUTE(SUBSTITUTE(VLOOKUP($D45,_xlpm._platform_range,3,FALSE),"+"&amp;CHAR(34),"+"),CHAR(34),""),", "),
_xlpm._exists, SUMPRODUCT(--ISNUMBER(MATCH(_xlpm._platform_keywords,_xlpm._original_keywords,0)))&gt;0,
_xlfn.IFS(AND(_xlpm._exists,LEFT($E45,1)="+"),"+",_xlpm._exists,"*",NOT(_xlpm._exists),"")
)</f>
        <v>*</v>
      </c>
      <c r="N45" s="33" t="str" cm="1">
        <f t="array" aca="1" ref="N45" ca="1">_xlfn.LET(
_xlpm._platform_range, INDIRECT("'Platform review'!$C"&amp;_xlfn.XMATCH(N$2,'Platform review'!$A$1:$A$127)&amp;":$E"&amp;_xlfn.XMATCH(N$2,'Platform review'!$A$1:$A$127)+19),
_xlpm._original_keywords, _xlfn._xlws.FILTER(CLASSIFICATION[[Keyword]:[Keyword]], ($E45=CLASSIFICATION[[Keyword Aggr]:[Keyword Aggr]])*($D45=CLASSIFICATION[[Functional Scope Aggr]:[Functional Scope Aggr]])),
_xlpm._platform_keywords, _xlfn.TEXTSPLIT(SUBSTITUTE(SUBSTITUTE(VLOOKUP($D45,_xlpm._platform_range,3,FALSE),"+"&amp;CHAR(34),"+"),CHAR(34),""),", "),
_xlpm._exists, SUMPRODUCT(--ISNUMBER(MATCH(_xlpm._platform_keywords,_xlpm._original_keywords,0)))&gt;0,
_xlfn.IFS(AND(_xlpm._exists,LEFT($E45,1)="+"),"+",_xlpm._exists,"*",NOT(_xlpm._exists),"")
)</f>
        <v/>
      </c>
      <c r="O45" s="33" t="str" cm="1">
        <f t="array" aca="1" ref="O45" ca="1">_xlfn.LET(
_xlpm._platform_range, INDIRECT("'Platform review'!$C"&amp;_xlfn.XMATCH(O$2,'Platform review'!$A$1:$A$127)&amp;":$E"&amp;_xlfn.XMATCH(O$2,'Platform review'!$A$1:$A$127)+19),
_xlpm._original_keywords, _xlfn._xlws.FILTER(CLASSIFICATION[[Keyword]:[Keyword]], ($E45=CLASSIFICATION[[Keyword Aggr]:[Keyword Aggr]])*($D45=CLASSIFICATION[[Functional Scope Aggr]:[Functional Scope Aggr]])),
_xlpm._platform_keywords, _xlfn.TEXTSPLIT(SUBSTITUTE(SUBSTITUTE(VLOOKUP($D45,_xlpm._platform_range,3,FALSE),"+"&amp;CHAR(34),"+"),CHAR(34),""),", "),
_xlpm._exists, SUMPRODUCT(--ISNUMBER(MATCH(_xlpm._platform_keywords,_xlpm._original_keywords,0)))&gt;0,
_xlfn.IFS(AND(_xlpm._exists,LEFT($E45,1)="+"),"+",_xlpm._exists,"*",NOT(_xlpm._exists),"")
)</f>
        <v/>
      </c>
      <c r="Q45" s="33" t="str">
        <f t="shared" si="6"/>
        <v/>
      </c>
      <c r="R45" s="33" t="str">
        <f t="shared" si="7"/>
        <v/>
      </c>
      <c r="S45" s="33" t="str">
        <f t="shared" si="8"/>
        <v/>
      </c>
      <c r="T45" s="33" t="str">
        <f t="shared" si="9"/>
        <v/>
      </c>
      <c r="U45" s="33" t="str">
        <f t="shared" si="10"/>
        <v/>
      </c>
      <c r="V45" s="33" t="str">
        <f t="shared" si="11"/>
        <v/>
      </c>
    </row>
    <row r="46" spans="1:22" x14ac:dyDescent="0.25">
      <c r="A46" s="19" t="str">
        <v>Development,Actions design and development,Object Model</v>
      </c>
      <c r="B46" t="s">
        <v>377</v>
      </c>
      <c r="C46" s="19" t="str" cm="1">
        <f t="array" ref="C46:E46">_xlfn.TEXTSPLIT(A46,",")</f>
        <v>Development</v>
      </c>
      <c r="D46" s="19" t="str">
        <v>Actions design and development</v>
      </c>
      <c r="E46" s="19" t="str">
        <v>Object Model</v>
      </c>
      <c r="F46" s="36" t="str" cm="1">
        <f t="array" ref="F46">_xlfn.TEXTJOIN(",",TRUE,_xlfn._xlws.FILTER(CLASSIFICATION[Keyword], ($E46=CLASSIFICATION[Keyword Aggr])*($D46=CLASSIFICATION[Functional Scope Aggr])))</f>
        <v>Object Model</v>
      </c>
      <c r="G46" s="32" t="str">
        <f t="shared" si="4"/>
        <v/>
      </c>
      <c r="H46" s="32" t="str">
        <f t="shared" si="4"/>
        <v/>
      </c>
      <c r="I46" s="32" t="str">
        <f t="shared" si="12"/>
        <v>Object Model</v>
      </c>
      <c r="J46" s="33" t="str" cm="1">
        <f t="array" aca="1" ref="J46" ca="1">_xlfn.LET(
_xlpm._platform_range, INDIRECT("'Platform review'!$C"&amp;_xlfn.XMATCH(J$2,'Platform review'!$A$1:$A$127)&amp;":$E"&amp;_xlfn.XMATCH(J$2,'Platform review'!$A$1:$A$127)+19),
_xlpm._original_keywords, _xlfn._xlws.FILTER(CLASSIFICATION[[Keyword]:[Keyword]], ($E46=CLASSIFICATION[[Keyword Aggr]:[Keyword Aggr]])*($D46=CLASSIFICATION[[Functional Scope Aggr]:[Functional Scope Aggr]])),
_xlpm._platform_keywords, _xlfn.TEXTSPLIT(SUBSTITUTE(SUBSTITUTE(VLOOKUP($D46,_xlpm._platform_range,3,FALSE),"+"&amp;CHAR(34),"+"),CHAR(34),""),", "),
_xlpm._exists, SUMPRODUCT(--ISNUMBER(MATCH(_xlpm._platform_keywords,_xlpm._original_keywords,0)))&gt;0,
_xlfn.IFS(AND(_xlpm._exists,LEFT($E46,1)="+"),"+",_xlpm._exists,"*",NOT(_xlpm._exists),"")
)</f>
        <v/>
      </c>
      <c r="K46" s="33" t="str" cm="1">
        <f t="array" aca="1" ref="K46" ca="1">_xlfn.LET(
_xlpm._platform_range, INDIRECT("'Platform review'!$C"&amp;_xlfn.XMATCH(K$2,'Platform review'!$A$1:$A$127)&amp;":$E"&amp;_xlfn.XMATCH(K$2,'Platform review'!$A$1:$A$127)+19),
_xlpm._original_keywords, _xlfn._xlws.FILTER(CLASSIFICATION[[Keyword]:[Keyword]], ($E46=CLASSIFICATION[[Keyword Aggr]:[Keyword Aggr]])*($D46=CLASSIFICATION[[Functional Scope Aggr]:[Functional Scope Aggr]])),
_xlpm._platform_keywords, _xlfn.TEXTSPLIT(SUBSTITUTE(SUBSTITUTE(VLOOKUP($D46,_xlpm._platform_range,3,FALSE),"+"&amp;CHAR(34),"+"),CHAR(34),""),", "),
_xlpm._exists, SUMPRODUCT(--ISNUMBER(MATCH(_xlpm._platform_keywords,_xlpm._original_keywords,0)))&gt;0,
_xlfn.IFS(AND(_xlpm._exists,LEFT($E46,1)="+"),"+",_xlpm._exists,"*",NOT(_xlpm._exists),"")
)</f>
        <v/>
      </c>
      <c r="L46" s="33" t="str" cm="1">
        <f t="array" aca="1" ref="L46" ca="1">_xlfn.LET(
_xlpm._platform_range, INDIRECT("'Platform review'!$C"&amp;_xlfn.XMATCH(L$2,'Platform review'!$A$1:$A$127)&amp;":$E"&amp;_xlfn.XMATCH(L$2,'Platform review'!$A$1:$A$127)+19),
_xlpm._original_keywords, _xlfn._xlws.FILTER(CLASSIFICATION[[Keyword]:[Keyword]], ($E46=CLASSIFICATION[[Keyword Aggr]:[Keyword Aggr]])*($D46=CLASSIFICATION[[Functional Scope Aggr]:[Functional Scope Aggr]])),
_xlpm._platform_keywords, _xlfn.TEXTSPLIT(SUBSTITUTE(SUBSTITUTE(VLOOKUP($D46,_xlpm._platform_range,3,FALSE),"+"&amp;CHAR(34),"+"),CHAR(34),""),", "),
_xlpm._exists, SUMPRODUCT(--ISNUMBER(MATCH(_xlpm._platform_keywords,_xlpm._original_keywords,0)))&gt;0,
_xlfn.IFS(AND(_xlpm._exists,LEFT($E46,1)="+"),"+",_xlpm._exists,"*",NOT(_xlpm._exists),"")
)</f>
        <v/>
      </c>
      <c r="M46" s="33" t="str" cm="1">
        <f t="array" aca="1" ref="M46" ca="1">_xlfn.LET(
_xlpm._platform_range, INDIRECT("'Platform review'!$C"&amp;_xlfn.XMATCH(M$2,'Platform review'!$A$1:$A$127)&amp;":$E"&amp;_xlfn.XMATCH(M$2,'Platform review'!$A$1:$A$127)+19),
_xlpm._original_keywords, _xlfn._xlws.FILTER(CLASSIFICATION[[Keyword]:[Keyword]], ($E46=CLASSIFICATION[[Keyword Aggr]:[Keyword Aggr]])*($D46=CLASSIFICATION[[Functional Scope Aggr]:[Functional Scope Aggr]])),
_xlpm._platform_keywords, _xlfn.TEXTSPLIT(SUBSTITUTE(SUBSTITUTE(VLOOKUP($D46,_xlpm._platform_range,3,FALSE),"+"&amp;CHAR(34),"+"),CHAR(34),""),", "),
_xlpm._exists, SUMPRODUCT(--ISNUMBER(MATCH(_xlpm._platform_keywords,_xlpm._original_keywords,0)))&gt;0,
_xlfn.IFS(AND(_xlpm._exists,LEFT($E46,1)="+"),"+",_xlpm._exists,"*",NOT(_xlpm._exists),"")
)</f>
        <v>*</v>
      </c>
      <c r="N46" s="33" t="str" cm="1">
        <f t="array" aca="1" ref="N46" ca="1">_xlfn.LET(
_xlpm._platform_range, INDIRECT("'Platform review'!$C"&amp;_xlfn.XMATCH(N$2,'Platform review'!$A$1:$A$127)&amp;":$E"&amp;_xlfn.XMATCH(N$2,'Platform review'!$A$1:$A$127)+19),
_xlpm._original_keywords, _xlfn._xlws.FILTER(CLASSIFICATION[[Keyword]:[Keyword]], ($E46=CLASSIFICATION[[Keyword Aggr]:[Keyword Aggr]])*($D46=CLASSIFICATION[[Functional Scope Aggr]:[Functional Scope Aggr]])),
_xlpm._platform_keywords, _xlfn.TEXTSPLIT(SUBSTITUTE(SUBSTITUTE(VLOOKUP($D46,_xlpm._platform_range,3,FALSE),"+"&amp;CHAR(34),"+"),CHAR(34),""),", "),
_xlpm._exists, SUMPRODUCT(--ISNUMBER(MATCH(_xlpm._platform_keywords,_xlpm._original_keywords,0)))&gt;0,
_xlfn.IFS(AND(_xlpm._exists,LEFT($E46,1)="+"),"+",_xlpm._exists,"*",NOT(_xlpm._exists),"")
)</f>
        <v/>
      </c>
      <c r="O46" s="33" t="str" cm="1">
        <f t="array" aca="1" ref="O46" ca="1">_xlfn.LET(
_xlpm._platform_range, INDIRECT("'Platform review'!$C"&amp;_xlfn.XMATCH(O$2,'Platform review'!$A$1:$A$127)&amp;":$E"&amp;_xlfn.XMATCH(O$2,'Platform review'!$A$1:$A$127)+19),
_xlpm._original_keywords, _xlfn._xlws.FILTER(CLASSIFICATION[[Keyword]:[Keyword]], ($E46=CLASSIFICATION[[Keyword Aggr]:[Keyword Aggr]])*($D46=CLASSIFICATION[[Functional Scope Aggr]:[Functional Scope Aggr]])),
_xlpm._platform_keywords, _xlfn.TEXTSPLIT(SUBSTITUTE(SUBSTITUTE(VLOOKUP($D46,_xlpm._platform_range,3,FALSE),"+"&amp;CHAR(34),"+"),CHAR(34),""),", "),
_xlpm._exists, SUMPRODUCT(--ISNUMBER(MATCH(_xlpm._platform_keywords,_xlpm._original_keywords,0)))&gt;0,
_xlfn.IFS(AND(_xlpm._exists,LEFT($E46,1)="+"),"+",_xlpm._exists,"*",NOT(_xlpm._exists),"")
)</f>
        <v/>
      </c>
      <c r="Q46" s="33" t="str">
        <f t="shared" si="6"/>
        <v/>
      </c>
      <c r="R46" s="33" t="str">
        <f t="shared" si="7"/>
        <v/>
      </c>
      <c r="S46" s="33" t="str">
        <f t="shared" si="8"/>
        <v/>
      </c>
      <c r="T46" s="33" t="str">
        <f t="shared" si="9"/>
        <v/>
      </c>
      <c r="U46" s="33" t="str">
        <f t="shared" si="10"/>
        <v/>
      </c>
      <c r="V46" s="33" t="str">
        <f t="shared" si="11"/>
        <v/>
      </c>
    </row>
    <row r="47" spans="1:22" x14ac:dyDescent="0.25">
      <c r="A47" s="19" t="str">
        <v>Development,Actions design and development,Scripts</v>
      </c>
      <c r="B47" t="s">
        <v>377</v>
      </c>
      <c r="C47" s="19" t="str" cm="1">
        <f t="array" ref="C47:E47">_xlfn.TEXTSPLIT(A47,",")</f>
        <v>Development</v>
      </c>
      <c r="D47" s="19" t="str">
        <v>Actions design and development</v>
      </c>
      <c r="E47" s="19" t="str">
        <v>Scripts</v>
      </c>
      <c r="F47" s="36" t="str" cm="1">
        <f t="array" ref="F47">_xlfn.TEXTJOIN(",",TRUE,_xlfn._xlws.FILTER(CLASSIFICATION[Keyword], ($E47=CLASSIFICATION[Keyword Aggr])*($D47=CLASSIFICATION[Functional Scope Aggr])))</f>
        <v>Scripts (Deluge),Scripts</v>
      </c>
      <c r="G47" s="32" t="str">
        <f t="shared" si="4"/>
        <v/>
      </c>
      <c r="H47" s="32" t="str">
        <f t="shared" si="4"/>
        <v/>
      </c>
      <c r="I47" s="32" t="str">
        <f t="shared" si="12"/>
        <v>Scripts</v>
      </c>
      <c r="J47" s="33" t="str" cm="1">
        <f t="array" aca="1" ref="J47" ca="1">_xlfn.LET(
_xlpm._platform_range, INDIRECT("'Platform review'!$C"&amp;_xlfn.XMATCH(J$2,'Platform review'!$A$1:$A$127)&amp;":$E"&amp;_xlfn.XMATCH(J$2,'Platform review'!$A$1:$A$127)+19),
_xlpm._original_keywords, _xlfn._xlws.FILTER(CLASSIFICATION[[Keyword]:[Keyword]], ($E47=CLASSIFICATION[[Keyword Aggr]:[Keyword Aggr]])*($D47=CLASSIFICATION[[Functional Scope Aggr]:[Functional Scope Aggr]])),
_xlpm._platform_keywords, _xlfn.TEXTSPLIT(SUBSTITUTE(SUBSTITUTE(VLOOKUP($D47,_xlpm._platform_range,3,FALSE),"+"&amp;CHAR(34),"+"),CHAR(34),""),", "),
_xlpm._exists, SUMPRODUCT(--ISNUMBER(MATCH(_xlpm._platform_keywords,_xlpm._original_keywords,0)))&gt;0,
_xlfn.IFS(AND(_xlpm._exists,LEFT($E47,1)="+"),"+",_xlpm._exists,"*",NOT(_xlpm._exists),"")
)</f>
        <v/>
      </c>
      <c r="K47" s="33" t="str" cm="1">
        <f t="array" aca="1" ref="K47" ca="1">_xlfn.LET(
_xlpm._platform_range, INDIRECT("'Platform review'!$C"&amp;_xlfn.XMATCH(K$2,'Platform review'!$A$1:$A$127)&amp;":$E"&amp;_xlfn.XMATCH(K$2,'Platform review'!$A$1:$A$127)+19),
_xlpm._original_keywords, _xlfn._xlws.FILTER(CLASSIFICATION[[Keyword]:[Keyword]], ($E47=CLASSIFICATION[[Keyword Aggr]:[Keyword Aggr]])*($D47=CLASSIFICATION[[Functional Scope Aggr]:[Functional Scope Aggr]])),
_xlpm._platform_keywords, _xlfn.TEXTSPLIT(SUBSTITUTE(SUBSTITUTE(VLOOKUP($D47,_xlpm._platform_range,3,FALSE),"+"&amp;CHAR(34),"+"),CHAR(34),""),", "),
_xlpm._exists, SUMPRODUCT(--ISNUMBER(MATCH(_xlpm._platform_keywords,_xlpm._original_keywords,0)))&gt;0,
_xlfn.IFS(AND(_xlpm._exists,LEFT($E47,1)="+"),"+",_xlpm._exists,"*",NOT(_xlpm._exists),"")
)</f>
        <v/>
      </c>
      <c r="L47" s="33" t="str" cm="1">
        <f t="array" aca="1" ref="L47" ca="1">_xlfn.LET(
_xlpm._platform_range, INDIRECT("'Platform review'!$C"&amp;_xlfn.XMATCH(L$2,'Platform review'!$A$1:$A$127)&amp;":$E"&amp;_xlfn.XMATCH(L$2,'Platform review'!$A$1:$A$127)+19),
_xlpm._original_keywords, _xlfn._xlws.FILTER(CLASSIFICATION[[Keyword]:[Keyword]], ($E47=CLASSIFICATION[[Keyword Aggr]:[Keyword Aggr]])*($D47=CLASSIFICATION[[Functional Scope Aggr]:[Functional Scope Aggr]])),
_xlpm._platform_keywords, _xlfn.TEXTSPLIT(SUBSTITUTE(SUBSTITUTE(VLOOKUP($D47,_xlpm._platform_range,3,FALSE),"+"&amp;CHAR(34),"+"),CHAR(34),""),", "),
_xlpm._exists, SUMPRODUCT(--ISNUMBER(MATCH(_xlpm._platform_keywords,_xlpm._original_keywords,0)))&gt;0,
_xlfn.IFS(AND(_xlpm._exists,LEFT($E47,1)="+"),"+",_xlpm._exists,"*",NOT(_xlpm._exists),"")
)</f>
        <v>*</v>
      </c>
      <c r="M47" s="33" t="str" cm="1">
        <f t="array" aca="1" ref="M47" ca="1">_xlfn.LET(
_xlpm._platform_range, INDIRECT("'Platform review'!$C"&amp;_xlfn.XMATCH(M$2,'Platform review'!$A$1:$A$127)&amp;":$E"&amp;_xlfn.XMATCH(M$2,'Platform review'!$A$1:$A$127)+19),
_xlpm._original_keywords, _xlfn._xlws.FILTER(CLASSIFICATION[[Keyword]:[Keyword]], ($E47=CLASSIFICATION[[Keyword Aggr]:[Keyword Aggr]])*($D47=CLASSIFICATION[[Functional Scope Aggr]:[Functional Scope Aggr]])),
_xlpm._platform_keywords, _xlfn.TEXTSPLIT(SUBSTITUTE(SUBSTITUTE(VLOOKUP($D47,_xlpm._platform_range,3,FALSE),"+"&amp;CHAR(34),"+"),CHAR(34),""),", "),
_xlpm._exists, SUMPRODUCT(--ISNUMBER(MATCH(_xlpm._platform_keywords,_xlpm._original_keywords,0)))&gt;0,
_xlfn.IFS(AND(_xlpm._exists,LEFT($E47,1)="+"),"+",_xlpm._exists,"*",NOT(_xlpm._exists),"")
)</f>
        <v/>
      </c>
      <c r="N47" s="33" t="str" cm="1">
        <f t="array" aca="1" ref="N47" ca="1">_xlfn.LET(
_xlpm._platform_range, INDIRECT("'Platform review'!$C"&amp;_xlfn.XMATCH(N$2,'Platform review'!$A$1:$A$127)&amp;":$E"&amp;_xlfn.XMATCH(N$2,'Platform review'!$A$1:$A$127)+19),
_xlpm._original_keywords, _xlfn._xlws.FILTER(CLASSIFICATION[[Keyword]:[Keyword]], ($E47=CLASSIFICATION[[Keyword Aggr]:[Keyword Aggr]])*($D47=CLASSIFICATION[[Functional Scope Aggr]:[Functional Scope Aggr]])),
_xlpm._platform_keywords, _xlfn.TEXTSPLIT(SUBSTITUTE(SUBSTITUTE(VLOOKUP($D47,_xlpm._platform_range,3,FALSE),"+"&amp;CHAR(34),"+"),CHAR(34),""),", "),
_xlpm._exists, SUMPRODUCT(--ISNUMBER(MATCH(_xlpm._platform_keywords,_xlpm._original_keywords,0)))&gt;0,
_xlfn.IFS(AND(_xlpm._exists,LEFT($E47,1)="+"),"+",_xlpm._exists,"*",NOT(_xlpm._exists),"")
)</f>
        <v/>
      </c>
      <c r="O47" s="33" t="str" cm="1">
        <f t="array" aca="1" ref="O47" ca="1">_xlfn.LET(
_xlpm._platform_range, INDIRECT("'Platform review'!$C"&amp;_xlfn.XMATCH(O$2,'Platform review'!$A$1:$A$127)&amp;":$E"&amp;_xlfn.XMATCH(O$2,'Platform review'!$A$1:$A$127)+19),
_xlpm._original_keywords, _xlfn._xlws.FILTER(CLASSIFICATION[[Keyword]:[Keyword]], ($E47=CLASSIFICATION[[Keyword Aggr]:[Keyword Aggr]])*($D47=CLASSIFICATION[[Functional Scope Aggr]:[Functional Scope Aggr]])),
_xlpm._platform_keywords, _xlfn.TEXTSPLIT(SUBSTITUTE(SUBSTITUTE(VLOOKUP($D47,_xlpm._platform_range,3,FALSE),"+"&amp;CHAR(34),"+"),CHAR(34),""),", "),
_xlpm._exists, SUMPRODUCT(--ISNUMBER(MATCH(_xlpm._platform_keywords,_xlpm._original_keywords,0)))&gt;0,
_xlfn.IFS(AND(_xlpm._exists,LEFT($E47,1)="+"),"+",_xlpm._exists,"*",NOT(_xlpm._exists),"")
)</f>
        <v>*</v>
      </c>
      <c r="Q47" s="33" t="str">
        <f t="shared" si="6"/>
        <v/>
      </c>
      <c r="R47" s="33" t="str">
        <f t="shared" si="7"/>
        <v/>
      </c>
      <c r="S47" s="33" t="str">
        <f t="shared" si="8"/>
        <v/>
      </c>
      <c r="T47" s="33" t="str">
        <f t="shared" si="9"/>
        <v/>
      </c>
      <c r="U47" s="33" t="str">
        <f t="shared" si="10"/>
        <v/>
      </c>
      <c r="V47" s="33" t="str">
        <f t="shared" si="11"/>
        <v/>
      </c>
    </row>
    <row r="48" spans="1:22" x14ac:dyDescent="0.25">
      <c r="A48" s="19" t="str">
        <v>Development,Programming,Eclipse</v>
      </c>
      <c r="B48" t="s">
        <v>377</v>
      </c>
      <c r="C48" s="19" t="str" cm="1">
        <f t="array" ref="C48:E48">_xlfn.TEXTSPLIT(A48,",")</f>
        <v>Development</v>
      </c>
      <c r="D48" s="19" t="str">
        <v>Programming</v>
      </c>
      <c r="E48" s="19" t="str">
        <v>Eclipse</v>
      </c>
      <c r="F48" s="36" t="str" cm="1">
        <f t="array" ref="F48">_xlfn.TEXTJOIN(",",TRUE,_xlfn._xlws.FILTER(CLASSIFICATION[Keyword], ($E48=CLASSIFICATION[Keyword Aggr])*($D48=CLASSIFICATION[Functional Scope Aggr])))</f>
        <v>Eclipse</v>
      </c>
      <c r="G48" s="32" t="str">
        <f t="shared" si="4"/>
        <v/>
      </c>
      <c r="H48" s="32" t="str">
        <f t="shared" si="4"/>
        <v>Programming</v>
      </c>
      <c r="I48" s="32" t="str">
        <f t="shared" si="12"/>
        <v>Eclipse</v>
      </c>
      <c r="J48" s="33" t="str" cm="1">
        <f t="array" aca="1" ref="J48" ca="1">_xlfn.LET(
_xlpm._platform_range, INDIRECT("'Platform review'!$C"&amp;_xlfn.XMATCH(J$2,'Platform review'!$A$1:$A$127)&amp;":$E"&amp;_xlfn.XMATCH(J$2,'Platform review'!$A$1:$A$127)+19),
_xlpm._original_keywords, _xlfn._xlws.FILTER(CLASSIFICATION[[Keyword]:[Keyword]], ($E48=CLASSIFICATION[[Keyword Aggr]:[Keyword Aggr]])*($D48=CLASSIFICATION[[Functional Scope Aggr]:[Functional Scope Aggr]])),
_xlpm._platform_keywords, _xlfn.TEXTSPLIT(SUBSTITUTE(SUBSTITUTE(VLOOKUP($D48,_xlpm._platform_range,3,FALSE),"+"&amp;CHAR(34),"+"),CHAR(34),""),", "),
_xlpm._exists, SUMPRODUCT(--ISNUMBER(MATCH(_xlpm._platform_keywords,_xlpm._original_keywords,0)))&gt;0,
_xlfn.IFS(AND(_xlpm._exists,LEFT($E48,1)="+"),"+",_xlpm._exists,"*",NOT(_xlpm._exists),"")
)</f>
        <v>*</v>
      </c>
      <c r="K48" s="33" t="str" cm="1">
        <f t="array" aca="1" ref="K48" ca="1">_xlfn.LET(
_xlpm._platform_range, INDIRECT("'Platform review'!$C"&amp;_xlfn.XMATCH(K$2,'Platform review'!$A$1:$A$127)&amp;":$E"&amp;_xlfn.XMATCH(K$2,'Platform review'!$A$1:$A$127)+19),
_xlpm._original_keywords, _xlfn._xlws.FILTER(CLASSIFICATION[[Keyword]:[Keyword]], ($E48=CLASSIFICATION[[Keyword Aggr]:[Keyword Aggr]])*($D48=CLASSIFICATION[[Functional Scope Aggr]:[Functional Scope Aggr]])),
_xlpm._platform_keywords, _xlfn.TEXTSPLIT(SUBSTITUTE(SUBSTITUTE(VLOOKUP($D48,_xlpm._platform_range,3,FALSE),"+"&amp;CHAR(34),"+"),CHAR(34),""),", "),
_xlpm._exists, SUMPRODUCT(--ISNUMBER(MATCH(_xlpm._platform_keywords,_xlpm._original_keywords,0)))&gt;0,
_xlfn.IFS(AND(_xlpm._exists,LEFT($E48,1)="+"),"+",_xlpm._exists,"*",NOT(_xlpm._exists),"")
)</f>
        <v/>
      </c>
      <c r="L48" s="33" t="str" cm="1">
        <f t="array" aca="1" ref="L48" ca="1">_xlfn.LET(
_xlpm._platform_range, INDIRECT("'Platform review'!$C"&amp;_xlfn.XMATCH(L$2,'Platform review'!$A$1:$A$127)&amp;":$E"&amp;_xlfn.XMATCH(L$2,'Platform review'!$A$1:$A$127)+19),
_xlpm._original_keywords, _xlfn._xlws.FILTER(CLASSIFICATION[[Keyword]:[Keyword]], ($E48=CLASSIFICATION[[Keyword Aggr]:[Keyword Aggr]])*($D48=CLASSIFICATION[[Functional Scope Aggr]:[Functional Scope Aggr]])),
_xlpm._platform_keywords, _xlfn.TEXTSPLIT(SUBSTITUTE(SUBSTITUTE(VLOOKUP($D48,_xlpm._platform_range,3,FALSE),"+"&amp;CHAR(34),"+"),CHAR(34),""),", "),
_xlpm._exists, SUMPRODUCT(--ISNUMBER(MATCH(_xlpm._platform_keywords,_xlpm._original_keywords,0)))&gt;0,
_xlfn.IFS(AND(_xlpm._exists,LEFT($E48,1)="+"),"+",_xlpm._exists,"*",NOT(_xlpm._exists),"")
)</f>
        <v/>
      </c>
      <c r="M48" s="33" t="str" cm="1">
        <f t="array" aca="1" ref="M48" ca="1">_xlfn.LET(
_xlpm._platform_range, INDIRECT("'Platform review'!$C"&amp;_xlfn.XMATCH(M$2,'Platform review'!$A$1:$A$127)&amp;":$E"&amp;_xlfn.XMATCH(M$2,'Platform review'!$A$1:$A$127)+19),
_xlpm._original_keywords, _xlfn._xlws.FILTER(CLASSIFICATION[[Keyword]:[Keyword]], ($E48=CLASSIFICATION[[Keyword Aggr]:[Keyword Aggr]])*($D48=CLASSIFICATION[[Functional Scope Aggr]:[Functional Scope Aggr]])),
_xlpm._platform_keywords, _xlfn.TEXTSPLIT(SUBSTITUTE(SUBSTITUTE(VLOOKUP($D48,_xlpm._platform_range,3,FALSE),"+"&amp;CHAR(34),"+"),CHAR(34),""),", "),
_xlpm._exists, SUMPRODUCT(--ISNUMBER(MATCH(_xlpm._platform_keywords,_xlpm._original_keywords,0)))&gt;0,
_xlfn.IFS(AND(_xlpm._exists,LEFT($E48,1)="+"),"+",_xlpm._exists,"*",NOT(_xlpm._exists),"")
)</f>
        <v/>
      </c>
      <c r="N48" s="33" t="str" cm="1">
        <f t="array" aca="1" ref="N48" ca="1">_xlfn.LET(
_xlpm._platform_range, INDIRECT("'Platform review'!$C"&amp;_xlfn.XMATCH(N$2,'Platform review'!$A$1:$A$127)&amp;":$E"&amp;_xlfn.XMATCH(N$2,'Platform review'!$A$1:$A$127)+19),
_xlpm._original_keywords, _xlfn._xlws.FILTER(CLASSIFICATION[[Keyword]:[Keyword]], ($E48=CLASSIFICATION[[Keyword Aggr]:[Keyword Aggr]])*($D48=CLASSIFICATION[[Functional Scope Aggr]:[Functional Scope Aggr]])),
_xlpm._platform_keywords, _xlfn.TEXTSPLIT(SUBSTITUTE(SUBSTITUTE(VLOOKUP($D48,_xlpm._platform_range,3,FALSE),"+"&amp;CHAR(34),"+"),CHAR(34),""),", "),
_xlpm._exists, SUMPRODUCT(--ISNUMBER(MATCH(_xlpm._platform_keywords,_xlpm._original_keywords,0)))&gt;0,
_xlfn.IFS(AND(_xlpm._exists,LEFT($E48,1)="+"),"+",_xlpm._exists,"*",NOT(_xlpm._exists),"")
)</f>
        <v/>
      </c>
      <c r="O48" s="33" t="str" cm="1">
        <f t="array" aca="1" ref="O48" ca="1">_xlfn.LET(
_xlpm._platform_range, INDIRECT("'Platform review'!$C"&amp;_xlfn.XMATCH(O$2,'Platform review'!$A$1:$A$127)&amp;":$E"&amp;_xlfn.XMATCH(O$2,'Platform review'!$A$1:$A$127)+19),
_xlpm._original_keywords, _xlfn._xlws.FILTER(CLASSIFICATION[[Keyword]:[Keyword]], ($E48=CLASSIFICATION[[Keyword Aggr]:[Keyword Aggr]])*($D48=CLASSIFICATION[[Functional Scope Aggr]:[Functional Scope Aggr]])),
_xlpm._platform_keywords, _xlfn.TEXTSPLIT(SUBSTITUTE(SUBSTITUTE(VLOOKUP($D48,_xlpm._platform_range,3,FALSE),"+"&amp;CHAR(34),"+"),CHAR(34),""),", "),
_xlpm._exists, SUMPRODUCT(--ISNUMBER(MATCH(_xlpm._platform_keywords,_xlpm._original_keywords,0)))&gt;0,
_xlfn.IFS(AND(_xlpm._exists,LEFT($E48,1)="+"),"+",_xlpm._exists,"*",NOT(_xlpm._exists),"")
)</f>
        <v/>
      </c>
      <c r="Q48" s="33">
        <f t="shared" ca="1" si="6"/>
        <v>3</v>
      </c>
      <c r="R48" s="33">
        <f t="shared" ca="1" si="7"/>
        <v>1</v>
      </c>
      <c r="S48" s="33">
        <f t="shared" ca="1" si="8"/>
        <v>5</v>
      </c>
      <c r="T48" s="33">
        <f t="shared" ca="1" si="9"/>
        <v>6</v>
      </c>
      <c r="U48" s="33">
        <f t="shared" ca="1" si="10"/>
        <v>6</v>
      </c>
      <c r="V48" s="33">
        <f t="shared" ca="1" si="11"/>
        <v>3</v>
      </c>
    </row>
    <row r="49" spans="1:22" x14ac:dyDescent="0.25">
      <c r="A49" s="19" t="str">
        <v>Development,Programming,Entity Types</v>
      </c>
      <c r="B49" t="s">
        <v>377</v>
      </c>
      <c r="C49" s="19" t="str" cm="1">
        <f t="array" ref="C49:E49">_xlfn.TEXTSPLIT(A49,",")</f>
        <v>Development</v>
      </c>
      <c r="D49" s="19" t="str">
        <v>Programming</v>
      </c>
      <c r="E49" s="19" t="str">
        <v>Entity Types</v>
      </c>
      <c r="F49" s="36" t="str" cm="1">
        <f t="array" ref="F49">_xlfn.TEXTJOIN(",",TRUE,_xlfn._xlws.FILTER(CLASSIFICATION[Keyword], ($E49=CLASSIFICATION[Keyword Aggr])*($D49=CLASSIFICATION[Functional Scope Aggr])))</f>
        <v>Entity Types</v>
      </c>
      <c r="G49" s="32" t="str">
        <f t="shared" si="4"/>
        <v/>
      </c>
      <c r="H49" s="32" t="str">
        <f t="shared" si="4"/>
        <v/>
      </c>
      <c r="I49" s="32" t="str">
        <f t="shared" si="12"/>
        <v>Entity Types</v>
      </c>
      <c r="J49" s="33" t="str" cm="1">
        <f t="array" aca="1" ref="J49" ca="1">_xlfn.LET(
_xlpm._platform_range, INDIRECT("'Platform review'!$C"&amp;_xlfn.XMATCH(J$2,'Platform review'!$A$1:$A$127)&amp;":$E"&amp;_xlfn.XMATCH(J$2,'Platform review'!$A$1:$A$127)+19),
_xlpm._original_keywords, _xlfn._xlws.FILTER(CLASSIFICATION[[Keyword]:[Keyword]], ($E49=CLASSIFICATION[[Keyword Aggr]:[Keyword Aggr]])*($D49=CLASSIFICATION[[Functional Scope Aggr]:[Functional Scope Aggr]])),
_xlpm._platform_keywords, _xlfn.TEXTSPLIT(SUBSTITUTE(SUBSTITUTE(VLOOKUP($D49,_xlpm._platform_range,3,FALSE),"+"&amp;CHAR(34),"+"),CHAR(34),""),", "),
_xlpm._exists, SUMPRODUCT(--ISNUMBER(MATCH(_xlpm._platform_keywords,_xlpm._original_keywords,0)))&gt;0,
_xlfn.IFS(AND(_xlpm._exists,LEFT($E49,1)="+"),"+",_xlpm._exists,"*",NOT(_xlpm._exists),"")
)</f>
        <v/>
      </c>
      <c r="K49" s="33" t="str" cm="1">
        <f t="array" aca="1" ref="K49" ca="1">_xlfn.LET(
_xlpm._platform_range, INDIRECT("'Platform review'!$C"&amp;_xlfn.XMATCH(K$2,'Platform review'!$A$1:$A$127)&amp;":$E"&amp;_xlfn.XMATCH(K$2,'Platform review'!$A$1:$A$127)+19),
_xlpm._original_keywords, _xlfn._xlws.FILTER(CLASSIFICATION[[Keyword]:[Keyword]], ($E49=CLASSIFICATION[[Keyword Aggr]:[Keyword Aggr]])*($D49=CLASSIFICATION[[Functional Scope Aggr]:[Functional Scope Aggr]])),
_xlpm._platform_keywords, _xlfn.TEXTSPLIT(SUBSTITUTE(SUBSTITUTE(VLOOKUP($D49,_xlpm._platform_range,3,FALSE),"+"&amp;CHAR(34),"+"),CHAR(34),""),", "),
_xlpm._exists, SUMPRODUCT(--ISNUMBER(MATCH(_xlpm._platform_keywords,_xlpm._original_keywords,0)))&gt;0,
_xlfn.IFS(AND(_xlpm._exists,LEFT($E49,1)="+"),"+",_xlpm._exists,"*",NOT(_xlpm._exists),"")
)</f>
        <v/>
      </c>
      <c r="L49" s="33" t="str" cm="1">
        <f t="array" aca="1" ref="L49" ca="1">_xlfn.LET(
_xlpm._platform_range, INDIRECT("'Platform review'!$C"&amp;_xlfn.XMATCH(L$2,'Platform review'!$A$1:$A$127)&amp;":$E"&amp;_xlfn.XMATCH(L$2,'Platform review'!$A$1:$A$127)+19),
_xlpm._original_keywords, _xlfn._xlws.FILTER(CLASSIFICATION[[Keyword]:[Keyword]], ($E49=CLASSIFICATION[[Keyword Aggr]:[Keyword Aggr]])*($D49=CLASSIFICATION[[Functional Scope Aggr]:[Functional Scope Aggr]])),
_xlpm._platform_keywords, _xlfn.TEXTSPLIT(SUBSTITUTE(SUBSTITUTE(VLOOKUP($D49,_xlpm._platform_range,3,FALSE),"+"&amp;CHAR(34),"+"),CHAR(34),""),", "),
_xlpm._exists, SUMPRODUCT(--ISNUMBER(MATCH(_xlpm._platform_keywords,_xlpm._original_keywords,0)))&gt;0,
_xlfn.IFS(AND(_xlpm._exists,LEFT($E49,1)="+"),"+",_xlpm._exists,"*",NOT(_xlpm._exists),"")
)</f>
        <v/>
      </c>
      <c r="M49" s="33" t="str" cm="1">
        <f t="array" aca="1" ref="M49" ca="1">_xlfn.LET(
_xlpm._platform_range, INDIRECT("'Platform review'!$C"&amp;_xlfn.XMATCH(M$2,'Platform review'!$A$1:$A$127)&amp;":$E"&amp;_xlfn.XMATCH(M$2,'Platform review'!$A$1:$A$127)+19),
_xlpm._original_keywords, _xlfn._xlws.FILTER(CLASSIFICATION[[Keyword]:[Keyword]], ($E49=CLASSIFICATION[[Keyword Aggr]:[Keyword Aggr]])*($D49=CLASSIFICATION[[Functional Scope Aggr]:[Functional Scope Aggr]])),
_xlpm._platform_keywords, _xlfn.TEXTSPLIT(SUBSTITUTE(SUBSTITUTE(VLOOKUP($D49,_xlpm._platform_range,3,FALSE),"+"&amp;CHAR(34),"+"),CHAR(34),""),", "),
_xlpm._exists, SUMPRODUCT(--ISNUMBER(MATCH(_xlpm._platform_keywords,_xlpm._original_keywords,0)))&gt;0,
_xlfn.IFS(AND(_xlpm._exists,LEFT($E49,1)="+"),"+",_xlpm._exists,"*",NOT(_xlpm._exists),"")
)</f>
        <v>*</v>
      </c>
      <c r="N49" s="33" t="str" cm="1">
        <f t="array" aca="1" ref="N49" ca="1">_xlfn.LET(
_xlpm._platform_range, INDIRECT("'Platform review'!$C"&amp;_xlfn.XMATCH(N$2,'Platform review'!$A$1:$A$127)&amp;":$E"&amp;_xlfn.XMATCH(N$2,'Platform review'!$A$1:$A$127)+19),
_xlpm._original_keywords, _xlfn._xlws.FILTER(CLASSIFICATION[[Keyword]:[Keyword]], ($E49=CLASSIFICATION[[Keyword Aggr]:[Keyword Aggr]])*($D49=CLASSIFICATION[[Functional Scope Aggr]:[Functional Scope Aggr]])),
_xlpm._platform_keywords, _xlfn.TEXTSPLIT(SUBSTITUTE(SUBSTITUTE(VLOOKUP($D49,_xlpm._platform_range,3,FALSE),"+"&amp;CHAR(34),"+"),CHAR(34),""),", "),
_xlpm._exists, SUMPRODUCT(--ISNUMBER(MATCH(_xlpm._platform_keywords,_xlpm._original_keywords,0)))&gt;0,
_xlfn.IFS(AND(_xlpm._exists,LEFT($E49,1)="+"),"+",_xlpm._exists,"*",NOT(_xlpm._exists),"")
)</f>
        <v/>
      </c>
      <c r="O49" s="33" t="str" cm="1">
        <f t="array" aca="1" ref="O49" ca="1">_xlfn.LET(
_xlpm._platform_range, INDIRECT("'Platform review'!$C"&amp;_xlfn.XMATCH(O$2,'Platform review'!$A$1:$A$127)&amp;":$E"&amp;_xlfn.XMATCH(O$2,'Platform review'!$A$1:$A$127)+19),
_xlpm._original_keywords, _xlfn._xlws.FILTER(CLASSIFICATION[[Keyword]:[Keyword]], ($E49=CLASSIFICATION[[Keyword Aggr]:[Keyword Aggr]])*($D49=CLASSIFICATION[[Functional Scope Aggr]:[Functional Scope Aggr]])),
_xlpm._platform_keywords, _xlfn.TEXTSPLIT(SUBSTITUTE(SUBSTITUTE(VLOOKUP($D49,_xlpm._platform_range,3,FALSE),"+"&amp;CHAR(34),"+"),CHAR(34),""),", "),
_xlpm._exists, SUMPRODUCT(--ISNUMBER(MATCH(_xlpm._platform_keywords,_xlpm._original_keywords,0)))&gt;0,
_xlfn.IFS(AND(_xlpm._exists,LEFT($E49,1)="+"),"+",_xlpm._exists,"*",NOT(_xlpm._exists),"")
)</f>
        <v/>
      </c>
      <c r="Q49" s="33" t="str">
        <f t="shared" si="6"/>
        <v/>
      </c>
      <c r="R49" s="33" t="str">
        <f t="shared" si="7"/>
        <v/>
      </c>
      <c r="S49" s="33" t="str">
        <f t="shared" si="8"/>
        <v/>
      </c>
      <c r="T49" s="33" t="str">
        <f t="shared" si="9"/>
        <v/>
      </c>
      <c r="U49" s="33" t="str">
        <f t="shared" si="10"/>
        <v/>
      </c>
      <c r="V49" s="33" t="str">
        <f t="shared" si="11"/>
        <v/>
      </c>
    </row>
    <row r="50" spans="1:22" x14ac:dyDescent="0.25">
      <c r="A50" s="19" t="str">
        <v>Development,Programming,Functions</v>
      </c>
      <c r="B50" t="s">
        <v>377</v>
      </c>
      <c r="C50" s="19" t="str" cm="1">
        <f t="array" ref="C50:E50">_xlfn.TEXTSPLIT(A50,",")</f>
        <v>Development</v>
      </c>
      <c r="D50" s="19" t="str">
        <v>Programming</v>
      </c>
      <c r="E50" s="19" t="str">
        <v>Functions</v>
      </c>
      <c r="F50" s="36" t="str" cm="1">
        <f t="array" ref="F50">_xlfn.TEXTJOIN(",",TRUE,_xlfn._xlws.FILTER(CLASSIFICATION[Keyword], ($E50=CLASSIFICATION[Keyword Aggr])*($D50=CLASSIFICATION[Functional Scope Aggr])))</f>
        <v>Functions</v>
      </c>
      <c r="G50" s="32" t="str">
        <f t="shared" si="4"/>
        <v/>
      </c>
      <c r="H50" s="32" t="str">
        <f t="shared" si="4"/>
        <v/>
      </c>
      <c r="I50" s="32" t="str">
        <f t="shared" si="12"/>
        <v>Functions</v>
      </c>
      <c r="J50" s="33" t="str" cm="1">
        <f t="array" aca="1" ref="J50" ca="1">_xlfn.LET(
_xlpm._platform_range, INDIRECT("'Platform review'!$C"&amp;_xlfn.XMATCH(J$2,'Platform review'!$A$1:$A$127)&amp;":$E"&amp;_xlfn.XMATCH(J$2,'Platform review'!$A$1:$A$127)+19),
_xlpm._original_keywords, _xlfn._xlws.FILTER(CLASSIFICATION[[Keyword]:[Keyword]], ($E50=CLASSIFICATION[[Keyword Aggr]:[Keyword Aggr]])*($D50=CLASSIFICATION[[Functional Scope Aggr]:[Functional Scope Aggr]])),
_xlpm._platform_keywords, _xlfn.TEXTSPLIT(SUBSTITUTE(SUBSTITUTE(VLOOKUP($D50,_xlpm._platform_range,3,FALSE),"+"&amp;CHAR(34),"+"),CHAR(34),""),", "),
_xlpm._exists, SUMPRODUCT(--ISNUMBER(MATCH(_xlpm._platform_keywords,_xlpm._original_keywords,0)))&gt;0,
_xlfn.IFS(AND(_xlpm._exists,LEFT($E50,1)="+"),"+",_xlpm._exists,"*",NOT(_xlpm._exists),"")
)</f>
        <v/>
      </c>
      <c r="K50" s="33" t="str" cm="1">
        <f t="array" aca="1" ref="K50" ca="1">_xlfn.LET(
_xlpm._platform_range, INDIRECT("'Platform review'!$C"&amp;_xlfn.XMATCH(K$2,'Platform review'!$A$1:$A$127)&amp;":$E"&amp;_xlfn.XMATCH(K$2,'Platform review'!$A$1:$A$127)+19),
_xlpm._original_keywords, _xlfn._xlws.FILTER(CLASSIFICATION[[Keyword]:[Keyword]], ($E50=CLASSIFICATION[[Keyword Aggr]:[Keyword Aggr]])*($D50=CLASSIFICATION[[Functional Scope Aggr]:[Functional Scope Aggr]])),
_xlpm._platform_keywords, _xlfn.TEXTSPLIT(SUBSTITUTE(SUBSTITUTE(VLOOKUP($D50,_xlpm._platform_range,3,FALSE),"+"&amp;CHAR(34),"+"),CHAR(34),""),", "),
_xlpm._exists, SUMPRODUCT(--ISNUMBER(MATCH(_xlpm._platform_keywords,_xlpm._original_keywords,0)))&gt;0,
_xlfn.IFS(AND(_xlpm._exists,LEFT($E50,1)="+"),"+",_xlpm._exists,"*",NOT(_xlpm._exists),"")
)</f>
        <v/>
      </c>
      <c r="L50" s="33" t="str" cm="1">
        <f t="array" aca="1" ref="L50" ca="1">_xlfn.LET(
_xlpm._platform_range, INDIRECT("'Platform review'!$C"&amp;_xlfn.XMATCH(L$2,'Platform review'!$A$1:$A$127)&amp;":$E"&amp;_xlfn.XMATCH(L$2,'Platform review'!$A$1:$A$127)+19),
_xlpm._original_keywords, _xlfn._xlws.FILTER(CLASSIFICATION[[Keyword]:[Keyword]], ($E50=CLASSIFICATION[[Keyword Aggr]:[Keyword Aggr]])*($D50=CLASSIFICATION[[Functional Scope Aggr]:[Functional Scope Aggr]])),
_xlpm._platform_keywords, _xlfn.TEXTSPLIT(SUBSTITUTE(SUBSTITUTE(VLOOKUP($D50,_xlpm._platform_range,3,FALSE),"+"&amp;CHAR(34),"+"),CHAR(34),""),", "),
_xlpm._exists, SUMPRODUCT(--ISNUMBER(MATCH(_xlpm._platform_keywords,_xlpm._original_keywords,0)))&gt;0,
_xlfn.IFS(AND(_xlpm._exists,LEFT($E50,1)="+"),"+",_xlpm._exists,"*",NOT(_xlpm._exists),"")
)</f>
        <v/>
      </c>
      <c r="M50" s="33" t="str" cm="1">
        <f t="array" aca="1" ref="M50" ca="1">_xlfn.LET(
_xlpm._platform_range, INDIRECT("'Platform review'!$C"&amp;_xlfn.XMATCH(M$2,'Platform review'!$A$1:$A$127)&amp;":$E"&amp;_xlfn.XMATCH(M$2,'Platform review'!$A$1:$A$127)+19),
_xlpm._original_keywords, _xlfn._xlws.FILTER(CLASSIFICATION[[Keyword]:[Keyword]], ($E50=CLASSIFICATION[[Keyword Aggr]:[Keyword Aggr]])*($D50=CLASSIFICATION[[Functional Scope Aggr]:[Functional Scope Aggr]])),
_xlpm._platform_keywords, _xlfn.TEXTSPLIT(SUBSTITUTE(SUBSTITUTE(VLOOKUP($D50,_xlpm._platform_range,3,FALSE),"+"&amp;CHAR(34),"+"),CHAR(34),""),", "),
_xlpm._exists, SUMPRODUCT(--ISNUMBER(MATCH(_xlpm._platform_keywords,_xlpm._original_keywords,0)))&gt;0,
_xlfn.IFS(AND(_xlpm._exists,LEFT($E50,1)="+"),"+",_xlpm._exists,"*",NOT(_xlpm._exists),"")
)</f>
        <v>*</v>
      </c>
      <c r="N50" s="33" t="str" cm="1">
        <f t="array" aca="1" ref="N50" ca="1">_xlfn.LET(
_xlpm._platform_range, INDIRECT("'Platform review'!$C"&amp;_xlfn.XMATCH(N$2,'Platform review'!$A$1:$A$127)&amp;":$E"&amp;_xlfn.XMATCH(N$2,'Platform review'!$A$1:$A$127)+19),
_xlpm._original_keywords, _xlfn._xlws.FILTER(CLASSIFICATION[[Keyword]:[Keyword]], ($E50=CLASSIFICATION[[Keyword Aggr]:[Keyword Aggr]])*($D50=CLASSIFICATION[[Functional Scope Aggr]:[Functional Scope Aggr]])),
_xlpm._platform_keywords, _xlfn.TEXTSPLIT(SUBSTITUTE(SUBSTITUTE(VLOOKUP($D50,_xlpm._platform_range,3,FALSE),"+"&amp;CHAR(34),"+"),CHAR(34),""),", "),
_xlpm._exists, SUMPRODUCT(--ISNUMBER(MATCH(_xlpm._platform_keywords,_xlpm._original_keywords,0)))&gt;0,
_xlfn.IFS(AND(_xlpm._exists,LEFT($E50,1)="+"),"+",_xlpm._exists,"*",NOT(_xlpm._exists),"")
)</f>
        <v>*</v>
      </c>
      <c r="O50" s="33" t="str" cm="1">
        <f t="array" aca="1" ref="O50" ca="1">_xlfn.LET(
_xlpm._platform_range, INDIRECT("'Platform review'!$C"&amp;_xlfn.XMATCH(O$2,'Platform review'!$A$1:$A$127)&amp;":$E"&amp;_xlfn.XMATCH(O$2,'Platform review'!$A$1:$A$127)+19),
_xlpm._original_keywords, _xlfn._xlws.FILTER(CLASSIFICATION[[Keyword]:[Keyword]], ($E50=CLASSIFICATION[[Keyword Aggr]:[Keyword Aggr]])*($D50=CLASSIFICATION[[Functional Scope Aggr]:[Functional Scope Aggr]])),
_xlpm._platform_keywords, _xlfn.TEXTSPLIT(SUBSTITUTE(SUBSTITUTE(VLOOKUP($D50,_xlpm._platform_range,3,FALSE),"+"&amp;CHAR(34),"+"),CHAR(34),""),", "),
_xlpm._exists, SUMPRODUCT(--ISNUMBER(MATCH(_xlpm._platform_keywords,_xlpm._original_keywords,0)))&gt;0,
_xlfn.IFS(AND(_xlpm._exists,LEFT($E50,1)="+"),"+",_xlpm._exists,"*",NOT(_xlpm._exists),"")
)</f>
        <v/>
      </c>
      <c r="Q50" s="33" t="str">
        <f t="shared" si="6"/>
        <v/>
      </c>
      <c r="R50" s="33" t="str">
        <f t="shared" si="7"/>
        <v/>
      </c>
      <c r="S50" s="33" t="str">
        <f t="shared" si="8"/>
        <v/>
      </c>
      <c r="T50" s="33" t="str">
        <f t="shared" si="9"/>
        <v/>
      </c>
      <c r="U50" s="33" t="str">
        <f t="shared" si="10"/>
        <v/>
      </c>
      <c r="V50" s="33" t="str">
        <f t="shared" si="11"/>
        <v/>
      </c>
    </row>
    <row r="51" spans="1:22" x14ac:dyDescent="0.25">
      <c r="A51" s="19" t="str">
        <v>Development,Programming,HTML</v>
      </c>
      <c r="B51" t="s">
        <v>377</v>
      </c>
      <c r="C51" s="19" t="str" cm="1">
        <f t="array" ref="C51:E51">_xlfn.TEXTSPLIT(A51,",")</f>
        <v>Development</v>
      </c>
      <c r="D51" s="19" t="str">
        <v>Programming</v>
      </c>
      <c r="E51" s="19" t="str">
        <v>HTML</v>
      </c>
      <c r="F51" s="36" t="str" cm="1">
        <f t="array" ref="F51">_xlfn.TEXTJOIN(",",TRUE,_xlfn._xlws.FILTER(CLASSIFICATION[Keyword], ($E51=CLASSIFICATION[Keyword Aggr])*($D51=CLASSIFICATION[Functional Scope Aggr])))</f>
        <v>HTML,HTML DOM</v>
      </c>
      <c r="G51" s="32" t="str">
        <f t="shared" si="4"/>
        <v/>
      </c>
      <c r="H51" s="32" t="str">
        <f t="shared" si="4"/>
        <v/>
      </c>
      <c r="I51" s="32" t="str">
        <f t="shared" si="12"/>
        <v>HTML</v>
      </c>
      <c r="J51" s="33" t="str" cm="1">
        <f t="array" aca="1" ref="J51" ca="1">_xlfn.LET(
_xlpm._platform_range, INDIRECT("'Platform review'!$C"&amp;_xlfn.XMATCH(J$2,'Platform review'!$A$1:$A$127)&amp;":$E"&amp;_xlfn.XMATCH(J$2,'Platform review'!$A$1:$A$127)+19),
_xlpm._original_keywords, _xlfn._xlws.FILTER(CLASSIFICATION[[Keyword]:[Keyword]], ($E51=CLASSIFICATION[[Keyword Aggr]:[Keyword Aggr]])*($D51=CLASSIFICATION[[Functional Scope Aggr]:[Functional Scope Aggr]])),
_xlpm._platform_keywords, _xlfn.TEXTSPLIT(SUBSTITUTE(SUBSTITUTE(VLOOKUP($D51,_xlpm._platform_range,3,FALSE),"+"&amp;CHAR(34),"+"),CHAR(34),""),", "),
_xlpm._exists, SUMPRODUCT(--ISNUMBER(MATCH(_xlpm._platform_keywords,_xlpm._original_keywords,0)))&gt;0,
_xlfn.IFS(AND(_xlpm._exists,LEFT($E51,1)="+"),"+",_xlpm._exists,"*",NOT(_xlpm._exists),"")
)</f>
        <v/>
      </c>
      <c r="K51" s="33" t="str" cm="1">
        <f t="array" aca="1" ref="K51" ca="1">_xlfn.LET(
_xlpm._platform_range, INDIRECT("'Platform review'!$C"&amp;_xlfn.XMATCH(K$2,'Platform review'!$A$1:$A$127)&amp;":$E"&amp;_xlfn.XMATCH(K$2,'Platform review'!$A$1:$A$127)+19),
_xlpm._original_keywords, _xlfn._xlws.FILTER(CLASSIFICATION[[Keyword]:[Keyword]], ($E51=CLASSIFICATION[[Keyword Aggr]:[Keyword Aggr]])*($D51=CLASSIFICATION[[Functional Scope Aggr]:[Functional Scope Aggr]])),
_xlpm._platform_keywords, _xlfn.TEXTSPLIT(SUBSTITUTE(SUBSTITUTE(VLOOKUP($D51,_xlpm._platform_range,3,FALSE),"+"&amp;CHAR(34),"+"),CHAR(34),""),", "),
_xlpm._exists, SUMPRODUCT(--ISNUMBER(MATCH(_xlpm._platform_keywords,_xlpm._original_keywords,0)))&gt;0,
_xlfn.IFS(AND(_xlpm._exists,LEFT($E51,1)="+"),"+",_xlpm._exists,"*",NOT(_xlpm._exists),"")
)</f>
        <v>*</v>
      </c>
      <c r="L51" s="33" t="str" cm="1">
        <f t="array" aca="1" ref="L51" ca="1">_xlfn.LET(
_xlpm._platform_range, INDIRECT("'Platform review'!$C"&amp;_xlfn.XMATCH(L$2,'Platform review'!$A$1:$A$127)&amp;":$E"&amp;_xlfn.XMATCH(L$2,'Platform review'!$A$1:$A$127)+19),
_xlpm._original_keywords, _xlfn._xlws.FILTER(CLASSIFICATION[[Keyword]:[Keyword]], ($E51=CLASSIFICATION[[Keyword Aggr]:[Keyword Aggr]])*($D51=CLASSIFICATION[[Functional Scope Aggr]:[Functional Scope Aggr]])),
_xlpm._platform_keywords, _xlfn.TEXTSPLIT(SUBSTITUTE(SUBSTITUTE(VLOOKUP($D51,_xlpm._platform_range,3,FALSE),"+"&amp;CHAR(34),"+"),CHAR(34),""),", "),
_xlpm._exists, SUMPRODUCT(--ISNUMBER(MATCH(_xlpm._platform_keywords,_xlpm._original_keywords,0)))&gt;0,
_xlfn.IFS(AND(_xlpm._exists,LEFT($E51,1)="+"),"+",_xlpm._exists,"*",NOT(_xlpm._exists),"")
)</f>
        <v>*</v>
      </c>
      <c r="M51" s="33" t="str" cm="1">
        <f t="array" aca="1" ref="M51" ca="1">_xlfn.LET(
_xlpm._platform_range, INDIRECT("'Platform review'!$C"&amp;_xlfn.XMATCH(M$2,'Platform review'!$A$1:$A$127)&amp;":$E"&amp;_xlfn.XMATCH(M$2,'Platform review'!$A$1:$A$127)+19),
_xlpm._original_keywords, _xlfn._xlws.FILTER(CLASSIFICATION[[Keyword]:[Keyword]], ($E51=CLASSIFICATION[[Keyword Aggr]:[Keyword Aggr]])*($D51=CLASSIFICATION[[Functional Scope Aggr]:[Functional Scope Aggr]])),
_xlpm._platform_keywords, _xlfn.TEXTSPLIT(SUBSTITUTE(SUBSTITUTE(VLOOKUP($D51,_xlpm._platform_range,3,FALSE),"+"&amp;CHAR(34),"+"),CHAR(34),""),", "),
_xlpm._exists, SUMPRODUCT(--ISNUMBER(MATCH(_xlpm._platform_keywords,_xlpm._original_keywords,0)))&gt;0,
_xlfn.IFS(AND(_xlpm._exists,LEFT($E51,1)="+"),"+",_xlpm._exists,"*",NOT(_xlpm._exists),"")
)</f>
        <v/>
      </c>
      <c r="N51" s="33" t="str" cm="1">
        <f t="array" aca="1" ref="N51" ca="1">_xlfn.LET(
_xlpm._platform_range, INDIRECT("'Platform review'!$C"&amp;_xlfn.XMATCH(N$2,'Platform review'!$A$1:$A$127)&amp;":$E"&amp;_xlfn.XMATCH(N$2,'Platform review'!$A$1:$A$127)+19),
_xlpm._original_keywords, _xlfn._xlws.FILTER(CLASSIFICATION[[Keyword]:[Keyword]], ($E51=CLASSIFICATION[[Keyword Aggr]:[Keyword Aggr]])*($D51=CLASSIFICATION[[Functional Scope Aggr]:[Functional Scope Aggr]])),
_xlpm._platform_keywords, _xlfn.TEXTSPLIT(SUBSTITUTE(SUBSTITUTE(VLOOKUP($D51,_xlpm._platform_range,3,FALSE),"+"&amp;CHAR(34),"+"),CHAR(34),""),", "),
_xlpm._exists, SUMPRODUCT(--ISNUMBER(MATCH(_xlpm._platform_keywords,_xlpm._original_keywords,0)))&gt;0,
_xlfn.IFS(AND(_xlpm._exists,LEFT($E51,1)="+"),"+",_xlpm._exists,"*",NOT(_xlpm._exists),"")
)</f>
        <v>*</v>
      </c>
      <c r="O51" s="33" t="str" cm="1">
        <f t="array" aca="1" ref="O51" ca="1">_xlfn.LET(
_xlpm._platform_range, INDIRECT("'Platform review'!$C"&amp;_xlfn.XMATCH(O$2,'Platform review'!$A$1:$A$127)&amp;":$E"&amp;_xlfn.XMATCH(O$2,'Platform review'!$A$1:$A$127)+19),
_xlpm._original_keywords, _xlfn._xlws.FILTER(CLASSIFICATION[[Keyword]:[Keyword]], ($E51=CLASSIFICATION[[Keyword Aggr]:[Keyword Aggr]])*($D51=CLASSIFICATION[[Functional Scope Aggr]:[Functional Scope Aggr]])),
_xlpm._platform_keywords, _xlfn.TEXTSPLIT(SUBSTITUTE(SUBSTITUTE(VLOOKUP($D51,_xlpm._platform_range,3,FALSE),"+"&amp;CHAR(34),"+"),CHAR(34),""),", "),
_xlpm._exists, SUMPRODUCT(--ISNUMBER(MATCH(_xlpm._platform_keywords,_xlpm._original_keywords,0)))&gt;0,
_xlfn.IFS(AND(_xlpm._exists,LEFT($E51,1)="+"),"+",_xlpm._exists,"*",NOT(_xlpm._exists),"")
)</f>
        <v>*</v>
      </c>
      <c r="Q51" s="33" t="str">
        <f t="shared" si="6"/>
        <v/>
      </c>
      <c r="R51" s="33" t="str">
        <f t="shared" si="7"/>
        <v/>
      </c>
      <c r="S51" s="33" t="str">
        <f t="shared" si="8"/>
        <v/>
      </c>
      <c r="T51" s="33" t="str">
        <f t="shared" si="9"/>
        <v/>
      </c>
      <c r="U51" s="33" t="str">
        <f t="shared" si="10"/>
        <v/>
      </c>
      <c r="V51" s="33" t="str">
        <f t="shared" si="11"/>
        <v/>
      </c>
    </row>
    <row r="52" spans="1:22" x14ac:dyDescent="0.25">
      <c r="A52" s="19" t="str">
        <v>Development,Programming,SDK/IDE</v>
      </c>
      <c r="B52" t="s">
        <v>377</v>
      </c>
      <c r="C52" s="19" t="str" cm="1">
        <f t="array" ref="C52:E52">_xlfn.TEXTSPLIT(A52,",")</f>
        <v>Development</v>
      </c>
      <c r="D52" s="19" t="str">
        <v>Programming</v>
      </c>
      <c r="E52" s="19" t="str">
        <v>SDK/IDE</v>
      </c>
      <c r="F52" s="36" t="str" cm="1">
        <f t="array" ref="F52">_xlfn.TEXTJOIN(",",TRUE,_xlfn._xlws.FILTER(CLASSIFICATION[Keyword], ($E52=CLASSIFICATION[Keyword Aggr])*($D52=CLASSIFICATION[Functional Scope Aggr])))</f>
        <v>IDE,IDE (Visual Studio Code),SDK</v>
      </c>
      <c r="G52" s="32" t="str">
        <f t="shared" si="4"/>
        <v/>
      </c>
      <c r="H52" s="32" t="str">
        <f t="shared" si="4"/>
        <v/>
      </c>
      <c r="I52" s="32" t="str">
        <f t="shared" si="12"/>
        <v>SDK/IDE</v>
      </c>
      <c r="J52" s="33" t="str" cm="1">
        <f t="array" aca="1" ref="J52" ca="1">_xlfn.LET(
_xlpm._platform_range, INDIRECT("'Platform review'!$C"&amp;_xlfn.XMATCH(J$2,'Platform review'!$A$1:$A$127)&amp;":$E"&amp;_xlfn.XMATCH(J$2,'Platform review'!$A$1:$A$127)+19),
_xlpm._original_keywords, _xlfn._xlws.FILTER(CLASSIFICATION[[Keyword]:[Keyword]], ($E52=CLASSIFICATION[[Keyword Aggr]:[Keyword Aggr]])*($D52=CLASSIFICATION[[Functional Scope Aggr]:[Functional Scope Aggr]])),
_xlpm._platform_keywords, _xlfn.TEXTSPLIT(SUBSTITUTE(SUBSTITUTE(VLOOKUP($D52,_xlpm._platform_range,3,FALSE),"+"&amp;CHAR(34),"+"),CHAR(34),""),", "),
_xlpm._exists, SUMPRODUCT(--ISNUMBER(MATCH(_xlpm._platform_keywords,_xlpm._original_keywords,0)))&gt;0,
_xlfn.IFS(AND(_xlpm._exists,LEFT($E52,1)="+"),"+",_xlpm._exists,"*",NOT(_xlpm._exists),"")
)</f>
        <v/>
      </c>
      <c r="K52" s="33" t="str" cm="1">
        <f t="array" aca="1" ref="K52" ca="1">_xlfn.LET(
_xlpm._platform_range, INDIRECT("'Platform review'!$C"&amp;_xlfn.XMATCH(K$2,'Platform review'!$A$1:$A$127)&amp;":$E"&amp;_xlfn.XMATCH(K$2,'Platform review'!$A$1:$A$127)+19),
_xlpm._original_keywords, _xlfn._xlws.FILTER(CLASSIFICATION[[Keyword]:[Keyword]], ($E52=CLASSIFICATION[[Keyword Aggr]:[Keyword Aggr]])*($D52=CLASSIFICATION[[Functional Scope Aggr]:[Functional Scope Aggr]])),
_xlpm._platform_keywords, _xlfn.TEXTSPLIT(SUBSTITUTE(SUBSTITUTE(VLOOKUP($D52,_xlpm._platform_range,3,FALSE),"+"&amp;CHAR(34),"+"),CHAR(34),""),", "),
_xlpm._exists, SUMPRODUCT(--ISNUMBER(MATCH(_xlpm._platform_keywords,_xlpm._original_keywords,0)))&gt;0,
_xlfn.IFS(AND(_xlpm._exists,LEFT($E52,1)="+"),"+",_xlpm._exists,"*",NOT(_xlpm._exists),"")
)</f>
        <v/>
      </c>
      <c r="L52" s="33" t="str" cm="1">
        <f t="array" aca="1" ref="L52" ca="1">_xlfn.LET(
_xlpm._platform_range, INDIRECT("'Platform review'!$C"&amp;_xlfn.XMATCH(L$2,'Platform review'!$A$1:$A$127)&amp;":$E"&amp;_xlfn.XMATCH(L$2,'Platform review'!$A$1:$A$127)+19),
_xlpm._original_keywords, _xlfn._xlws.FILTER(CLASSIFICATION[[Keyword]:[Keyword]], ($E52=CLASSIFICATION[[Keyword Aggr]:[Keyword Aggr]])*($D52=CLASSIFICATION[[Functional Scope Aggr]:[Functional Scope Aggr]])),
_xlpm._platform_keywords, _xlfn.TEXTSPLIT(SUBSTITUTE(SUBSTITUTE(VLOOKUP($D52,_xlpm._platform_range,3,FALSE),"+"&amp;CHAR(34),"+"),CHAR(34),""),", "),
_xlpm._exists, SUMPRODUCT(--ISNUMBER(MATCH(_xlpm._platform_keywords,_xlpm._original_keywords,0)))&gt;0,
_xlfn.IFS(AND(_xlpm._exists,LEFT($E52,1)="+"),"+",_xlpm._exists,"*",NOT(_xlpm._exists),"")
)</f>
        <v>*</v>
      </c>
      <c r="M52" s="33" t="str" cm="1">
        <f t="array" aca="1" ref="M52" ca="1">_xlfn.LET(
_xlpm._platform_range, INDIRECT("'Platform review'!$C"&amp;_xlfn.XMATCH(M$2,'Platform review'!$A$1:$A$127)&amp;":$E"&amp;_xlfn.XMATCH(M$2,'Platform review'!$A$1:$A$127)+19),
_xlpm._original_keywords, _xlfn._xlws.FILTER(CLASSIFICATION[[Keyword]:[Keyword]], ($E52=CLASSIFICATION[[Keyword Aggr]:[Keyword Aggr]])*($D52=CLASSIFICATION[[Functional Scope Aggr]:[Functional Scope Aggr]])),
_xlpm._platform_keywords, _xlfn.TEXTSPLIT(SUBSTITUTE(SUBSTITUTE(VLOOKUP($D52,_xlpm._platform_range,3,FALSE),"+"&amp;CHAR(34),"+"),CHAR(34),""),", "),
_xlpm._exists, SUMPRODUCT(--ISNUMBER(MATCH(_xlpm._platform_keywords,_xlpm._original_keywords,0)))&gt;0,
_xlfn.IFS(AND(_xlpm._exists,LEFT($E52,1)="+"),"+",_xlpm._exists,"*",NOT(_xlpm._exists),"")
)</f>
        <v>*</v>
      </c>
      <c r="N52" s="33" t="str" cm="1">
        <f t="array" aca="1" ref="N52" ca="1">_xlfn.LET(
_xlpm._platform_range, INDIRECT("'Platform review'!$C"&amp;_xlfn.XMATCH(N$2,'Platform review'!$A$1:$A$127)&amp;":$E"&amp;_xlfn.XMATCH(N$2,'Platform review'!$A$1:$A$127)+19),
_xlpm._original_keywords, _xlfn._xlws.FILTER(CLASSIFICATION[[Keyword]:[Keyword]], ($E52=CLASSIFICATION[[Keyword Aggr]:[Keyword Aggr]])*($D52=CLASSIFICATION[[Functional Scope Aggr]:[Functional Scope Aggr]])),
_xlpm._platform_keywords, _xlfn.TEXTSPLIT(SUBSTITUTE(SUBSTITUTE(VLOOKUP($D52,_xlpm._platform_range,3,FALSE),"+"&amp;CHAR(34),"+"),CHAR(34),""),", "),
_xlpm._exists, SUMPRODUCT(--ISNUMBER(MATCH(_xlpm._platform_keywords,_xlpm._original_keywords,0)))&gt;0,
_xlfn.IFS(AND(_xlpm._exists,LEFT($E52,1)="+"),"+",_xlpm._exists,"*",NOT(_xlpm._exists),"")
)</f>
        <v/>
      </c>
      <c r="O52" s="33" t="str" cm="1">
        <f t="array" aca="1" ref="O52" ca="1">_xlfn.LET(
_xlpm._platform_range, INDIRECT("'Platform review'!$C"&amp;_xlfn.XMATCH(O$2,'Platform review'!$A$1:$A$127)&amp;":$E"&amp;_xlfn.XMATCH(O$2,'Platform review'!$A$1:$A$127)+19),
_xlpm._original_keywords, _xlfn._xlws.FILTER(CLASSIFICATION[[Keyword]:[Keyword]], ($E52=CLASSIFICATION[[Keyword Aggr]:[Keyword Aggr]])*($D52=CLASSIFICATION[[Functional Scope Aggr]:[Functional Scope Aggr]])),
_xlpm._platform_keywords, _xlfn.TEXTSPLIT(SUBSTITUTE(SUBSTITUTE(VLOOKUP($D52,_xlpm._platform_range,3,FALSE),"+"&amp;CHAR(34),"+"),CHAR(34),""),", "),
_xlpm._exists, SUMPRODUCT(--ISNUMBER(MATCH(_xlpm._platform_keywords,_xlpm._original_keywords,0)))&gt;0,
_xlfn.IFS(AND(_xlpm._exists,LEFT($E52,1)="+"),"+",_xlpm._exists,"*",NOT(_xlpm._exists),"")
)</f>
        <v/>
      </c>
      <c r="Q52" s="33" t="str">
        <f t="shared" si="6"/>
        <v/>
      </c>
      <c r="R52" s="33" t="str">
        <f t="shared" si="7"/>
        <v/>
      </c>
      <c r="S52" s="33" t="str">
        <f t="shared" si="8"/>
        <v/>
      </c>
      <c r="T52" s="33" t="str">
        <f t="shared" si="9"/>
        <v/>
      </c>
      <c r="U52" s="33" t="str">
        <f t="shared" si="10"/>
        <v/>
      </c>
      <c r="V52" s="33" t="str">
        <f t="shared" si="11"/>
        <v/>
      </c>
    </row>
    <row r="53" spans="1:22" x14ac:dyDescent="0.25">
      <c r="A53" s="19" t="str">
        <v>Development,Programming,Java</v>
      </c>
      <c r="B53" t="s">
        <v>377</v>
      </c>
      <c r="C53" s="19" t="str" cm="1">
        <f t="array" ref="C53:E53">_xlfn.TEXTSPLIT(A53,",")</f>
        <v>Development</v>
      </c>
      <c r="D53" s="19" t="str">
        <v>Programming</v>
      </c>
      <c r="E53" s="19" t="str">
        <v>Java</v>
      </c>
      <c r="F53" s="36" t="str" cm="1">
        <f t="array" ref="F53">_xlfn.TEXTJOIN(",",TRUE,_xlfn._xlws.FILTER(CLASSIFICATION[Keyword], ($E53=CLASSIFICATION[Keyword Aggr])*($D53=CLASSIFICATION[Functional Scope Aggr])))</f>
        <v>Java</v>
      </c>
      <c r="G53" s="32" t="str">
        <f t="shared" si="4"/>
        <v/>
      </c>
      <c r="H53" s="32" t="str">
        <f t="shared" si="4"/>
        <v/>
      </c>
      <c r="I53" s="32" t="str">
        <f t="shared" si="12"/>
        <v>Java</v>
      </c>
      <c r="J53" s="33" t="str" cm="1">
        <f t="array" aca="1" ref="J53" ca="1">_xlfn.LET(
_xlpm._platform_range, INDIRECT("'Platform review'!$C"&amp;_xlfn.XMATCH(J$2,'Platform review'!$A$1:$A$127)&amp;":$E"&amp;_xlfn.XMATCH(J$2,'Platform review'!$A$1:$A$127)+19),
_xlpm._original_keywords, _xlfn._xlws.FILTER(CLASSIFICATION[[Keyword]:[Keyword]], ($E53=CLASSIFICATION[[Keyword Aggr]:[Keyword Aggr]])*($D53=CLASSIFICATION[[Functional Scope Aggr]:[Functional Scope Aggr]])),
_xlpm._platform_keywords, _xlfn.TEXTSPLIT(SUBSTITUTE(SUBSTITUTE(VLOOKUP($D53,_xlpm._platform_range,3,FALSE),"+"&amp;CHAR(34),"+"),CHAR(34),""),", "),
_xlpm._exists, SUMPRODUCT(--ISNUMBER(MATCH(_xlpm._platform_keywords,_xlpm._original_keywords,0)))&gt;0,
_xlfn.IFS(AND(_xlpm._exists,LEFT($E53,1)="+"),"+",_xlpm._exists,"*",NOT(_xlpm._exists),"")
)</f>
        <v>*</v>
      </c>
      <c r="K53" s="33" t="str" cm="1">
        <f t="array" aca="1" ref="K53" ca="1">_xlfn.LET(
_xlpm._platform_range, INDIRECT("'Platform review'!$C"&amp;_xlfn.XMATCH(K$2,'Platform review'!$A$1:$A$127)&amp;":$E"&amp;_xlfn.XMATCH(K$2,'Platform review'!$A$1:$A$127)+19),
_xlpm._original_keywords, _xlfn._xlws.FILTER(CLASSIFICATION[[Keyword]:[Keyword]], ($E53=CLASSIFICATION[[Keyword Aggr]:[Keyword Aggr]])*($D53=CLASSIFICATION[[Functional Scope Aggr]:[Functional Scope Aggr]])),
_xlpm._platform_keywords, _xlfn.TEXTSPLIT(SUBSTITUTE(SUBSTITUTE(VLOOKUP($D53,_xlpm._platform_range,3,FALSE),"+"&amp;CHAR(34),"+"),CHAR(34),""),", "),
_xlpm._exists, SUMPRODUCT(--ISNUMBER(MATCH(_xlpm._platform_keywords,_xlpm._original_keywords,0)))&gt;0,
_xlfn.IFS(AND(_xlpm._exists,LEFT($E53,1)="+"),"+",_xlpm._exists,"*",NOT(_xlpm._exists),"")
)</f>
        <v/>
      </c>
      <c r="L53" s="33" t="str" cm="1">
        <f t="array" aca="1" ref="L53" ca="1">_xlfn.LET(
_xlpm._platform_range, INDIRECT("'Platform review'!$C"&amp;_xlfn.XMATCH(L$2,'Platform review'!$A$1:$A$127)&amp;":$E"&amp;_xlfn.XMATCH(L$2,'Platform review'!$A$1:$A$127)+19),
_xlpm._original_keywords, _xlfn._xlws.FILTER(CLASSIFICATION[[Keyword]:[Keyword]], ($E53=CLASSIFICATION[[Keyword Aggr]:[Keyword Aggr]])*($D53=CLASSIFICATION[[Functional Scope Aggr]:[Functional Scope Aggr]])),
_xlpm._platform_keywords, _xlfn.TEXTSPLIT(SUBSTITUTE(SUBSTITUTE(VLOOKUP($D53,_xlpm._platform_range,3,FALSE),"+"&amp;CHAR(34),"+"),CHAR(34),""),", "),
_xlpm._exists, SUMPRODUCT(--ISNUMBER(MATCH(_xlpm._platform_keywords,_xlpm._original_keywords,0)))&gt;0,
_xlfn.IFS(AND(_xlpm._exists,LEFT($E53,1)="+"),"+",_xlpm._exists,"*",NOT(_xlpm._exists),"")
)</f>
        <v/>
      </c>
      <c r="M53" s="33" t="str" cm="1">
        <f t="array" aca="1" ref="M53" ca="1">_xlfn.LET(
_xlpm._platform_range, INDIRECT("'Platform review'!$C"&amp;_xlfn.XMATCH(M$2,'Platform review'!$A$1:$A$127)&amp;":$E"&amp;_xlfn.XMATCH(M$2,'Platform review'!$A$1:$A$127)+19),
_xlpm._original_keywords, _xlfn._xlws.FILTER(CLASSIFICATION[[Keyword]:[Keyword]], ($E53=CLASSIFICATION[[Keyword Aggr]:[Keyword Aggr]])*($D53=CLASSIFICATION[[Functional Scope Aggr]:[Functional Scope Aggr]])),
_xlpm._platform_keywords, _xlfn.TEXTSPLIT(SUBSTITUTE(SUBSTITUTE(VLOOKUP($D53,_xlpm._platform_range,3,FALSE),"+"&amp;CHAR(34),"+"),CHAR(34),""),", "),
_xlpm._exists, SUMPRODUCT(--ISNUMBER(MATCH(_xlpm._platform_keywords,_xlpm._original_keywords,0)))&gt;0,
_xlfn.IFS(AND(_xlpm._exists,LEFT($E53,1)="+"),"+",_xlpm._exists,"*",NOT(_xlpm._exists),"")
)</f>
        <v/>
      </c>
      <c r="N53" s="33" t="str" cm="1">
        <f t="array" aca="1" ref="N53" ca="1">_xlfn.LET(
_xlpm._platform_range, INDIRECT("'Platform review'!$C"&amp;_xlfn.XMATCH(N$2,'Platform review'!$A$1:$A$127)&amp;":$E"&amp;_xlfn.XMATCH(N$2,'Platform review'!$A$1:$A$127)+19),
_xlpm._original_keywords, _xlfn._xlws.FILTER(CLASSIFICATION[[Keyword]:[Keyword]], ($E53=CLASSIFICATION[[Keyword Aggr]:[Keyword Aggr]])*($D53=CLASSIFICATION[[Functional Scope Aggr]:[Functional Scope Aggr]])),
_xlpm._platform_keywords, _xlfn.TEXTSPLIT(SUBSTITUTE(SUBSTITUTE(VLOOKUP($D53,_xlpm._platform_range,3,FALSE),"+"&amp;CHAR(34),"+"),CHAR(34),""),", "),
_xlpm._exists, SUMPRODUCT(--ISNUMBER(MATCH(_xlpm._platform_keywords,_xlpm._original_keywords,0)))&gt;0,
_xlfn.IFS(AND(_xlpm._exists,LEFT($E53,1)="+"),"+",_xlpm._exists,"*",NOT(_xlpm._exists),"")
)</f>
        <v/>
      </c>
      <c r="O53" s="33" t="str" cm="1">
        <f t="array" aca="1" ref="O53" ca="1">_xlfn.LET(
_xlpm._platform_range, INDIRECT("'Platform review'!$C"&amp;_xlfn.XMATCH(O$2,'Platform review'!$A$1:$A$127)&amp;":$E"&amp;_xlfn.XMATCH(O$2,'Platform review'!$A$1:$A$127)+19),
_xlpm._original_keywords, _xlfn._xlws.FILTER(CLASSIFICATION[[Keyword]:[Keyword]], ($E53=CLASSIFICATION[[Keyword Aggr]:[Keyword Aggr]])*($D53=CLASSIFICATION[[Functional Scope Aggr]:[Functional Scope Aggr]])),
_xlpm._platform_keywords, _xlfn.TEXTSPLIT(SUBSTITUTE(SUBSTITUTE(VLOOKUP($D53,_xlpm._platform_range,3,FALSE),"+"&amp;CHAR(34),"+"),CHAR(34),""),", "),
_xlpm._exists, SUMPRODUCT(--ISNUMBER(MATCH(_xlpm._platform_keywords,_xlpm._original_keywords,0)))&gt;0,
_xlfn.IFS(AND(_xlpm._exists,LEFT($E53,1)="+"),"+",_xlpm._exists,"*",NOT(_xlpm._exists),"")
)</f>
        <v/>
      </c>
      <c r="Q53" s="33" t="str">
        <f t="shared" si="6"/>
        <v/>
      </c>
      <c r="R53" s="33" t="str">
        <f t="shared" si="7"/>
        <v/>
      </c>
      <c r="S53" s="33" t="str">
        <f t="shared" si="8"/>
        <v/>
      </c>
      <c r="T53" s="33" t="str">
        <f t="shared" si="9"/>
        <v/>
      </c>
      <c r="U53" s="33" t="str">
        <f t="shared" si="10"/>
        <v/>
      </c>
      <c r="V53" s="33" t="str">
        <f t="shared" si="11"/>
        <v/>
      </c>
    </row>
    <row r="54" spans="1:22" x14ac:dyDescent="0.25">
      <c r="A54" s="19" t="str">
        <v>Development,Programming,JavaScript</v>
      </c>
      <c r="B54" t="s">
        <v>377</v>
      </c>
      <c r="C54" s="19" t="str" cm="1">
        <f t="array" ref="C54:E54">_xlfn.TEXTSPLIT(A54,",")</f>
        <v>Development</v>
      </c>
      <c r="D54" s="19" t="str">
        <v>Programming</v>
      </c>
      <c r="E54" s="19" t="str">
        <v>JavaScript</v>
      </c>
      <c r="F54" s="36" t="str" cm="1">
        <f t="array" ref="F54">_xlfn.TEXTJOIN(",",TRUE,_xlfn._xlws.FILTER(CLASSIFICATION[Keyword], ($E54=CLASSIFICATION[Keyword Aggr])*($D54=CLASSIFICATION[Functional Scope Aggr])))</f>
        <v>JavaScript</v>
      </c>
      <c r="G54" s="32" t="str">
        <f t="shared" si="4"/>
        <v/>
      </c>
      <c r="H54" s="32" t="str">
        <f t="shared" si="4"/>
        <v/>
      </c>
      <c r="I54" s="32" t="str">
        <f t="shared" si="12"/>
        <v>JavaScript</v>
      </c>
      <c r="J54" s="33" t="str" cm="1">
        <f t="array" aca="1" ref="J54" ca="1">_xlfn.LET(
_xlpm._platform_range, INDIRECT("'Platform review'!$C"&amp;_xlfn.XMATCH(J$2,'Platform review'!$A$1:$A$127)&amp;":$E"&amp;_xlfn.XMATCH(J$2,'Platform review'!$A$1:$A$127)+19),
_xlpm._original_keywords, _xlfn._xlws.FILTER(CLASSIFICATION[[Keyword]:[Keyword]], ($E54=CLASSIFICATION[[Keyword Aggr]:[Keyword Aggr]])*($D54=CLASSIFICATION[[Functional Scope Aggr]:[Functional Scope Aggr]])),
_xlpm._platform_keywords, _xlfn.TEXTSPLIT(SUBSTITUTE(SUBSTITUTE(VLOOKUP($D54,_xlpm._platform_range,3,FALSE),"+"&amp;CHAR(34),"+"),CHAR(34),""),", "),
_xlpm._exists, SUMPRODUCT(--ISNUMBER(MATCH(_xlpm._platform_keywords,_xlpm._original_keywords,0)))&gt;0,
_xlfn.IFS(AND(_xlpm._exists,LEFT($E54,1)="+"),"+",_xlpm._exists,"*",NOT(_xlpm._exists),"")
)</f>
        <v/>
      </c>
      <c r="K54" s="33" t="str" cm="1">
        <f t="array" aca="1" ref="K54" ca="1">_xlfn.LET(
_xlpm._platform_range, INDIRECT("'Platform review'!$C"&amp;_xlfn.XMATCH(K$2,'Platform review'!$A$1:$A$127)&amp;":$E"&amp;_xlfn.XMATCH(K$2,'Platform review'!$A$1:$A$127)+19),
_xlpm._original_keywords, _xlfn._xlws.FILTER(CLASSIFICATION[[Keyword]:[Keyword]], ($E54=CLASSIFICATION[[Keyword Aggr]:[Keyword Aggr]])*($D54=CLASSIFICATION[[Functional Scope Aggr]:[Functional Scope Aggr]])),
_xlpm._platform_keywords, _xlfn.TEXTSPLIT(SUBSTITUTE(SUBSTITUTE(VLOOKUP($D54,_xlpm._platform_range,3,FALSE),"+"&amp;CHAR(34),"+"),CHAR(34),""),", "),
_xlpm._exists, SUMPRODUCT(--ISNUMBER(MATCH(_xlpm._platform_keywords,_xlpm._original_keywords,0)))&gt;0,
_xlfn.IFS(AND(_xlpm._exists,LEFT($E54,1)="+"),"+",_xlpm._exists,"*",NOT(_xlpm._exists),"")
)</f>
        <v/>
      </c>
      <c r="L54" s="33" t="str" cm="1">
        <f t="array" aca="1" ref="L54" ca="1">_xlfn.LET(
_xlpm._platform_range, INDIRECT("'Platform review'!$C"&amp;_xlfn.XMATCH(L$2,'Platform review'!$A$1:$A$127)&amp;":$E"&amp;_xlfn.XMATCH(L$2,'Platform review'!$A$1:$A$127)+19),
_xlpm._original_keywords, _xlfn._xlws.FILTER(CLASSIFICATION[[Keyword]:[Keyword]], ($E54=CLASSIFICATION[[Keyword Aggr]:[Keyword Aggr]])*($D54=CLASSIFICATION[[Functional Scope Aggr]:[Functional Scope Aggr]])),
_xlpm._platform_keywords, _xlfn.TEXTSPLIT(SUBSTITUTE(SUBSTITUTE(VLOOKUP($D54,_xlpm._platform_range,3,FALSE),"+"&amp;CHAR(34),"+"),CHAR(34),""),", "),
_xlpm._exists, SUMPRODUCT(--ISNUMBER(MATCH(_xlpm._platform_keywords,_xlpm._original_keywords,0)))&gt;0,
_xlfn.IFS(AND(_xlpm._exists,LEFT($E54,1)="+"),"+",_xlpm._exists,"*",NOT(_xlpm._exists),"")
)</f>
        <v/>
      </c>
      <c r="M54" s="33" t="str" cm="1">
        <f t="array" aca="1" ref="M54" ca="1">_xlfn.LET(
_xlpm._platform_range, INDIRECT("'Platform review'!$C"&amp;_xlfn.XMATCH(M$2,'Platform review'!$A$1:$A$127)&amp;":$E"&amp;_xlfn.XMATCH(M$2,'Platform review'!$A$1:$A$127)+19),
_xlpm._original_keywords, _xlfn._xlws.FILTER(CLASSIFICATION[[Keyword]:[Keyword]], ($E54=CLASSIFICATION[[Keyword Aggr]:[Keyword Aggr]])*($D54=CLASSIFICATION[[Functional Scope Aggr]:[Functional Scope Aggr]])),
_xlpm._platform_keywords, _xlfn.TEXTSPLIT(SUBSTITUTE(SUBSTITUTE(VLOOKUP($D54,_xlpm._platform_range,3,FALSE),"+"&amp;CHAR(34),"+"),CHAR(34),""),", "),
_xlpm._exists, SUMPRODUCT(--ISNUMBER(MATCH(_xlpm._platform_keywords,_xlpm._original_keywords,0)))&gt;0,
_xlfn.IFS(AND(_xlpm._exists,LEFT($E54,1)="+"),"+",_xlpm._exists,"*",NOT(_xlpm._exists),"")
)</f>
        <v/>
      </c>
      <c r="N54" s="33" t="str" cm="1">
        <f t="array" aca="1" ref="N54" ca="1">_xlfn.LET(
_xlpm._platform_range, INDIRECT("'Platform review'!$C"&amp;_xlfn.XMATCH(N$2,'Platform review'!$A$1:$A$127)&amp;":$E"&amp;_xlfn.XMATCH(N$2,'Platform review'!$A$1:$A$127)+19),
_xlpm._original_keywords, _xlfn._xlws.FILTER(CLASSIFICATION[[Keyword]:[Keyword]], ($E54=CLASSIFICATION[[Keyword Aggr]:[Keyword Aggr]])*($D54=CLASSIFICATION[[Functional Scope Aggr]:[Functional Scope Aggr]])),
_xlpm._platform_keywords, _xlfn.TEXTSPLIT(SUBSTITUTE(SUBSTITUTE(VLOOKUP($D54,_xlpm._platform_range,3,FALSE),"+"&amp;CHAR(34),"+"),CHAR(34),""),", "),
_xlpm._exists, SUMPRODUCT(--ISNUMBER(MATCH(_xlpm._platform_keywords,_xlpm._original_keywords,0)))&gt;0,
_xlfn.IFS(AND(_xlpm._exists,LEFT($E54,1)="+"),"+",_xlpm._exists,"*",NOT(_xlpm._exists),"")
)</f>
        <v>*</v>
      </c>
      <c r="O54" s="33" t="str" cm="1">
        <f t="array" aca="1" ref="O54" ca="1">_xlfn.LET(
_xlpm._platform_range, INDIRECT("'Platform review'!$C"&amp;_xlfn.XMATCH(O$2,'Platform review'!$A$1:$A$127)&amp;":$E"&amp;_xlfn.XMATCH(O$2,'Platform review'!$A$1:$A$127)+19),
_xlpm._original_keywords, _xlfn._xlws.FILTER(CLASSIFICATION[[Keyword]:[Keyword]], ($E54=CLASSIFICATION[[Keyword Aggr]:[Keyword Aggr]])*($D54=CLASSIFICATION[[Functional Scope Aggr]:[Functional Scope Aggr]])),
_xlpm._platform_keywords, _xlfn.TEXTSPLIT(SUBSTITUTE(SUBSTITUTE(VLOOKUP($D54,_xlpm._platform_range,3,FALSE),"+"&amp;CHAR(34),"+"),CHAR(34),""),", "),
_xlpm._exists, SUMPRODUCT(--ISNUMBER(MATCH(_xlpm._platform_keywords,_xlpm._original_keywords,0)))&gt;0,
_xlfn.IFS(AND(_xlpm._exists,LEFT($E54,1)="+"),"+",_xlpm._exists,"*",NOT(_xlpm._exists),"")
)</f>
        <v>*</v>
      </c>
      <c r="Q54" s="33" t="str">
        <f t="shared" si="6"/>
        <v/>
      </c>
      <c r="R54" s="33" t="str">
        <f t="shared" si="7"/>
        <v/>
      </c>
      <c r="S54" s="33" t="str">
        <f t="shared" si="8"/>
        <v/>
      </c>
      <c r="T54" s="33" t="str">
        <f t="shared" si="9"/>
        <v/>
      </c>
      <c r="U54" s="33" t="str">
        <f t="shared" si="10"/>
        <v/>
      </c>
      <c r="V54" s="33" t="str">
        <f t="shared" si="11"/>
        <v/>
      </c>
    </row>
    <row r="55" spans="1:22" x14ac:dyDescent="0.25">
      <c r="A55" s="19" t="str">
        <v>Development,Programming,JSON</v>
      </c>
      <c r="B55" t="s">
        <v>377</v>
      </c>
      <c r="C55" s="19" t="str" cm="1">
        <f t="array" ref="C55:E55">_xlfn.TEXTSPLIT(A55,",")</f>
        <v>Development</v>
      </c>
      <c r="D55" s="19" t="str">
        <v>Programming</v>
      </c>
      <c r="E55" s="19" t="str">
        <v>JSON</v>
      </c>
      <c r="F55" s="36" t="str" cm="1">
        <f t="array" ref="F55">_xlfn.TEXTJOIN(",",TRUE,_xlfn._xlws.FILTER(CLASSIFICATION[Keyword], ($E55=CLASSIFICATION[Keyword Aggr])*($D55=CLASSIFICATION[Functional Scope Aggr])))</f>
        <v>JSON</v>
      </c>
      <c r="G55" s="32" t="str">
        <f t="shared" si="4"/>
        <v/>
      </c>
      <c r="H55" s="32" t="str">
        <f t="shared" si="4"/>
        <v/>
      </c>
      <c r="I55" s="32" t="str">
        <f t="shared" si="12"/>
        <v>JSON</v>
      </c>
      <c r="J55" s="33" t="str" cm="1">
        <f t="array" aca="1" ref="J55" ca="1">_xlfn.LET(
_xlpm._platform_range, INDIRECT("'Platform review'!$C"&amp;_xlfn.XMATCH(J$2,'Platform review'!$A$1:$A$127)&amp;":$E"&amp;_xlfn.XMATCH(J$2,'Platform review'!$A$1:$A$127)+19),
_xlpm._original_keywords, _xlfn._xlws.FILTER(CLASSIFICATION[[Keyword]:[Keyword]], ($E55=CLASSIFICATION[[Keyword Aggr]:[Keyword Aggr]])*($D55=CLASSIFICATION[[Functional Scope Aggr]:[Functional Scope Aggr]])),
_xlpm._platform_keywords, _xlfn.TEXTSPLIT(SUBSTITUTE(SUBSTITUTE(VLOOKUP($D55,_xlpm._platform_range,3,FALSE),"+"&amp;CHAR(34),"+"),CHAR(34),""),", "),
_xlpm._exists, SUMPRODUCT(--ISNUMBER(MATCH(_xlpm._platform_keywords,_xlpm._original_keywords,0)))&gt;0,
_xlfn.IFS(AND(_xlpm._exists,LEFT($E55,1)="+"),"+",_xlpm._exists,"*",NOT(_xlpm._exists),"")
)</f>
        <v/>
      </c>
      <c r="K55" s="33" t="str" cm="1">
        <f t="array" aca="1" ref="K55" ca="1">_xlfn.LET(
_xlpm._platform_range, INDIRECT("'Platform review'!$C"&amp;_xlfn.XMATCH(K$2,'Platform review'!$A$1:$A$127)&amp;":$E"&amp;_xlfn.XMATCH(K$2,'Platform review'!$A$1:$A$127)+19),
_xlpm._original_keywords, _xlfn._xlws.FILTER(CLASSIFICATION[[Keyword]:[Keyword]], ($E55=CLASSIFICATION[[Keyword Aggr]:[Keyword Aggr]])*($D55=CLASSIFICATION[[Functional Scope Aggr]:[Functional Scope Aggr]])),
_xlpm._platform_keywords, _xlfn.TEXTSPLIT(SUBSTITUTE(SUBSTITUTE(VLOOKUP($D55,_xlpm._platform_range,3,FALSE),"+"&amp;CHAR(34),"+"),CHAR(34),""),", "),
_xlpm._exists, SUMPRODUCT(--ISNUMBER(MATCH(_xlpm._platform_keywords,_xlpm._original_keywords,0)))&gt;0,
_xlfn.IFS(AND(_xlpm._exists,LEFT($E55,1)="+"),"+",_xlpm._exists,"*",NOT(_xlpm._exists),"")
)</f>
        <v/>
      </c>
      <c r="L55" s="33" t="str" cm="1">
        <f t="array" aca="1" ref="L55" ca="1">_xlfn.LET(
_xlpm._platform_range, INDIRECT("'Platform review'!$C"&amp;_xlfn.XMATCH(L$2,'Platform review'!$A$1:$A$127)&amp;":$E"&amp;_xlfn.XMATCH(L$2,'Platform review'!$A$1:$A$127)+19),
_xlpm._original_keywords, _xlfn._xlws.FILTER(CLASSIFICATION[[Keyword]:[Keyword]], ($E55=CLASSIFICATION[[Keyword Aggr]:[Keyword Aggr]])*($D55=CLASSIFICATION[[Functional Scope Aggr]:[Functional Scope Aggr]])),
_xlpm._platform_keywords, _xlfn.TEXTSPLIT(SUBSTITUTE(SUBSTITUTE(VLOOKUP($D55,_xlpm._platform_range,3,FALSE),"+"&amp;CHAR(34),"+"),CHAR(34),""),", "),
_xlpm._exists, SUMPRODUCT(--ISNUMBER(MATCH(_xlpm._platform_keywords,_xlpm._original_keywords,0)))&gt;0,
_xlfn.IFS(AND(_xlpm._exists,LEFT($E55,1)="+"),"+",_xlpm._exists,"*",NOT(_xlpm._exists),"")
)</f>
        <v/>
      </c>
      <c r="M55" s="33" t="str" cm="1">
        <f t="array" aca="1" ref="M55" ca="1">_xlfn.LET(
_xlpm._platform_range, INDIRECT("'Platform review'!$C"&amp;_xlfn.XMATCH(M$2,'Platform review'!$A$1:$A$127)&amp;":$E"&amp;_xlfn.XMATCH(M$2,'Platform review'!$A$1:$A$127)+19),
_xlpm._original_keywords, _xlfn._xlws.FILTER(CLASSIFICATION[[Keyword]:[Keyword]], ($E55=CLASSIFICATION[[Keyword Aggr]:[Keyword Aggr]])*($D55=CLASSIFICATION[[Functional Scope Aggr]:[Functional Scope Aggr]])),
_xlpm._platform_keywords, _xlfn.TEXTSPLIT(SUBSTITUTE(SUBSTITUTE(VLOOKUP($D55,_xlpm._platform_range,3,FALSE),"+"&amp;CHAR(34),"+"),CHAR(34),""),", "),
_xlpm._exists, SUMPRODUCT(--ISNUMBER(MATCH(_xlpm._platform_keywords,_xlpm._original_keywords,0)))&gt;0,
_xlfn.IFS(AND(_xlpm._exists,LEFT($E55,1)="+"),"+",_xlpm._exists,"*",NOT(_xlpm._exists),"")
)</f>
        <v/>
      </c>
      <c r="N55" s="33" t="str" cm="1">
        <f t="array" aca="1" ref="N55" ca="1">_xlfn.LET(
_xlpm._platform_range, INDIRECT("'Platform review'!$C"&amp;_xlfn.XMATCH(N$2,'Platform review'!$A$1:$A$127)&amp;":$E"&amp;_xlfn.XMATCH(N$2,'Platform review'!$A$1:$A$127)+19),
_xlpm._original_keywords, _xlfn._xlws.FILTER(CLASSIFICATION[[Keyword]:[Keyword]], ($E55=CLASSIFICATION[[Keyword Aggr]:[Keyword Aggr]])*($D55=CLASSIFICATION[[Functional Scope Aggr]:[Functional Scope Aggr]])),
_xlpm._platform_keywords, _xlfn.TEXTSPLIT(SUBSTITUTE(SUBSTITUTE(VLOOKUP($D55,_xlpm._platform_range,3,FALSE),"+"&amp;CHAR(34),"+"),CHAR(34),""),", "),
_xlpm._exists, SUMPRODUCT(--ISNUMBER(MATCH(_xlpm._platform_keywords,_xlpm._original_keywords,0)))&gt;0,
_xlfn.IFS(AND(_xlpm._exists,LEFT($E55,1)="+"),"+",_xlpm._exists,"*",NOT(_xlpm._exists),"")
)</f>
        <v>*</v>
      </c>
      <c r="O55" s="33" t="str" cm="1">
        <f t="array" aca="1" ref="O55" ca="1">_xlfn.LET(
_xlpm._platform_range, INDIRECT("'Platform review'!$C"&amp;_xlfn.XMATCH(O$2,'Platform review'!$A$1:$A$127)&amp;":$E"&amp;_xlfn.XMATCH(O$2,'Platform review'!$A$1:$A$127)+19),
_xlpm._original_keywords, _xlfn._xlws.FILTER(CLASSIFICATION[[Keyword]:[Keyword]], ($E55=CLASSIFICATION[[Keyword Aggr]:[Keyword Aggr]])*($D55=CLASSIFICATION[[Functional Scope Aggr]:[Functional Scope Aggr]])),
_xlpm._platform_keywords, _xlfn.TEXTSPLIT(SUBSTITUTE(SUBSTITUTE(VLOOKUP($D55,_xlpm._platform_range,3,FALSE),"+"&amp;CHAR(34),"+"),CHAR(34),""),", "),
_xlpm._exists, SUMPRODUCT(--ISNUMBER(MATCH(_xlpm._platform_keywords,_xlpm._original_keywords,0)))&gt;0,
_xlfn.IFS(AND(_xlpm._exists,LEFT($E55,1)="+"),"+",_xlpm._exists,"*",NOT(_xlpm._exists),"")
)</f>
        <v/>
      </c>
      <c r="Q55" s="33" t="str">
        <f t="shared" si="6"/>
        <v/>
      </c>
      <c r="R55" s="33" t="str">
        <f t="shared" si="7"/>
        <v/>
      </c>
      <c r="S55" s="33" t="str">
        <f t="shared" si="8"/>
        <v/>
      </c>
      <c r="T55" s="33" t="str">
        <f t="shared" si="9"/>
        <v/>
      </c>
      <c r="U55" s="33" t="str">
        <f t="shared" si="10"/>
        <v/>
      </c>
      <c r="V55" s="33" t="str">
        <f t="shared" si="11"/>
        <v/>
      </c>
    </row>
    <row r="56" spans="1:22" x14ac:dyDescent="0.25">
      <c r="A56" s="19" t="str">
        <v>Development,Programming,Markup Language</v>
      </c>
      <c r="B56" t="s">
        <v>377</v>
      </c>
      <c r="C56" s="19" t="str" cm="1">
        <f t="array" ref="C56:E56">_xlfn.TEXTSPLIT(A56,",")</f>
        <v>Development</v>
      </c>
      <c r="D56" s="19" t="str">
        <v>Programming</v>
      </c>
      <c r="E56" s="19" t="str">
        <v>Markup Language</v>
      </c>
      <c r="F56" s="36" t="str" cm="1">
        <f t="array" ref="F56">_xlfn.TEXTJOIN(",",TRUE,_xlfn._xlws.FILTER(CLASSIFICATION[Keyword], ($E56=CLASSIFICATION[Keyword Aggr])*($D56=CLASSIFICATION[Functional Scope Aggr])))</f>
        <v>Markup Language</v>
      </c>
      <c r="G56" s="32" t="str">
        <f t="shared" si="4"/>
        <v/>
      </c>
      <c r="H56" s="32" t="str">
        <f t="shared" si="4"/>
        <v/>
      </c>
      <c r="I56" s="32" t="str">
        <f t="shared" si="12"/>
        <v>Markup Language</v>
      </c>
      <c r="J56" s="33" t="str" cm="1">
        <f t="array" aca="1" ref="J56" ca="1">_xlfn.LET(
_xlpm._platform_range, INDIRECT("'Platform review'!$C"&amp;_xlfn.XMATCH(J$2,'Platform review'!$A$1:$A$127)&amp;":$E"&amp;_xlfn.XMATCH(J$2,'Platform review'!$A$1:$A$127)+19),
_xlpm._original_keywords, _xlfn._xlws.FILTER(CLASSIFICATION[[Keyword]:[Keyword]], ($E56=CLASSIFICATION[[Keyword Aggr]:[Keyword Aggr]])*($D56=CLASSIFICATION[[Functional Scope Aggr]:[Functional Scope Aggr]])),
_xlpm._platform_keywords, _xlfn.TEXTSPLIT(SUBSTITUTE(SUBSTITUTE(VLOOKUP($D56,_xlpm._platform_range,3,FALSE),"+"&amp;CHAR(34),"+"),CHAR(34),""),", "),
_xlpm._exists, SUMPRODUCT(--ISNUMBER(MATCH(_xlpm._platform_keywords,_xlpm._original_keywords,0)))&gt;0,
_xlfn.IFS(AND(_xlpm._exists,LEFT($E56,1)="+"),"+",_xlpm._exists,"*",NOT(_xlpm._exists),"")
)</f>
        <v/>
      </c>
      <c r="K56" s="33" t="str" cm="1">
        <f t="array" aca="1" ref="K56" ca="1">_xlfn.LET(
_xlpm._platform_range, INDIRECT("'Platform review'!$C"&amp;_xlfn.XMATCH(K$2,'Platform review'!$A$1:$A$127)&amp;":$E"&amp;_xlfn.XMATCH(K$2,'Platform review'!$A$1:$A$127)+19),
_xlpm._original_keywords, _xlfn._xlws.FILTER(CLASSIFICATION[[Keyword]:[Keyword]], ($E56=CLASSIFICATION[[Keyword Aggr]:[Keyword Aggr]])*($D56=CLASSIFICATION[[Functional Scope Aggr]:[Functional Scope Aggr]])),
_xlpm._platform_keywords, _xlfn.TEXTSPLIT(SUBSTITUTE(SUBSTITUTE(VLOOKUP($D56,_xlpm._platform_range,3,FALSE),"+"&amp;CHAR(34),"+"),CHAR(34),""),", "),
_xlpm._exists, SUMPRODUCT(--ISNUMBER(MATCH(_xlpm._platform_keywords,_xlpm._original_keywords,0)))&gt;0,
_xlfn.IFS(AND(_xlpm._exists,LEFT($E56,1)="+"),"+",_xlpm._exists,"*",NOT(_xlpm._exists),"")
)</f>
        <v/>
      </c>
      <c r="L56" s="33" t="str" cm="1">
        <f t="array" aca="1" ref="L56" ca="1">_xlfn.LET(
_xlpm._platform_range, INDIRECT("'Platform review'!$C"&amp;_xlfn.XMATCH(L$2,'Platform review'!$A$1:$A$127)&amp;":$E"&amp;_xlfn.XMATCH(L$2,'Platform review'!$A$1:$A$127)+19),
_xlpm._original_keywords, _xlfn._xlws.FILTER(CLASSIFICATION[[Keyword]:[Keyword]], ($E56=CLASSIFICATION[[Keyword Aggr]:[Keyword Aggr]])*($D56=CLASSIFICATION[[Functional Scope Aggr]:[Functional Scope Aggr]])),
_xlpm._platform_keywords, _xlfn.TEXTSPLIT(SUBSTITUTE(SUBSTITUTE(VLOOKUP($D56,_xlpm._platform_range,3,FALSE),"+"&amp;CHAR(34),"+"),CHAR(34),""),", "),
_xlpm._exists, SUMPRODUCT(--ISNUMBER(MATCH(_xlpm._platform_keywords,_xlpm._original_keywords,0)))&gt;0,
_xlfn.IFS(AND(_xlpm._exists,LEFT($E56,1)="+"),"+",_xlpm._exists,"*",NOT(_xlpm._exists),"")
)</f>
        <v>*</v>
      </c>
      <c r="M56" s="33" t="str" cm="1">
        <f t="array" aca="1" ref="M56" ca="1">_xlfn.LET(
_xlpm._platform_range, INDIRECT("'Platform review'!$C"&amp;_xlfn.XMATCH(M$2,'Platform review'!$A$1:$A$127)&amp;":$E"&amp;_xlfn.XMATCH(M$2,'Platform review'!$A$1:$A$127)+19),
_xlpm._original_keywords, _xlfn._xlws.FILTER(CLASSIFICATION[[Keyword]:[Keyword]], ($E56=CLASSIFICATION[[Keyword Aggr]:[Keyword Aggr]])*($D56=CLASSIFICATION[[Functional Scope Aggr]:[Functional Scope Aggr]])),
_xlpm._platform_keywords, _xlfn.TEXTSPLIT(SUBSTITUTE(SUBSTITUTE(VLOOKUP($D56,_xlpm._platform_range,3,FALSE),"+"&amp;CHAR(34),"+"),CHAR(34),""),", "),
_xlpm._exists, SUMPRODUCT(--ISNUMBER(MATCH(_xlpm._platform_keywords,_xlpm._original_keywords,0)))&gt;0,
_xlfn.IFS(AND(_xlpm._exists,LEFT($E56,1)="+"),"+",_xlpm._exists,"*",NOT(_xlpm._exists),"")
)</f>
        <v/>
      </c>
      <c r="N56" s="33" t="str" cm="1">
        <f t="array" aca="1" ref="N56" ca="1">_xlfn.LET(
_xlpm._platform_range, INDIRECT("'Platform review'!$C"&amp;_xlfn.XMATCH(N$2,'Platform review'!$A$1:$A$127)&amp;":$E"&amp;_xlfn.XMATCH(N$2,'Platform review'!$A$1:$A$127)+19),
_xlpm._original_keywords, _xlfn._xlws.FILTER(CLASSIFICATION[[Keyword]:[Keyword]], ($E56=CLASSIFICATION[[Keyword Aggr]:[Keyword Aggr]])*($D56=CLASSIFICATION[[Functional Scope Aggr]:[Functional Scope Aggr]])),
_xlpm._platform_keywords, _xlfn.TEXTSPLIT(SUBSTITUTE(SUBSTITUTE(VLOOKUP($D56,_xlpm._platform_range,3,FALSE),"+"&amp;CHAR(34),"+"),CHAR(34),""),", "),
_xlpm._exists, SUMPRODUCT(--ISNUMBER(MATCH(_xlpm._platform_keywords,_xlpm._original_keywords,0)))&gt;0,
_xlfn.IFS(AND(_xlpm._exists,LEFT($E56,1)="+"),"+",_xlpm._exists,"*",NOT(_xlpm._exists),"")
)</f>
        <v/>
      </c>
      <c r="O56" s="33" t="str" cm="1">
        <f t="array" aca="1" ref="O56" ca="1">_xlfn.LET(
_xlpm._platform_range, INDIRECT("'Platform review'!$C"&amp;_xlfn.XMATCH(O$2,'Platform review'!$A$1:$A$127)&amp;":$E"&amp;_xlfn.XMATCH(O$2,'Platform review'!$A$1:$A$127)+19),
_xlpm._original_keywords, _xlfn._xlws.FILTER(CLASSIFICATION[[Keyword]:[Keyword]], ($E56=CLASSIFICATION[[Keyword Aggr]:[Keyword Aggr]])*($D56=CLASSIFICATION[[Functional Scope Aggr]:[Functional Scope Aggr]])),
_xlpm._platform_keywords, _xlfn.TEXTSPLIT(SUBSTITUTE(SUBSTITUTE(VLOOKUP($D56,_xlpm._platform_range,3,FALSE),"+"&amp;CHAR(34),"+"),CHAR(34),""),", "),
_xlpm._exists, SUMPRODUCT(--ISNUMBER(MATCH(_xlpm._platform_keywords,_xlpm._original_keywords,0)))&gt;0,
_xlfn.IFS(AND(_xlpm._exists,LEFT($E56,1)="+"),"+",_xlpm._exists,"*",NOT(_xlpm._exists),"")
)</f>
        <v/>
      </c>
      <c r="Q56" s="33" t="str">
        <f t="shared" si="6"/>
        <v/>
      </c>
      <c r="R56" s="33" t="str">
        <f t="shared" si="7"/>
        <v/>
      </c>
      <c r="S56" s="33" t="str">
        <f t="shared" si="8"/>
        <v/>
      </c>
      <c r="T56" s="33" t="str">
        <f t="shared" si="9"/>
        <v/>
      </c>
      <c r="U56" s="33" t="str">
        <f t="shared" si="10"/>
        <v/>
      </c>
      <c r="V56" s="33" t="str">
        <f t="shared" si="11"/>
        <v/>
      </c>
    </row>
    <row r="57" spans="1:22" x14ac:dyDescent="0.25">
      <c r="A57" s="19" t="str">
        <v>Development,Programming,node.js</v>
      </c>
      <c r="B57" t="s">
        <v>377</v>
      </c>
      <c r="C57" s="19" t="str" cm="1">
        <f t="array" ref="C57:E57">_xlfn.TEXTSPLIT(A57,",")</f>
        <v>Development</v>
      </c>
      <c r="D57" s="19" t="str">
        <v>Programming</v>
      </c>
      <c r="E57" s="19" t="str">
        <v>node.js</v>
      </c>
      <c r="F57" s="36" t="str" cm="1">
        <f t="array" ref="F57">_xlfn.TEXTJOIN(",",TRUE,_xlfn._xlws.FILTER(CLASSIFICATION[Keyword], ($E57=CLASSIFICATION[Keyword Aggr])*($D57=CLASSIFICATION[Functional Scope Aggr])))</f>
        <v>node.js</v>
      </c>
      <c r="G57" s="32" t="str">
        <f t="shared" si="4"/>
        <v/>
      </c>
      <c r="H57" s="32" t="str">
        <f t="shared" si="4"/>
        <v/>
      </c>
      <c r="I57" s="32" t="str">
        <f t="shared" si="12"/>
        <v>node.js</v>
      </c>
      <c r="J57" s="33" t="str" cm="1">
        <f t="array" aca="1" ref="J57" ca="1">_xlfn.LET(
_xlpm._platform_range, INDIRECT("'Platform review'!$C"&amp;_xlfn.XMATCH(J$2,'Platform review'!$A$1:$A$127)&amp;":$E"&amp;_xlfn.XMATCH(J$2,'Platform review'!$A$1:$A$127)+19),
_xlpm._original_keywords, _xlfn._xlws.FILTER(CLASSIFICATION[[Keyword]:[Keyword]], ($E57=CLASSIFICATION[[Keyword Aggr]:[Keyword Aggr]])*($D57=CLASSIFICATION[[Functional Scope Aggr]:[Functional Scope Aggr]])),
_xlpm._platform_keywords, _xlfn.TEXTSPLIT(SUBSTITUTE(SUBSTITUTE(VLOOKUP($D57,_xlpm._platform_range,3,FALSE),"+"&amp;CHAR(34),"+"),CHAR(34),""),", "),
_xlpm._exists, SUMPRODUCT(--ISNUMBER(MATCH(_xlpm._platform_keywords,_xlpm._original_keywords,0)))&gt;0,
_xlfn.IFS(AND(_xlpm._exists,LEFT($E57,1)="+"),"+",_xlpm._exists,"*",NOT(_xlpm._exists),"")
)</f>
        <v/>
      </c>
      <c r="K57" s="33" t="str" cm="1">
        <f t="array" aca="1" ref="K57" ca="1">_xlfn.LET(
_xlpm._platform_range, INDIRECT("'Platform review'!$C"&amp;_xlfn.XMATCH(K$2,'Platform review'!$A$1:$A$127)&amp;":$E"&amp;_xlfn.XMATCH(K$2,'Platform review'!$A$1:$A$127)+19),
_xlpm._original_keywords, _xlfn._xlws.FILTER(CLASSIFICATION[[Keyword]:[Keyword]], ($E57=CLASSIFICATION[[Keyword Aggr]:[Keyword Aggr]])*($D57=CLASSIFICATION[[Functional Scope Aggr]:[Functional Scope Aggr]])),
_xlpm._platform_keywords, _xlfn.TEXTSPLIT(SUBSTITUTE(SUBSTITUTE(VLOOKUP($D57,_xlpm._platform_range,3,FALSE),"+"&amp;CHAR(34),"+"),CHAR(34),""),", "),
_xlpm._exists, SUMPRODUCT(--ISNUMBER(MATCH(_xlpm._platform_keywords,_xlpm._original_keywords,0)))&gt;0,
_xlfn.IFS(AND(_xlpm._exists,LEFT($E57,1)="+"),"+",_xlpm._exists,"*",NOT(_xlpm._exists),"")
)</f>
        <v/>
      </c>
      <c r="L57" s="33" t="str" cm="1">
        <f t="array" aca="1" ref="L57" ca="1">_xlfn.LET(
_xlpm._platform_range, INDIRECT("'Platform review'!$C"&amp;_xlfn.XMATCH(L$2,'Platform review'!$A$1:$A$127)&amp;":$E"&amp;_xlfn.XMATCH(L$2,'Platform review'!$A$1:$A$127)+19),
_xlpm._original_keywords, _xlfn._xlws.FILTER(CLASSIFICATION[[Keyword]:[Keyword]], ($E57=CLASSIFICATION[[Keyword Aggr]:[Keyword Aggr]])*($D57=CLASSIFICATION[[Functional Scope Aggr]:[Functional Scope Aggr]])),
_xlpm._platform_keywords, _xlfn.TEXTSPLIT(SUBSTITUTE(SUBSTITUTE(VLOOKUP($D57,_xlpm._platform_range,3,FALSE),"+"&amp;CHAR(34),"+"),CHAR(34),""),", "),
_xlpm._exists, SUMPRODUCT(--ISNUMBER(MATCH(_xlpm._platform_keywords,_xlpm._original_keywords,0)))&gt;0,
_xlfn.IFS(AND(_xlpm._exists,LEFT($E57,1)="+"),"+",_xlpm._exists,"*",NOT(_xlpm._exists),"")
)</f>
        <v/>
      </c>
      <c r="M57" s="33" t="str" cm="1">
        <f t="array" aca="1" ref="M57" ca="1">_xlfn.LET(
_xlpm._platform_range, INDIRECT("'Platform review'!$C"&amp;_xlfn.XMATCH(M$2,'Platform review'!$A$1:$A$127)&amp;":$E"&amp;_xlfn.XMATCH(M$2,'Platform review'!$A$1:$A$127)+19),
_xlpm._original_keywords, _xlfn._xlws.FILTER(CLASSIFICATION[[Keyword]:[Keyword]], ($E57=CLASSIFICATION[[Keyword Aggr]:[Keyword Aggr]])*($D57=CLASSIFICATION[[Functional Scope Aggr]:[Functional Scope Aggr]])),
_xlpm._platform_keywords, _xlfn.TEXTSPLIT(SUBSTITUTE(SUBSTITUTE(VLOOKUP($D57,_xlpm._platform_range,3,FALSE),"+"&amp;CHAR(34),"+"),CHAR(34),""),", "),
_xlpm._exists, SUMPRODUCT(--ISNUMBER(MATCH(_xlpm._platform_keywords,_xlpm._original_keywords,0)))&gt;0,
_xlfn.IFS(AND(_xlpm._exists,LEFT($E57,1)="+"),"+",_xlpm._exists,"*",NOT(_xlpm._exists),"")
)</f>
        <v>*</v>
      </c>
      <c r="N57" s="33" t="str" cm="1">
        <f t="array" aca="1" ref="N57" ca="1">_xlfn.LET(
_xlpm._platform_range, INDIRECT("'Platform review'!$C"&amp;_xlfn.XMATCH(N$2,'Platform review'!$A$1:$A$127)&amp;":$E"&amp;_xlfn.XMATCH(N$2,'Platform review'!$A$1:$A$127)+19),
_xlpm._original_keywords, _xlfn._xlws.FILTER(CLASSIFICATION[[Keyword]:[Keyword]], ($E57=CLASSIFICATION[[Keyword Aggr]:[Keyword Aggr]])*($D57=CLASSIFICATION[[Functional Scope Aggr]:[Functional Scope Aggr]])),
_xlpm._platform_keywords, _xlfn.TEXTSPLIT(SUBSTITUTE(SUBSTITUTE(VLOOKUP($D57,_xlpm._platform_range,3,FALSE),"+"&amp;CHAR(34),"+"),CHAR(34),""),", "),
_xlpm._exists, SUMPRODUCT(--ISNUMBER(MATCH(_xlpm._platform_keywords,_xlpm._original_keywords,0)))&gt;0,
_xlfn.IFS(AND(_xlpm._exists,LEFT($E57,1)="+"),"+",_xlpm._exists,"*",NOT(_xlpm._exists),"")
)</f>
        <v/>
      </c>
      <c r="O57" s="33" t="str" cm="1">
        <f t="array" aca="1" ref="O57" ca="1">_xlfn.LET(
_xlpm._platform_range, INDIRECT("'Platform review'!$C"&amp;_xlfn.XMATCH(O$2,'Platform review'!$A$1:$A$127)&amp;":$E"&amp;_xlfn.XMATCH(O$2,'Platform review'!$A$1:$A$127)+19),
_xlpm._original_keywords, _xlfn._xlws.FILTER(CLASSIFICATION[[Keyword]:[Keyword]], ($E57=CLASSIFICATION[[Keyword Aggr]:[Keyword Aggr]])*($D57=CLASSIFICATION[[Functional Scope Aggr]:[Functional Scope Aggr]])),
_xlpm._platform_keywords, _xlfn.TEXTSPLIT(SUBSTITUTE(SUBSTITUTE(VLOOKUP($D57,_xlpm._platform_range,3,FALSE),"+"&amp;CHAR(34),"+"),CHAR(34),""),", "),
_xlpm._exists, SUMPRODUCT(--ISNUMBER(MATCH(_xlpm._platform_keywords,_xlpm._original_keywords,0)))&gt;0,
_xlfn.IFS(AND(_xlpm._exists,LEFT($E57,1)="+"),"+",_xlpm._exists,"*",NOT(_xlpm._exists),"")
)</f>
        <v/>
      </c>
      <c r="Q57" s="33" t="str">
        <f t="shared" si="6"/>
        <v/>
      </c>
      <c r="R57" s="33" t="str">
        <f t="shared" si="7"/>
        <v/>
      </c>
      <c r="S57" s="33" t="str">
        <f t="shared" si="8"/>
        <v/>
      </c>
      <c r="T57" s="33" t="str">
        <f t="shared" si="9"/>
        <v/>
      </c>
      <c r="U57" s="33" t="str">
        <f t="shared" si="10"/>
        <v/>
      </c>
      <c r="V57" s="33" t="str">
        <f t="shared" si="11"/>
        <v/>
      </c>
    </row>
    <row r="58" spans="1:22" x14ac:dyDescent="0.25">
      <c r="A58" s="19" t="str">
        <v>Development,Programming,PWA</v>
      </c>
      <c r="B58" t="s">
        <v>377</v>
      </c>
      <c r="C58" s="19" t="str" cm="1">
        <f t="array" ref="C58:E58">_xlfn.TEXTSPLIT(A58,",")</f>
        <v>Development</v>
      </c>
      <c r="D58" s="19" t="str">
        <v>Programming</v>
      </c>
      <c r="E58" s="19" t="str">
        <v>PWA</v>
      </c>
      <c r="F58" s="36" t="str" cm="1">
        <f t="array" ref="F58">_xlfn.TEXTJOIN(",",TRUE,_xlfn._xlws.FILTER(CLASSIFICATION[Keyword], ($E58=CLASSIFICATION[Keyword Aggr])*($D58=CLASSIFICATION[Functional Scope Aggr])))</f>
        <v>PWA</v>
      </c>
      <c r="G58" s="32" t="str">
        <f t="shared" si="4"/>
        <v/>
      </c>
      <c r="H58" s="32" t="str">
        <f t="shared" si="4"/>
        <v/>
      </c>
      <c r="I58" s="32" t="str">
        <f t="shared" si="12"/>
        <v>PWA</v>
      </c>
      <c r="J58" s="33" t="str" cm="1">
        <f t="array" aca="1" ref="J58" ca="1">_xlfn.LET(
_xlpm._platform_range, INDIRECT("'Platform review'!$C"&amp;_xlfn.XMATCH(J$2,'Platform review'!$A$1:$A$127)&amp;":$E"&amp;_xlfn.XMATCH(J$2,'Platform review'!$A$1:$A$127)+19),
_xlpm._original_keywords, _xlfn._xlws.FILTER(CLASSIFICATION[[Keyword]:[Keyword]], ($E58=CLASSIFICATION[[Keyword Aggr]:[Keyword Aggr]])*($D58=CLASSIFICATION[[Functional Scope Aggr]:[Functional Scope Aggr]])),
_xlpm._platform_keywords, _xlfn.TEXTSPLIT(SUBSTITUTE(SUBSTITUTE(VLOOKUP($D58,_xlpm._platform_range,3,FALSE),"+"&amp;CHAR(34),"+"),CHAR(34),""),", "),
_xlpm._exists, SUMPRODUCT(--ISNUMBER(MATCH(_xlpm._platform_keywords,_xlpm._original_keywords,0)))&gt;0,
_xlfn.IFS(AND(_xlpm._exists,LEFT($E58,1)="+"),"+",_xlpm._exists,"*",NOT(_xlpm._exists),"")
)</f>
        <v>*</v>
      </c>
      <c r="K58" s="33" t="str" cm="1">
        <f t="array" aca="1" ref="K58" ca="1">_xlfn.LET(
_xlpm._platform_range, INDIRECT("'Platform review'!$C"&amp;_xlfn.XMATCH(K$2,'Platform review'!$A$1:$A$127)&amp;":$E"&amp;_xlfn.XMATCH(K$2,'Platform review'!$A$1:$A$127)+19),
_xlpm._original_keywords, _xlfn._xlws.FILTER(CLASSIFICATION[[Keyword]:[Keyword]], ($E58=CLASSIFICATION[[Keyword Aggr]:[Keyword Aggr]])*($D58=CLASSIFICATION[[Functional Scope Aggr]:[Functional Scope Aggr]])),
_xlpm._platform_keywords, _xlfn.TEXTSPLIT(SUBSTITUTE(SUBSTITUTE(VLOOKUP($D58,_xlpm._platform_range,3,FALSE),"+"&amp;CHAR(34),"+"),CHAR(34),""),", "),
_xlpm._exists, SUMPRODUCT(--ISNUMBER(MATCH(_xlpm._platform_keywords,_xlpm._original_keywords,0)))&gt;0,
_xlfn.IFS(AND(_xlpm._exists,LEFT($E58,1)="+"),"+",_xlpm._exists,"*",NOT(_xlpm._exists),"")
)</f>
        <v/>
      </c>
      <c r="L58" s="33" t="str" cm="1">
        <f t="array" aca="1" ref="L58" ca="1">_xlfn.LET(
_xlpm._platform_range, INDIRECT("'Platform review'!$C"&amp;_xlfn.XMATCH(L$2,'Platform review'!$A$1:$A$127)&amp;":$E"&amp;_xlfn.XMATCH(L$2,'Platform review'!$A$1:$A$127)+19),
_xlpm._original_keywords, _xlfn._xlws.FILTER(CLASSIFICATION[[Keyword]:[Keyword]], ($E58=CLASSIFICATION[[Keyword Aggr]:[Keyword Aggr]])*($D58=CLASSIFICATION[[Functional Scope Aggr]:[Functional Scope Aggr]])),
_xlpm._platform_keywords, _xlfn.TEXTSPLIT(SUBSTITUTE(SUBSTITUTE(VLOOKUP($D58,_xlpm._platform_range,3,FALSE),"+"&amp;CHAR(34),"+"),CHAR(34),""),", "),
_xlpm._exists, SUMPRODUCT(--ISNUMBER(MATCH(_xlpm._platform_keywords,_xlpm._original_keywords,0)))&gt;0,
_xlfn.IFS(AND(_xlpm._exists,LEFT($E58,1)="+"),"+",_xlpm._exists,"*",NOT(_xlpm._exists),"")
)</f>
        <v/>
      </c>
      <c r="M58" s="33" t="str" cm="1">
        <f t="array" aca="1" ref="M58" ca="1">_xlfn.LET(
_xlpm._platform_range, INDIRECT("'Platform review'!$C"&amp;_xlfn.XMATCH(M$2,'Platform review'!$A$1:$A$127)&amp;":$E"&amp;_xlfn.XMATCH(M$2,'Platform review'!$A$1:$A$127)+19),
_xlpm._original_keywords, _xlfn._xlws.FILTER(CLASSIFICATION[[Keyword]:[Keyword]], ($E58=CLASSIFICATION[[Keyword Aggr]:[Keyword Aggr]])*($D58=CLASSIFICATION[[Functional Scope Aggr]:[Functional Scope Aggr]])),
_xlpm._platform_keywords, _xlfn.TEXTSPLIT(SUBSTITUTE(SUBSTITUTE(VLOOKUP($D58,_xlpm._platform_range,3,FALSE),"+"&amp;CHAR(34),"+"),CHAR(34),""),", "),
_xlpm._exists, SUMPRODUCT(--ISNUMBER(MATCH(_xlpm._platform_keywords,_xlpm._original_keywords,0)))&gt;0,
_xlfn.IFS(AND(_xlpm._exists,LEFT($E58,1)="+"),"+",_xlpm._exists,"*",NOT(_xlpm._exists),"")
)</f>
        <v/>
      </c>
      <c r="N58" s="33" t="str" cm="1">
        <f t="array" aca="1" ref="N58" ca="1">_xlfn.LET(
_xlpm._platform_range, INDIRECT("'Platform review'!$C"&amp;_xlfn.XMATCH(N$2,'Platform review'!$A$1:$A$127)&amp;":$E"&amp;_xlfn.XMATCH(N$2,'Platform review'!$A$1:$A$127)+19),
_xlpm._original_keywords, _xlfn._xlws.FILTER(CLASSIFICATION[[Keyword]:[Keyword]], ($E58=CLASSIFICATION[[Keyword Aggr]:[Keyword Aggr]])*($D58=CLASSIFICATION[[Functional Scope Aggr]:[Functional Scope Aggr]])),
_xlpm._platform_keywords, _xlfn.TEXTSPLIT(SUBSTITUTE(SUBSTITUTE(VLOOKUP($D58,_xlpm._platform_range,3,FALSE),"+"&amp;CHAR(34),"+"),CHAR(34),""),", "),
_xlpm._exists, SUMPRODUCT(--ISNUMBER(MATCH(_xlpm._platform_keywords,_xlpm._original_keywords,0)))&gt;0,
_xlfn.IFS(AND(_xlpm._exists,LEFT($E58,1)="+"),"+",_xlpm._exists,"*",NOT(_xlpm._exists),"")
)</f>
        <v/>
      </c>
      <c r="O58" s="33" t="str" cm="1">
        <f t="array" aca="1" ref="O58" ca="1">_xlfn.LET(
_xlpm._platform_range, INDIRECT("'Platform review'!$C"&amp;_xlfn.XMATCH(O$2,'Platform review'!$A$1:$A$127)&amp;":$E"&amp;_xlfn.XMATCH(O$2,'Platform review'!$A$1:$A$127)+19),
_xlpm._original_keywords, _xlfn._xlws.FILTER(CLASSIFICATION[[Keyword]:[Keyword]], ($E58=CLASSIFICATION[[Keyword Aggr]:[Keyword Aggr]])*($D58=CLASSIFICATION[[Functional Scope Aggr]:[Functional Scope Aggr]])),
_xlpm._platform_keywords, _xlfn.TEXTSPLIT(SUBSTITUTE(SUBSTITUTE(VLOOKUP($D58,_xlpm._platform_range,3,FALSE),"+"&amp;CHAR(34),"+"),CHAR(34),""),", "),
_xlpm._exists, SUMPRODUCT(--ISNUMBER(MATCH(_xlpm._platform_keywords,_xlpm._original_keywords,0)))&gt;0,
_xlfn.IFS(AND(_xlpm._exists,LEFT($E58,1)="+"),"+",_xlpm._exists,"*",NOT(_xlpm._exists),"")
)</f>
        <v/>
      </c>
      <c r="Q58" s="33" t="str">
        <f t="shared" si="6"/>
        <v/>
      </c>
      <c r="R58" s="33" t="str">
        <f t="shared" si="7"/>
        <v/>
      </c>
      <c r="S58" s="33" t="str">
        <f t="shared" si="8"/>
        <v/>
      </c>
      <c r="T58" s="33" t="str">
        <f t="shared" si="9"/>
        <v/>
      </c>
      <c r="U58" s="33" t="str">
        <f t="shared" si="10"/>
        <v/>
      </c>
      <c r="V58" s="33" t="str">
        <f t="shared" si="11"/>
        <v/>
      </c>
    </row>
    <row r="59" spans="1:22" x14ac:dyDescent="0.25">
      <c r="A59" s="19" t="str">
        <v>Development,Programming,Scripts</v>
      </c>
      <c r="B59" t="s">
        <v>377</v>
      </c>
      <c r="C59" s="19" t="str" cm="1">
        <f t="array" ref="C59:E59">_xlfn.TEXTSPLIT(A59,",")</f>
        <v>Development</v>
      </c>
      <c r="D59" s="19" t="str">
        <v>Programming</v>
      </c>
      <c r="E59" s="19" t="str">
        <v>Scripts</v>
      </c>
      <c r="F59" s="36" t="str" cm="1">
        <f t="array" ref="F59">_xlfn.TEXTJOIN(",",TRUE,_xlfn._xlws.FILTER(CLASSIFICATION[Keyword], ($E59=CLASSIFICATION[Keyword Aggr])*($D59=CLASSIFICATION[Functional Scope Aggr])))</f>
        <v>Scripts (Deluge)</v>
      </c>
      <c r="G59" s="32" t="str">
        <f t="shared" si="4"/>
        <v/>
      </c>
      <c r="H59" s="32" t="str">
        <f t="shared" si="4"/>
        <v/>
      </c>
      <c r="I59" s="32" t="str">
        <f t="shared" si="12"/>
        <v>Scripts</v>
      </c>
      <c r="J59" s="33" t="str" cm="1">
        <f t="array" aca="1" ref="J59" ca="1">_xlfn.LET(
_xlpm._platform_range, INDIRECT("'Platform review'!$C"&amp;_xlfn.XMATCH(J$2,'Platform review'!$A$1:$A$127)&amp;":$E"&amp;_xlfn.XMATCH(J$2,'Platform review'!$A$1:$A$127)+19),
_xlpm._original_keywords, _xlfn._xlws.FILTER(CLASSIFICATION[[Keyword]:[Keyword]], ($E59=CLASSIFICATION[[Keyword Aggr]:[Keyword Aggr]])*($D59=CLASSIFICATION[[Functional Scope Aggr]:[Functional Scope Aggr]])),
_xlpm._platform_keywords, _xlfn.TEXTSPLIT(SUBSTITUTE(SUBSTITUTE(VLOOKUP($D59,_xlpm._platform_range,3,FALSE),"+"&amp;CHAR(34),"+"),CHAR(34),""),", "),
_xlpm._exists, SUMPRODUCT(--ISNUMBER(MATCH(_xlpm._platform_keywords,_xlpm._original_keywords,0)))&gt;0,
_xlfn.IFS(AND(_xlpm._exists,LEFT($E59,1)="+"),"+",_xlpm._exists,"*",NOT(_xlpm._exists),"")
)</f>
        <v/>
      </c>
      <c r="K59" s="33" t="str" cm="1">
        <f t="array" aca="1" ref="K59" ca="1">_xlfn.LET(
_xlpm._platform_range, INDIRECT("'Platform review'!$C"&amp;_xlfn.XMATCH(K$2,'Platform review'!$A$1:$A$127)&amp;":$E"&amp;_xlfn.XMATCH(K$2,'Platform review'!$A$1:$A$127)+19),
_xlpm._original_keywords, _xlfn._xlws.FILTER(CLASSIFICATION[[Keyword]:[Keyword]], ($E59=CLASSIFICATION[[Keyword Aggr]:[Keyword Aggr]])*($D59=CLASSIFICATION[[Functional Scope Aggr]:[Functional Scope Aggr]])),
_xlpm._platform_keywords, _xlfn.TEXTSPLIT(SUBSTITUTE(SUBSTITUTE(VLOOKUP($D59,_xlpm._platform_range,3,FALSE),"+"&amp;CHAR(34),"+"),CHAR(34),""),", "),
_xlpm._exists, SUMPRODUCT(--ISNUMBER(MATCH(_xlpm._platform_keywords,_xlpm._original_keywords,0)))&gt;0,
_xlfn.IFS(AND(_xlpm._exists,LEFT($E59,1)="+"),"+",_xlpm._exists,"*",NOT(_xlpm._exists),"")
)</f>
        <v/>
      </c>
      <c r="L59" s="33" t="str" cm="1">
        <f t="array" aca="1" ref="L59" ca="1">_xlfn.LET(
_xlpm._platform_range, INDIRECT("'Platform review'!$C"&amp;_xlfn.XMATCH(L$2,'Platform review'!$A$1:$A$127)&amp;":$E"&amp;_xlfn.XMATCH(L$2,'Platform review'!$A$1:$A$127)+19),
_xlpm._original_keywords, _xlfn._xlws.FILTER(CLASSIFICATION[[Keyword]:[Keyword]], ($E59=CLASSIFICATION[[Keyword Aggr]:[Keyword Aggr]])*($D59=CLASSIFICATION[[Functional Scope Aggr]:[Functional Scope Aggr]])),
_xlpm._platform_keywords, _xlfn.TEXTSPLIT(SUBSTITUTE(SUBSTITUTE(VLOOKUP($D59,_xlpm._platform_range,3,FALSE),"+"&amp;CHAR(34),"+"),CHAR(34),""),", "),
_xlpm._exists, SUMPRODUCT(--ISNUMBER(MATCH(_xlpm._platform_keywords,_xlpm._original_keywords,0)))&gt;0,
_xlfn.IFS(AND(_xlpm._exists,LEFT($E59,1)="+"),"+",_xlpm._exists,"*",NOT(_xlpm._exists),"")
)</f>
        <v>*</v>
      </c>
      <c r="M59" s="33" t="str" cm="1">
        <f t="array" aca="1" ref="M59" ca="1">_xlfn.LET(
_xlpm._platform_range, INDIRECT("'Platform review'!$C"&amp;_xlfn.XMATCH(M$2,'Platform review'!$A$1:$A$127)&amp;":$E"&amp;_xlfn.XMATCH(M$2,'Platform review'!$A$1:$A$127)+19),
_xlpm._original_keywords, _xlfn._xlws.FILTER(CLASSIFICATION[[Keyword]:[Keyword]], ($E59=CLASSIFICATION[[Keyword Aggr]:[Keyword Aggr]])*($D59=CLASSIFICATION[[Functional Scope Aggr]:[Functional Scope Aggr]])),
_xlpm._platform_keywords, _xlfn.TEXTSPLIT(SUBSTITUTE(SUBSTITUTE(VLOOKUP($D59,_xlpm._platform_range,3,FALSE),"+"&amp;CHAR(34),"+"),CHAR(34),""),", "),
_xlpm._exists, SUMPRODUCT(--ISNUMBER(MATCH(_xlpm._platform_keywords,_xlpm._original_keywords,0)))&gt;0,
_xlfn.IFS(AND(_xlpm._exists,LEFT($E59,1)="+"),"+",_xlpm._exists,"*",NOT(_xlpm._exists),"")
)</f>
        <v/>
      </c>
      <c r="N59" s="33" t="str" cm="1">
        <f t="array" aca="1" ref="N59" ca="1">_xlfn.LET(
_xlpm._platform_range, INDIRECT("'Platform review'!$C"&amp;_xlfn.XMATCH(N$2,'Platform review'!$A$1:$A$127)&amp;":$E"&amp;_xlfn.XMATCH(N$2,'Platform review'!$A$1:$A$127)+19),
_xlpm._original_keywords, _xlfn._xlws.FILTER(CLASSIFICATION[[Keyword]:[Keyword]], ($E59=CLASSIFICATION[[Keyword Aggr]:[Keyword Aggr]])*($D59=CLASSIFICATION[[Functional Scope Aggr]:[Functional Scope Aggr]])),
_xlpm._platform_keywords, _xlfn.TEXTSPLIT(SUBSTITUTE(SUBSTITUTE(VLOOKUP($D59,_xlpm._platform_range,3,FALSE),"+"&amp;CHAR(34),"+"),CHAR(34),""),", "),
_xlpm._exists, SUMPRODUCT(--ISNUMBER(MATCH(_xlpm._platform_keywords,_xlpm._original_keywords,0)))&gt;0,
_xlfn.IFS(AND(_xlpm._exists,LEFT($E59,1)="+"),"+",_xlpm._exists,"*",NOT(_xlpm._exists),"")
)</f>
        <v/>
      </c>
      <c r="O59" s="33" t="str" cm="1">
        <f t="array" aca="1" ref="O59" ca="1">_xlfn.LET(
_xlpm._platform_range, INDIRECT("'Platform review'!$C"&amp;_xlfn.XMATCH(O$2,'Platform review'!$A$1:$A$127)&amp;":$E"&amp;_xlfn.XMATCH(O$2,'Platform review'!$A$1:$A$127)+19),
_xlpm._original_keywords, _xlfn._xlws.FILTER(CLASSIFICATION[[Keyword]:[Keyword]], ($E59=CLASSIFICATION[[Keyword Aggr]:[Keyword Aggr]])*($D59=CLASSIFICATION[[Functional Scope Aggr]:[Functional Scope Aggr]])),
_xlpm._platform_keywords, _xlfn.TEXTSPLIT(SUBSTITUTE(SUBSTITUTE(VLOOKUP($D59,_xlpm._platform_range,3,FALSE),"+"&amp;CHAR(34),"+"),CHAR(34),""),", "),
_xlpm._exists, SUMPRODUCT(--ISNUMBER(MATCH(_xlpm._platform_keywords,_xlpm._original_keywords,0)))&gt;0,
_xlfn.IFS(AND(_xlpm._exists,LEFT($E59,1)="+"),"+",_xlpm._exists,"*",NOT(_xlpm._exists),"")
)</f>
        <v/>
      </c>
      <c r="Q59" s="33" t="str">
        <f t="shared" si="6"/>
        <v/>
      </c>
      <c r="R59" s="33" t="str">
        <f t="shared" si="7"/>
        <v/>
      </c>
      <c r="S59" s="33" t="str">
        <f t="shared" si="8"/>
        <v/>
      </c>
      <c r="T59" s="33" t="str">
        <f t="shared" si="9"/>
        <v/>
      </c>
      <c r="U59" s="33" t="str">
        <f t="shared" si="10"/>
        <v/>
      </c>
      <c r="V59" s="33" t="str">
        <f t="shared" si="11"/>
        <v/>
      </c>
    </row>
    <row r="60" spans="1:22" x14ac:dyDescent="0.25">
      <c r="A60" s="19" t="str">
        <v>Development,Programming,Snippets</v>
      </c>
      <c r="B60" t="s">
        <v>377</v>
      </c>
      <c r="C60" s="19" t="str" cm="1">
        <f t="array" ref="C60:E60">_xlfn.TEXTSPLIT(A60,",")</f>
        <v>Development</v>
      </c>
      <c r="D60" s="19" t="str">
        <v>Programming</v>
      </c>
      <c r="E60" s="19" t="str">
        <v>Snippets</v>
      </c>
      <c r="F60" s="36" t="str" cm="1">
        <f t="array" ref="F60">_xlfn.TEXTJOIN(",",TRUE,_xlfn._xlws.FILTER(CLASSIFICATION[Keyword], ($E60=CLASSIFICATION[Keyword Aggr])*($D60=CLASSIFICATION[Functional Scope Aggr])))</f>
        <v>Snippets (ZML)</v>
      </c>
      <c r="G60" s="32" t="str">
        <f t="shared" si="4"/>
        <v/>
      </c>
      <c r="H60" s="32" t="str">
        <f t="shared" si="4"/>
        <v/>
      </c>
      <c r="I60" s="32" t="str">
        <f t="shared" si="12"/>
        <v>Snippets</v>
      </c>
      <c r="J60" s="33" t="str" cm="1">
        <f t="array" aca="1" ref="J60" ca="1">_xlfn.LET(
_xlpm._platform_range, INDIRECT("'Platform review'!$C"&amp;_xlfn.XMATCH(J$2,'Platform review'!$A$1:$A$127)&amp;":$E"&amp;_xlfn.XMATCH(J$2,'Platform review'!$A$1:$A$127)+19),
_xlpm._original_keywords, _xlfn._xlws.FILTER(CLASSIFICATION[[Keyword]:[Keyword]], ($E60=CLASSIFICATION[[Keyword Aggr]:[Keyword Aggr]])*($D60=CLASSIFICATION[[Functional Scope Aggr]:[Functional Scope Aggr]])),
_xlpm._platform_keywords, _xlfn.TEXTSPLIT(SUBSTITUTE(SUBSTITUTE(VLOOKUP($D60,_xlpm._platform_range,3,FALSE),"+"&amp;CHAR(34),"+"),CHAR(34),""),", "),
_xlpm._exists, SUMPRODUCT(--ISNUMBER(MATCH(_xlpm._platform_keywords,_xlpm._original_keywords,0)))&gt;0,
_xlfn.IFS(AND(_xlpm._exists,LEFT($E60,1)="+"),"+",_xlpm._exists,"*",NOT(_xlpm._exists),"")
)</f>
        <v/>
      </c>
      <c r="K60" s="33" t="str" cm="1">
        <f t="array" aca="1" ref="K60" ca="1">_xlfn.LET(
_xlpm._platform_range, INDIRECT("'Platform review'!$C"&amp;_xlfn.XMATCH(K$2,'Platform review'!$A$1:$A$127)&amp;":$E"&amp;_xlfn.XMATCH(K$2,'Platform review'!$A$1:$A$127)+19),
_xlpm._original_keywords, _xlfn._xlws.FILTER(CLASSIFICATION[[Keyword]:[Keyword]], ($E60=CLASSIFICATION[[Keyword Aggr]:[Keyword Aggr]])*($D60=CLASSIFICATION[[Functional Scope Aggr]:[Functional Scope Aggr]])),
_xlpm._platform_keywords, _xlfn.TEXTSPLIT(SUBSTITUTE(SUBSTITUTE(VLOOKUP($D60,_xlpm._platform_range,3,FALSE),"+"&amp;CHAR(34),"+"),CHAR(34),""),", "),
_xlpm._exists, SUMPRODUCT(--ISNUMBER(MATCH(_xlpm._platform_keywords,_xlpm._original_keywords,0)))&gt;0,
_xlfn.IFS(AND(_xlpm._exists,LEFT($E60,1)="+"),"+",_xlpm._exists,"*",NOT(_xlpm._exists),"")
)</f>
        <v/>
      </c>
      <c r="L60" s="33" t="str" cm="1">
        <f t="array" aca="1" ref="L60" ca="1">_xlfn.LET(
_xlpm._platform_range, INDIRECT("'Platform review'!$C"&amp;_xlfn.XMATCH(L$2,'Platform review'!$A$1:$A$127)&amp;":$E"&amp;_xlfn.XMATCH(L$2,'Platform review'!$A$1:$A$127)+19),
_xlpm._original_keywords, _xlfn._xlws.FILTER(CLASSIFICATION[[Keyword]:[Keyword]], ($E60=CLASSIFICATION[[Keyword Aggr]:[Keyword Aggr]])*($D60=CLASSIFICATION[[Functional Scope Aggr]:[Functional Scope Aggr]])),
_xlpm._platform_keywords, _xlfn.TEXTSPLIT(SUBSTITUTE(SUBSTITUTE(VLOOKUP($D60,_xlpm._platform_range,3,FALSE),"+"&amp;CHAR(34),"+"),CHAR(34),""),", "),
_xlpm._exists, SUMPRODUCT(--ISNUMBER(MATCH(_xlpm._platform_keywords,_xlpm._original_keywords,0)))&gt;0,
_xlfn.IFS(AND(_xlpm._exists,LEFT($E60,1)="+"),"+",_xlpm._exists,"*",NOT(_xlpm._exists),"")
)</f>
        <v>*</v>
      </c>
      <c r="M60" s="33" t="str" cm="1">
        <f t="array" aca="1" ref="M60" ca="1">_xlfn.LET(
_xlpm._platform_range, INDIRECT("'Platform review'!$C"&amp;_xlfn.XMATCH(M$2,'Platform review'!$A$1:$A$127)&amp;":$E"&amp;_xlfn.XMATCH(M$2,'Platform review'!$A$1:$A$127)+19),
_xlpm._original_keywords, _xlfn._xlws.FILTER(CLASSIFICATION[[Keyword]:[Keyword]], ($E60=CLASSIFICATION[[Keyword Aggr]:[Keyword Aggr]])*($D60=CLASSIFICATION[[Functional Scope Aggr]:[Functional Scope Aggr]])),
_xlpm._platform_keywords, _xlfn.TEXTSPLIT(SUBSTITUTE(SUBSTITUTE(VLOOKUP($D60,_xlpm._platform_range,3,FALSE),"+"&amp;CHAR(34),"+"),CHAR(34),""),", "),
_xlpm._exists, SUMPRODUCT(--ISNUMBER(MATCH(_xlpm._platform_keywords,_xlpm._original_keywords,0)))&gt;0,
_xlfn.IFS(AND(_xlpm._exists,LEFT($E60,1)="+"),"+",_xlpm._exists,"*",NOT(_xlpm._exists),"")
)</f>
        <v/>
      </c>
      <c r="N60" s="33" t="str" cm="1">
        <f t="array" aca="1" ref="N60" ca="1">_xlfn.LET(
_xlpm._platform_range, INDIRECT("'Platform review'!$C"&amp;_xlfn.XMATCH(N$2,'Platform review'!$A$1:$A$127)&amp;":$E"&amp;_xlfn.XMATCH(N$2,'Platform review'!$A$1:$A$127)+19),
_xlpm._original_keywords, _xlfn._xlws.FILTER(CLASSIFICATION[[Keyword]:[Keyword]], ($E60=CLASSIFICATION[[Keyword Aggr]:[Keyword Aggr]])*($D60=CLASSIFICATION[[Functional Scope Aggr]:[Functional Scope Aggr]])),
_xlpm._platform_keywords, _xlfn.TEXTSPLIT(SUBSTITUTE(SUBSTITUTE(VLOOKUP($D60,_xlpm._platform_range,3,FALSE),"+"&amp;CHAR(34),"+"),CHAR(34),""),", "),
_xlpm._exists, SUMPRODUCT(--ISNUMBER(MATCH(_xlpm._platform_keywords,_xlpm._original_keywords,0)))&gt;0,
_xlfn.IFS(AND(_xlpm._exists,LEFT($E60,1)="+"),"+",_xlpm._exists,"*",NOT(_xlpm._exists),"")
)</f>
        <v/>
      </c>
      <c r="O60" s="33" t="str" cm="1">
        <f t="array" aca="1" ref="O60" ca="1">_xlfn.LET(
_xlpm._platform_range, INDIRECT("'Platform review'!$C"&amp;_xlfn.XMATCH(O$2,'Platform review'!$A$1:$A$127)&amp;":$E"&amp;_xlfn.XMATCH(O$2,'Platform review'!$A$1:$A$127)+19),
_xlpm._original_keywords, _xlfn._xlws.FILTER(CLASSIFICATION[[Keyword]:[Keyword]], ($E60=CLASSIFICATION[[Keyword Aggr]:[Keyword Aggr]])*($D60=CLASSIFICATION[[Functional Scope Aggr]:[Functional Scope Aggr]])),
_xlpm._platform_keywords, _xlfn.TEXTSPLIT(SUBSTITUTE(SUBSTITUTE(VLOOKUP($D60,_xlpm._platform_range,3,FALSE),"+"&amp;CHAR(34),"+"),CHAR(34),""),", "),
_xlpm._exists, SUMPRODUCT(--ISNUMBER(MATCH(_xlpm._platform_keywords,_xlpm._original_keywords,0)))&gt;0,
_xlfn.IFS(AND(_xlpm._exists,LEFT($E60,1)="+"),"+",_xlpm._exists,"*",NOT(_xlpm._exists),"")
)</f>
        <v/>
      </c>
      <c r="Q60" s="33" t="str">
        <f t="shared" si="6"/>
        <v/>
      </c>
      <c r="R60" s="33" t="str">
        <f t="shared" si="7"/>
        <v/>
      </c>
      <c r="S60" s="33" t="str">
        <f t="shared" si="8"/>
        <v/>
      </c>
      <c r="T60" s="33" t="str">
        <f t="shared" si="9"/>
        <v/>
      </c>
      <c r="U60" s="33" t="str">
        <f t="shared" si="10"/>
        <v/>
      </c>
      <c r="V60" s="33" t="str">
        <f t="shared" si="11"/>
        <v/>
      </c>
    </row>
    <row r="61" spans="1:22" x14ac:dyDescent="0.25">
      <c r="A61" s="19" t="str">
        <v>Development,Programming,TypeScript</v>
      </c>
      <c r="B61" t="s">
        <v>377</v>
      </c>
      <c r="C61" s="19" t="str" cm="1">
        <f t="array" ref="C61:E61">_xlfn.TEXTSPLIT(A61,",")</f>
        <v>Development</v>
      </c>
      <c r="D61" s="19" t="str">
        <v>Programming</v>
      </c>
      <c r="E61" s="19" t="str">
        <v>TypeScript</v>
      </c>
      <c r="F61" s="36" t="str" cm="1">
        <f t="array" ref="F61">_xlfn.TEXTJOIN(",",TRUE,_xlfn._xlws.FILTER(CLASSIFICATION[Keyword], ($E61=CLASSIFICATION[Keyword Aggr])*($D61=CLASSIFICATION[Functional Scope Aggr])))</f>
        <v>TypeScript</v>
      </c>
      <c r="G61" s="32" t="str">
        <f t="shared" si="4"/>
        <v/>
      </c>
      <c r="H61" s="32" t="str">
        <f t="shared" si="4"/>
        <v/>
      </c>
      <c r="I61" s="32" t="str">
        <f t="shared" si="12"/>
        <v>TypeScript</v>
      </c>
      <c r="J61" s="33" t="str" cm="1">
        <f t="array" aca="1" ref="J61" ca="1">_xlfn.LET(
_xlpm._platform_range, INDIRECT("'Platform review'!$C"&amp;_xlfn.XMATCH(J$2,'Platform review'!$A$1:$A$127)&amp;":$E"&amp;_xlfn.XMATCH(J$2,'Platform review'!$A$1:$A$127)+19),
_xlpm._original_keywords, _xlfn._xlws.FILTER(CLASSIFICATION[[Keyword]:[Keyword]], ($E61=CLASSIFICATION[[Keyword Aggr]:[Keyword Aggr]])*($D61=CLASSIFICATION[[Functional Scope Aggr]:[Functional Scope Aggr]])),
_xlpm._platform_keywords, _xlfn.TEXTSPLIT(SUBSTITUTE(SUBSTITUTE(VLOOKUP($D61,_xlpm._platform_range,3,FALSE),"+"&amp;CHAR(34),"+"),CHAR(34),""),", "),
_xlpm._exists, SUMPRODUCT(--ISNUMBER(MATCH(_xlpm._platform_keywords,_xlpm._original_keywords,0)))&gt;0,
_xlfn.IFS(AND(_xlpm._exists,LEFT($E61,1)="+"),"+",_xlpm._exists,"*",NOT(_xlpm._exists),"")
)</f>
        <v/>
      </c>
      <c r="K61" s="33" t="str" cm="1">
        <f t="array" aca="1" ref="K61" ca="1">_xlfn.LET(
_xlpm._platform_range, INDIRECT("'Platform review'!$C"&amp;_xlfn.XMATCH(K$2,'Platform review'!$A$1:$A$127)&amp;":$E"&amp;_xlfn.XMATCH(K$2,'Platform review'!$A$1:$A$127)+19),
_xlpm._original_keywords, _xlfn._xlws.FILTER(CLASSIFICATION[[Keyword]:[Keyword]], ($E61=CLASSIFICATION[[Keyword Aggr]:[Keyword Aggr]])*($D61=CLASSIFICATION[[Functional Scope Aggr]:[Functional Scope Aggr]])),
_xlpm._platform_keywords, _xlfn.TEXTSPLIT(SUBSTITUTE(SUBSTITUTE(VLOOKUP($D61,_xlpm._platform_range,3,FALSE),"+"&amp;CHAR(34),"+"),CHAR(34),""),", "),
_xlpm._exists, SUMPRODUCT(--ISNUMBER(MATCH(_xlpm._platform_keywords,_xlpm._original_keywords,0)))&gt;0,
_xlfn.IFS(AND(_xlpm._exists,LEFT($E61,1)="+"),"+",_xlpm._exists,"*",NOT(_xlpm._exists),"")
)</f>
        <v/>
      </c>
      <c r="L61" s="33" t="str" cm="1">
        <f t="array" aca="1" ref="L61" ca="1">_xlfn.LET(
_xlpm._platform_range, INDIRECT("'Platform review'!$C"&amp;_xlfn.XMATCH(L$2,'Platform review'!$A$1:$A$127)&amp;":$E"&amp;_xlfn.XMATCH(L$2,'Platform review'!$A$1:$A$127)+19),
_xlpm._original_keywords, _xlfn._xlws.FILTER(CLASSIFICATION[[Keyword]:[Keyword]], ($E61=CLASSIFICATION[[Keyword Aggr]:[Keyword Aggr]])*($D61=CLASSIFICATION[[Functional Scope Aggr]:[Functional Scope Aggr]])),
_xlpm._platform_keywords, _xlfn.TEXTSPLIT(SUBSTITUTE(SUBSTITUTE(VLOOKUP($D61,_xlpm._platform_range,3,FALSE),"+"&amp;CHAR(34),"+"),CHAR(34),""),", "),
_xlpm._exists, SUMPRODUCT(--ISNUMBER(MATCH(_xlpm._platform_keywords,_xlpm._original_keywords,0)))&gt;0,
_xlfn.IFS(AND(_xlpm._exists,LEFT($E61,1)="+"),"+",_xlpm._exists,"*",NOT(_xlpm._exists),"")
)</f>
        <v/>
      </c>
      <c r="M61" s="33" t="str" cm="1">
        <f t="array" aca="1" ref="M61" ca="1">_xlfn.LET(
_xlpm._platform_range, INDIRECT("'Platform review'!$C"&amp;_xlfn.XMATCH(M$2,'Platform review'!$A$1:$A$127)&amp;":$E"&amp;_xlfn.XMATCH(M$2,'Platform review'!$A$1:$A$127)+19),
_xlpm._original_keywords, _xlfn._xlws.FILTER(CLASSIFICATION[[Keyword]:[Keyword]], ($E61=CLASSIFICATION[[Keyword Aggr]:[Keyword Aggr]])*($D61=CLASSIFICATION[[Functional Scope Aggr]:[Functional Scope Aggr]])),
_xlpm._platform_keywords, _xlfn.TEXTSPLIT(SUBSTITUTE(SUBSTITUTE(VLOOKUP($D61,_xlpm._platform_range,3,FALSE),"+"&amp;CHAR(34),"+"),CHAR(34),""),", "),
_xlpm._exists, SUMPRODUCT(--ISNUMBER(MATCH(_xlpm._platform_keywords,_xlpm._original_keywords,0)))&gt;0,
_xlfn.IFS(AND(_xlpm._exists,LEFT($E61,1)="+"),"+",_xlpm._exists,"*",NOT(_xlpm._exists),"")
)</f>
        <v>*</v>
      </c>
      <c r="N61" s="33" t="str" cm="1">
        <f t="array" aca="1" ref="N61" ca="1">_xlfn.LET(
_xlpm._platform_range, INDIRECT("'Platform review'!$C"&amp;_xlfn.XMATCH(N$2,'Platform review'!$A$1:$A$127)&amp;":$E"&amp;_xlfn.XMATCH(N$2,'Platform review'!$A$1:$A$127)+19),
_xlpm._original_keywords, _xlfn._xlws.FILTER(CLASSIFICATION[[Keyword]:[Keyword]], ($E61=CLASSIFICATION[[Keyword Aggr]:[Keyword Aggr]])*($D61=CLASSIFICATION[[Functional Scope Aggr]:[Functional Scope Aggr]])),
_xlpm._platform_keywords, _xlfn.TEXTSPLIT(SUBSTITUTE(SUBSTITUTE(VLOOKUP($D61,_xlpm._platform_range,3,FALSE),"+"&amp;CHAR(34),"+"),CHAR(34),""),", "),
_xlpm._exists, SUMPRODUCT(--ISNUMBER(MATCH(_xlpm._platform_keywords,_xlpm._original_keywords,0)))&gt;0,
_xlfn.IFS(AND(_xlpm._exists,LEFT($E61,1)="+"),"+",_xlpm._exists,"*",NOT(_xlpm._exists),"")
)</f>
        <v/>
      </c>
      <c r="O61" s="33" t="str" cm="1">
        <f t="array" aca="1" ref="O61" ca="1">_xlfn.LET(
_xlpm._platform_range, INDIRECT("'Platform review'!$C"&amp;_xlfn.XMATCH(O$2,'Platform review'!$A$1:$A$127)&amp;":$E"&amp;_xlfn.XMATCH(O$2,'Platform review'!$A$1:$A$127)+19),
_xlpm._original_keywords, _xlfn._xlws.FILTER(CLASSIFICATION[[Keyword]:[Keyword]], ($E61=CLASSIFICATION[[Keyword Aggr]:[Keyword Aggr]])*($D61=CLASSIFICATION[[Functional Scope Aggr]:[Functional Scope Aggr]])),
_xlpm._platform_keywords, _xlfn.TEXTSPLIT(SUBSTITUTE(SUBSTITUTE(VLOOKUP($D61,_xlpm._platform_range,3,FALSE),"+"&amp;CHAR(34),"+"),CHAR(34),""),", "),
_xlpm._exists, SUMPRODUCT(--ISNUMBER(MATCH(_xlpm._platform_keywords,_xlpm._original_keywords,0)))&gt;0,
_xlfn.IFS(AND(_xlpm._exists,LEFT($E61,1)="+"),"+",_xlpm._exists,"*",NOT(_xlpm._exists),"")
)</f>
        <v/>
      </c>
      <c r="Q61" s="33" t="str">
        <f t="shared" si="6"/>
        <v/>
      </c>
      <c r="R61" s="33" t="str">
        <f t="shared" si="7"/>
        <v/>
      </c>
      <c r="S61" s="33" t="str">
        <f t="shared" si="8"/>
        <v/>
      </c>
      <c r="T61" s="33" t="str">
        <f t="shared" si="9"/>
        <v/>
      </c>
      <c r="U61" s="33" t="str">
        <f t="shared" si="10"/>
        <v/>
      </c>
      <c r="V61" s="33" t="str">
        <f t="shared" si="11"/>
        <v/>
      </c>
    </row>
    <row r="62" spans="1:22" x14ac:dyDescent="0.25">
      <c r="A62" s="19" t="str">
        <v>Development,Programming,Web API</v>
      </c>
      <c r="B62" t="s">
        <v>377</v>
      </c>
      <c r="C62" s="19" t="str" cm="1">
        <f t="array" ref="C62:E62">_xlfn.TEXTSPLIT(A62,",")</f>
        <v>Development</v>
      </c>
      <c r="D62" s="19" t="str">
        <v>Programming</v>
      </c>
      <c r="E62" s="19" t="str">
        <v>Web API</v>
      </c>
      <c r="F62" s="36" t="str" cm="1">
        <f t="array" ref="F62">_xlfn.TEXTJOIN(",",TRUE,_xlfn._xlws.FILTER(CLASSIFICATION[Keyword], ($E62=CLASSIFICATION[Keyword Aggr])*($D62=CLASSIFICATION[Functional Scope Aggr])))</f>
        <v>Web API,Web API (AppSheet API)</v>
      </c>
      <c r="G62" s="32" t="str">
        <f t="shared" si="4"/>
        <v/>
      </c>
      <c r="H62" s="32" t="str">
        <f t="shared" si="4"/>
        <v/>
      </c>
      <c r="I62" s="32" t="str">
        <f t="shared" si="12"/>
        <v>Web API</v>
      </c>
      <c r="J62" s="33" t="str" cm="1">
        <f t="array" aca="1" ref="J62" ca="1">_xlfn.LET(
_xlpm._platform_range, INDIRECT("'Platform review'!$C"&amp;_xlfn.XMATCH(J$2,'Platform review'!$A$1:$A$127)&amp;":$E"&amp;_xlfn.XMATCH(J$2,'Platform review'!$A$1:$A$127)+19),
_xlpm._original_keywords, _xlfn._xlws.FILTER(CLASSIFICATION[[Keyword]:[Keyword]], ($E62=CLASSIFICATION[[Keyword Aggr]:[Keyword Aggr]])*($D62=CLASSIFICATION[[Functional Scope Aggr]:[Functional Scope Aggr]])),
_xlpm._platform_keywords, _xlfn.TEXTSPLIT(SUBSTITUTE(SUBSTITUTE(VLOOKUP($D62,_xlpm._platform_range,3,FALSE),"+"&amp;CHAR(34),"+"),CHAR(34),""),", "),
_xlpm._exists, SUMPRODUCT(--ISNUMBER(MATCH(_xlpm._platform_keywords,_xlpm._original_keywords,0)))&gt;0,
_xlfn.IFS(AND(_xlpm._exists,LEFT($E62,1)="+"),"+",_xlpm._exists,"*",NOT(_xlpm._exists),"")
)</f>
        <v/>
      </c>
      <c r="K62" s="33" t="str" cm="1">
        <f t="array" aca="1" ref="K62" ca="1">_xlfn.LET(
_xlpm._platform_range, INDIRECT("'Platform review'!$C"&amp;_xlfn.XMATCH(K$2,'Platform review'!$A$1:$A$127)&amp;":$E"&amp;_xlfn.XMATCH(K$2,'Platform review'!$A$1:$A$127)+19),
_xlpm._original_keywords, _xlfn._xlws.FILTER(CLASSIFICATION[[Keyword]:[Keyword]], ($E62=CLASSIFICATION[[Keyword Aggr]:[Keyword Aggr]])*($D62=CLASSIFICATION[[Functional Scope Aggr]:[Functional Scope Aggr]])),
_xlpm._platform_keywords, _xlfn.TEXTSPLIT(SUBSTITUTE(SUBSTITUTE(VLOOKUP($D62,_xlpm._platform_range,3,FALSE),"+"&amp;CHAR(34),"+"),CHAR(34),""),", "),
_xlpm._exists, SUMPRODUCT(--ISNUMBER(MATCH(_xlpm._platform_keywords,_xlpm._original_keywords,0)))&gt;0,
_xlfn.IFS(AND(_xlpm._exists,LEFT($E62,1)="+"),"+",_xlpm._exists,"*",NOT(_xlpm._exists),"")
)</f>
        <v/>
      </c>
      <c r="L62" s="33" t="str" cm="1">
        <f t="array" aca="1" ref="L62" ca="1">_xlfn.LET(
_xlpm._platform_range, INDIRECT("'Platform review'!$C"&amp;_xlfn.XMATCH(L$2,'Platform review'!$A$1:$A$127)&amp;":$E"&amp;_xlfn.XMATCH(L$2,'Platform review'!$A$1:$A$127)+19),
_xlpm._original_keywords, _xlfn._xlws.FILTER(CLASSIFICATION[[Keyword]:[Keyword]], ($E62=CLASSIFICATION[[Keyword Aggr]:[Keyword Aggr]])*($D62=CLASSIFICATION[[Functional Scope Aggr]:[Functional Scope Aggr]])),
_xlpm._platform_keywords, _xlfn.TEXTSPLIT(SUBSTITUTE(SUBSTITUTE(VLOOKUP($D62,_xlpm._platform_range,3,FALSE),"+"&amp;CHAR(34),"+"),CHAR(34),""),", "),
_xlpm._exists, SUMPRODUCT(--ISNUMBER(MATCH(_xlpm._platform_keywords,_xlpm._original_keywords,0)))&gt;0,
_xlfn.IFS(AND(_xlpm._exists,LEFT($E62,1)="+"),"+",_xlpm._exists,"*",NOT(_xlpm._exists),"")
)</f>
        <v/>
      </c>
      <c r="M62" s="33" t="str" cm="1">
        <f t="array" aca="1" ref="M62" ca="1">_xlfn.LET(
_xlpm._platform_range, INDIRECT("'Platform review'!$C"&amp;_xlfn.XMATCH(M$2,'Platform review'!$A$1:$A$127)&amp;":$E"&amp;_xlfn.XMATCH(M$2,'Platform review'!$A$1:$A$127)+19),
_xlpm._original_keywords, _xlfn._xlws.FILTER(CLASSIFICATION[[Keyword]:[Keyword]], ($E62=CLASSIFICATION[[Keyword Aggr]:[Keyword Aggr]])*($D62=CLASSIFICATION[[Functional Scope Aggr]:[Functional Scope Aggr]])),
_xlpm._platform_keywords, _xlfn.TEXTSPLIT(SUBSTITUTE(SUBSTITUTE(VLOOKUP($D62,_xlpm._platform_range,3,FALSE),"+"&amp;CHAR(34),"+"),CHAR(34),""),", "),
_xlpm._exists, SUMPRODUCT(--ISNUMBER(MATCH(_xlpm._platform_keywords,_xlpm._original_keywords,0)))&gt;0,
_xlfn.IFS(AND(_xlpm._exists,LEFT($E62,1)="+"),"+",_xlpm._exists,"*",NOT(_xlpm._exists),"")
)</f>
        <v>*</v>
      </c>
      <c r="N62" s="33" t="str" cm="1">
        <f t="array" aca="1" ref="N62" ca="1">_xlfn.LET(
_xlpm._platform_range, INDIRECT("'Platform review'!$C"&amp;_xlfn.XMATCH(N$2,'Platform review'!$A$1:$A$127)&amp;":$E"&amp;_xlfn.XMATCH(N$2,'Platform review'!$A$1:$A$127)+19),
_xlpm._original_keywords, _xlfn._xlws.FILTER(CLASSIFICATION[[Keyword]:[Keyword]], ($E62=CLASSIFICATION[[Keyword Aggr]:[Keyword Aggr]])*($D62=CLASSIFICATION[[Functional Scope Aggr]:[Functional Scope Aggr]])),
_xlpm._platform_keywords, _xlfn.TEXTSPLIT(SUBSTITUTE(SUBSTITUTE(VLOOKUP($D62,_xlpm._platform_range,3,FALSE),"+"&amp;CHAR(34),"+"),CHAR(34),""),", "),
_xlpm._exists, SUMPRODUCT(--ISNUMBER(MATCH(_xlpm._platform_keywords,_xlpm._original_keywords,0)))&gt;0,
_xlfn.IFS(AND(_xlpm._exists,LEFT($E62,1)="+"),"+",_xlpm._exists,"*",NOT(_xlpm._exists),"")
)</f>
        <v>*</v>
      </c>
      <c r="O62" s="33" t="str" cm="1">
        <f t="array" aca="1" ref="O62" ca="1">_xlfn.LET(
_xlpm._platform_range, INDIRECT("'Platform review'!$C"&amp;_xlfn.XMATCH(O$2,'Platform review'!$A$1:$A$127)&amp;":$E"&amp;_xlfn.XMATCH(O$2,'Platform review'!$A$1:$A$127)+19),
_xlpm._original_keywords, _xlfn._xlws.FILTER(CLASSIFICATION[[Keyword]:[Keyword]], ($E62=CLASSIFICATION[[Keyword Aggr]:[Keyword Aggr]])*($D62=CLASSIFICATION[[Functional Scope Aggr]:[Functional Scope Aggr]])),
_xlpm._platform_keywords, _xlfn.TEXTSPLIT(SUBSTITUTE(SUBSTITUTE(VLOOKUP($D62,_xlpm._platform_range,3,FALSE),"+"&amp;CHAR(34),"+"),CHAR(34),""),", "),
_xlpm._exists, SUMPRODUCT(--ISNUMBER(MATCH(_xlpm._platform_keywords,_xlpm._original_keywords,0)))&gt;0,
_xlfn.IFS(AND(_xlpm._exists,LEFT($E62,1)="+"),"+",_xlpm._exists,"*",NOT(_xlpm._exists),"")
)</f>
        <v/>
      </c>
      <c r="Q62" s="33" t="str">
        <f t="shared" si="6"/>
        <v/>
      </c>
      <c r="R62" s="33" t="str">
        <f t="shared" si="7"/>
        <v/>
      </c>
      <c r="S62" s="33" t="str">
        <f t="shared" si="8"/>
        <v/>
      </c>
      <c r="T62" s="33" t="str">
        <f t="shared" si="9"/>
        <v/>
      </c>
      <c r="U62" s="33" t="str">
        <f t="shared" si="10"/>
        <v/>
      </c>
      <c r="V62" s="33" t="str">
        <f t="shared" si="11"/>
        <v/>
      </c>
    </row>
    <row r="63" spans="1:22" x14ac:dyDescent="0.25">
      <c r="A63" s="19" t="str">
        <v>Development,Programming,XML</v>
      </c>
      <c r="B63" t="s">
        <v>377</v>
      </c>
      <c r="C63" s="19" t="str" cm="1">
        <f t="array" ref="C63:E63">_xlfn.TEXTSPLIT(A63,",")</f>
        <v>Development</v>
      </c>
      <c r="D63" s="19" t="str">
        <v>Programming</v>
      </c>
      <c r="E63" s="19" t="str">
        <v>XML</v>
      </c>
      <c r="F63" s="36" t="str" cm="1">
        <f t="array" ref="F63">_xlfn.TEXTJOIN(",",TRUE,_xlfn._xlws.FILTER(CLASSIFICATION[Keyword], ($E63=CLASSIFICATION[Keyword Aggr])*($D63=CLASSIFICATION[Functional Scope Aggr])))</f>
        <v>XML</v>
      </c>
      <c r="G63" s="32" t="str">
        <f t="shared" si="4"/>
        <v/>
      </c>
      <c r="H63" s="32" t="str">
        <f t="shared" si="4"/>
        <v/>
      </c>
      <c r="I63" s="32" t="str">
        <f t="shared" si="12"/>
        <v>XML</v>
      </c>
      <c r="J63" s="33" t="str" cm="1">
        <f t="array" aca="1" ref="J63" ca="1">_xlfn.LET(
_xlpm._platform_range, INDIRECT("'Platform review'!$C"&amp;_xlfn.XMATCH(J$2,'Platform review'!$A$1:$A$127)&amp;":$E"&amp;_xlfn.XMATCH(J$2,'Platform review'!$A$1:$A$127)+19),
_xlpm._original_keywords, _xlfn._xlws.FILTER(CLASSIFICATION[[Keyword]:[Keyword]], ($E63=CLASSIFICATION[[Keyword Aggr]:[Keyword Aggr]])*($D63=CLASSIFICATION[[Functional Scope Aggr]:[Functional Scope Aggr]])),
_xlpm._platform_keywords, _xlfn.TEXTSPLIT(SUBSTITUTE(SUBSTITUTE(VLOOKUP($D63,_xlpm._platform_range,3,FALSE),"+"&amp;CHAR(34),"+"),CHAR(34),""),", "),
_xlpm._exists, SUMPRODUCT(--ISNUMBER(MATCH(_xlpm._platform_keywords,_xlpm._original_keywords,0)))&gt;0,
_xlfn.IFS(AND(_xlpm._exists,LEFT($E63,1)="+"),"+",_xlpm._exists,"*",NOT(_xlpm._exists),"")
)</f>
        <v/>
      </c>
      <c r="K63" s="33" t="str" cm="1">
        <f t="array" aca="1" ref="K63" ca="1">_xlfn.LET(
_xlpm._platform_range, INDIRECT("'Platform review'!$C"&amp;_xlfn.XMATCH(K$2,'Platform review'!$A$1:$A$127)&amp;":$E"&amp;_xlfn.XMATCH(K$2,'Platform review'!$A$1:$A$127)+19),
_xlpm._original_keywords, _xlfn._xlws.FILTER(CLASSIFICATION[[Keyword]:[Keyword]], ($E63=CLASSIFICATION[[Keyword Aggr]:[Keyword Aggr]])*($D63=CLASSIFICATION[[Functional Scope Aggr]:[Functional Scope Aggr]])),
_xlpm._platform_keywords, _xlfn.TEXTSPLIT(SUBSTITUTE(SUBSTITUTE(VLOOKUP($D63,_xlpm._platform_range,3,FALSE),"+"&amp;CHAR(34),"+"),CHAR(34),""),", "),
_xlpm._exists, SUMPRODUCT(--ISNUMBER(MATCH(_xlpm._platform_keywords,_xlpm._original_keywords,0)))&gt;0,
_xlfn.IFS(AND(_xlpm._exists,LEFT($E63,1)="+"),"+",_xlpm._exists,"*",NOT(_xlpm._exists),"")
)</f>
        <v/>
      </c>
      <c r="L63" s="33" t="str" cm="1">
        <f t="array" aca="1" ref="L63" ca="1">_xlfn.LET(
_xlpm._platform_range, INDIRECT("'Platform review'!$C"&amp;_xlfn.XMATCH(L$2,'Platform review'!$A$1:$A$127)&amp;":$E"&amp;_xlfn.XMATCH(L$2,'Platform review'!$A$1:$A$127)+19),
_xlpm._original_keywords, _xlfn._xlws.FILTER(CLASSIFICATION[[Keyword]:[Keyword]], ($E63=CLASSIFICATION[[Keyword Aggr]:[Keyword Aggr]])*($D63=CLASSIFICATION[[Functional Scope Aggr]:[Functional Scope Aggr]])),
_xlpm._platform_keywords, _xlfn.TEXTSPLIT(SUBSTITUTE(SUBSTITUTE(VLOOKUP($D63,_xlpm._platform_range,3,FALSE),"+"&amp;CHAR(34),"+"),CHAR(34),""),", "),
_xlpm._exists, SUMPRODUCT(--ISNUMBER(MATCH(_xlpm._platform_keywords,_xlpm._original_keywords,0)))&gt;0,
_xlfn.IFS(AND(_xlpm._exists,LEFT($E63,1)="+"),"+",_xlpm._exists,"*",NOT(_xlpm._exists),"")
)</f>
        <v/>
      </c>
      <c r="M63" s="33" t="str" cm="1">
        <f t="array" aca="1" ref="M63" ca="1">_xlfn.LET(
_xlpm._platform_range, INDIRECT("'Platform review'!$C"&amp;_xlfn.XMATCH(M$2,'Platform review'!$A$1:$A$127)&amp;":$E"&amp;_xlfn.XMATCH(M$2,'Platform review'!$A$1:$A$127)+19),
_xlpm._original_keywords, _xlfn._xlws.FILTER(CLASSIFICATION[[Keyword]:[Keyword]], ($E63=CLASSIFICATION[[Keyword Aggr]:[Keyword Aggr]])*($D63=CLASSIFICATION[[Functional Scope Aggr]:[Functional Scope Aggr]])),
_xlpm._platform_keywords, _xlfn.TEXTSPLIT(SUBSTITUTE(SUBSTITUTE(VLOOKUP($D63,_xlpm._platform_range,3,FALSE),"+"&amp;CHAR(34),"+"),CHAR(34),""),", "),
_xlpm._exists, SUMPRODUCT(--ISNUMBER(MATCH(_xlpm._platform_keywords,_xlpm._original_keywords,0)))&gt;0,
_xlfn.IFS(AND(_xlpm._exists,LEFT($E63,1)="+"),"+",_xlpm._exists,"*",NOT(_xlpm._exists),"")
)</f>
        <v/>
      </c>
      <c r="N63" s="33" t="str" cm="1">
        <f t="array" aca="1" ref="N63" ca="1">_xlfn.LET(
_xlpm._platform_range, INDIRECT("'Platform review'!$C"&amp;_xlfn.XMATCH(N$2,'Platform review'!$A$1:$A$127)&amp;":$E"&amp;_xlfn.XMATCH(N$2,'Platform review'!$A$1:$A$127)+19),
_xlpm._original_keywords, _xlfn._xlws.FILTER(CLASSIFICATION[[Keyword]:[Keyword]], ($E63=CLASSIFICATION[[Keyword Aggr]:[Keyword Aggr]])*($D63=CLASSIFICATION[[Functional Scope Aggr]:[Functional Scope Aggr]])),
_xlpm._platform_keywords, _xlfn.TEXTSPLIT(SUBSTITUTE(SUBSTITUTE(VLOOKUP($D63,_xlpm._platform_range,3,FALSE),"+"&amp;CHAR(34),"+"),CHAR(34),""),", "),
_xlpm._exists, SUMPRODUCT(--ISNUMBER(MATCH(_xlpm._platform_keywords,_xlpm._original_keywords,0)))&gt;0,
_xlfn.IFS(AND(_xlpm._exists,LEFT($E63,1)="+"),"+",_xlpm._exists,"*",NOT(_xlpm._exists),"")
)</f>
        <v>*</v>
      </c>
      <c r="O63" s="33" t="str" cm="1">
        <f t="array" aca="1" ref="O63" ca="1">_xlfn.LET(
_xlpm._platform_range, INDIRECT("'Platform review'!$C"&amp;_xlfn.XMATCH(O$2,'Platform review'!$A$1:$A$127)&amp;":$E"&amp;_xlfn.XMATCH(O$2,'Platform review'!$A$1:$A$127)+19),
_xlpm._original_keywords, _xlfn._xlws.FILTER(CLASSIFICATION[[Keyword]:[Keyword]], ($E63=CLASSIFICATION[[Keyword Aggr]:[Keyword Aggr]])*($D63=CLASSIFICATION[[Functional Scope Aggr]:[Functional Scope Aggr]])),
_xlpm._platform_keywords, _xlfn.TEXTSPLIT(SUBSTITUTE(SUBSTITUTE(VLOOKUP($D63,_xlpm._platform_range,3,FALSE),"+"&amp;CHAR(34),"+"),CHAR(34),""),", "),
_xlpm._exists, SUMPRODUCT(--ISNUMBER(MATCH(_xlpm._platform_keywords,_xlpm._original_keywords,0)))&gt;0,
_xlfn.IFS(AND(_xlpm._exists,LEFT($E63,1)="+"),"+",_xlpm._exists,"*",NOT(_xlpm._exists),"")
)</f>
        <v>*</v>
      </c>
      <c r="Q63" s="33" t="str">
        <f t="shared" si="6"/>
        <v/>
      </c>
      <c r="R63" s="33" t="str">
        <f t="shared" si="7"/>
        <v/>
      </c>
      <c r="S63" s="33" t="str">
        <f t="shared" si="8"/>
        <v/>
      </c>
      <c r="T63" s="33" t="str">
        <f t="shared" si="9"/>
        <v/>
      </c>
      <c r="U63" s="33" t="str">
        <f t="shared" si="10"/>
        <v/>
      </c>
      <c r="V63" s="33" t="str">
        <f t="shared" si="11"/>
        <v/>
      </c>
    </row>
    <row r="64" spans="1:22" x14ac:dyDescent="0.25">
      <c r="A64" s="19" t="str">
        <v>Implementation,Runtime server installation,API</v>
      </c>
      <c r="B64" t="s">
        <v>377</v>
      </c>
      <c r="C64" s="19" t="str" cm="1">
        <f t="array" ref="C64:E64">_xlfn.TEXTSPLIT(A64,",")</f>
        <v>Implementation</v>
      </c>
      <c r="D64" s="19" t="str">
        <v>Runtime server installation</v>
      </c>
      <c r="E64" s="19" t="str">
        <v>API</v>
      </c>
      <c r="F64" s="36" t="str" cm="1">
        <f t="array" ref="F64">_xlfn.TEXTJOIN(",",TRUE,_xlfn._xlws.FILTER(CLASSIFICATION[Keyword], ($E64=CLASSIFICATION[Keyword Aggr])*($D64=CLASSIFICATION[Functional Scope Aggr])))</f>
        <v>API</v>
      </c>
      <c r="G64" s="32" t="str">
        <f t="shared" si="4"/>
        <v>Implementation</v>
      </c>
      <c r="H64" s="32" t="str">
        <f t="shared" si="4"/>
        <v>Runtime server installation</v>
      </c>
      <c r="I64" s="32" t="str">
        <f t="shared" si="12"/>
        <v>API</v>
      </c>
      <c r="J64" s="33" t="str" cm="1">
        <f t="array" aca="1" ref="J64" ca="1">_xlfn.LET(
_xlpm._platform_range, INDIRECT("'Platform review'!$C"&amp;_xlfn.XMATCH(J$2,'Platform review'!$A$1:$A$127)&amp;":$E"&amp;_xlfn.XMATCH(J$2,'Platform review'!$A$1:$A$127)+19),
_xlpm._original_keywords, _xlfn._xlws.FILTER(CLASSIFICATION[[Keyword]:[Keyword]], ($E64=CLASSIFICATION[[Keyword Aggr]:[Keyword Aggr]])*($D64=CLASSIFICATION[[Functional Scope Aggr]:[Functional Scope Aggr]])),
_xlpm._platform_keywords, _xlfn.TEXTSPLIT(SUBSTITUTE(SUBSTITUTE(VLOOKUP($D64,_xlpm._platform_range,3,FALSE),"+"&amp;CHAR(34),"+"),CHAR(34),""),", "),
_xlpm._exists, SUMPRODUCT(--ISNUMBER(MATCH(_xlpm._platform_keywords,_xlpm._original_keywords,0)))&gt;0,
_xlfn.IFS(AND(_xlpm._exists,LEFT($E64,1)="+"),"+",_xlpm._exists,"*",NOT(_xlpm._exists),"")
)</f>
        <v>*</v>
      </c>
      <c r="K64" s="33" t="str" cm="1">
        <f t="array" aca="1" ref="K64" ca="1">_xlfn.LET(
_xlpm._platform_range, INDIRECT("'Platform review'!$C"&amp;_xlfn.XMATCH(K$2,'Platform review'!$A$1:$A$127)&amp;":$E"&amp;_xlfn.XMATCH(K$2,'Platform review'!$A$1:$A$127)+19),
_xlpm._original_keywords, _xlfn._xlws.FILTER(CLASSIFICATION[[Keyword]:[Keyword]], ($E64=CLASSIFICATION[[Keyword Aggr]:[Keyword Aggr]])*($D64=CLASSIFICATION[[Functional Scope Aggr]:[Functional Scope Aggr]])),
_xlpm._platform_keywords, _xlfn.TEXTSPLIT(SUBSTITUTE(SUBSTITUTE(VLOOKUP($D64,_xlpm._platform_range,3,FALSE),"+"&amp;CHAR(34),"+"),CHAR(34),""),", "),
_xlpm._exists, SUMPRODUCT(--ISNUMBER(MATCH(_xlpm._platform_keywords,_xlpm._original_keywords,0)))&gt;0,
_xlfn.IFS(AND(_xlpm._exists,LEFT($E64,1)="+"),"+",_xlpm._exists,"*",NOT(_xlpm._exists),"")
)</f>
        <v/>
      </c>
      <c r="L64" s="33" t="str" cm="1">
        <f t="array" aca="1" ref="L64" ca="1">_xlfn.LET(
_xlpm._platform_range, INDIRECT("'Platform review'!$C"&amp;_xlfn.XMATCH(L$2,'Platform review'!$A$1:$A$127)&amp;":$E"&amp;_xlfn.XMATCH(L$2,'Platform review'!$A$1:$A$127)+19),
_xlpm._original_keywords, _xlfn._xlws.FILTER(CLASSIFICATION[[Keyword]:[Keyword]], ($E64=CLASSIFICATION[[Keyword Aggr]:[Keyword Aggr]])*($D64=CLASSIFICATION[[Functional Scope Aggr]:[Functional Scope Aggr]])),
_xlpm._platform_keywords, _xlfn.TEXTSPLIT(SUBSTITUTE(SUBSTITUTE(VLOOKUP($D64,_xlpm._platform_range,3,FALSE),"+"&amp;CHAR(34),"+"),CHAR(34),""),", "),
_xlpm._exists, SUMPRODUCT(--ISNUMBER(MATCH(_xlpm._platform_keywords,_xlpm._original_keywords,0)))&gt;0,
_xlfn.IFS(AND(_xlpm._exists,LEFT($E64,1)="+"),"+",_xlpm._exists,"*",NOT(_xlpm._exists),"")
)</f>
        <v/>
      </c>
      <c r="M64" s="33" t="str" cm="1">
        <f t="array" aca="1" ref="M64" ca="1">_xlfn.LET(
_xlpm._platform_range, INDIRECT("'Platform review'!$C"&amp;_xlfn.XMATCH(M$2,'Platform review'!$A$1:$A$127)&amp;":$E"&amp;_xlfn.XMATCH(M$2,'Platform review'!$A$1:$A$127)+19),
_xlpm._original_keywords, _xlfn._xlws.FILTER(CLASSIFICATION[[Keyword]:[Keyword]], ($E64=CLASSIFICATION[[Keyword Aggr]:[Keyword Aggr]])*($D64=CLASSIFICATION[[Functional Scope Aggr]:[Functional Scope Aggr]])),
_xlpm._platform_keywords, _xlfn.TEXTSPLIT(SUBSTITUTE(SUBSTITUTE(VLOOKUP($D64,_xlpm._platform_range,3,FALSE),"+"&amp;CHAR(34),"+"),CHAR(34),""),", "),
_xlpm._exists, SUMPRODUCT(--ISNUMBER(MATCH(_xlpm._platform_keywords,_xlpm._original_keywords,0)))&gt;0,
_xlfn.IFS(AND(_xlpm._exists,LEFT($E64,1)="+"),"+",_xlpm._exists,"*",NOT(_xlpm._exists),"")
)</f>
        <v/>
      </c>
      <c r="N64" s="33" t="str" cm="1">
        <f t="array" aca="1" ref="N64" ca="1">_xlfn.LET(
_xlpm._platform_range, INDIRECT("'Platform review'!$C"&amp;_xlfn.XMATCH(N$2,'Platform review'!$A$1:$A$127)&amp;":$E"&amp;_xlfn.XMATCH(N$2,'Platform review'!$A$1:$A$127)+19),
_xlpm._original_keywords, _xlfn._xlws.FILTER(CLASSIFICATION[[Keyword]:[Keyword]], ($E64=CLASSIFICATION[[Keyword Aggr]:[Keyword Aggr]])*($D64=CLASSIFICATION[[Functional Scope Aggr]:[Functional Scope Aggr]])),
_xlpm._platform_keywords, _xlfn.TEXTSPLIT(SUBSTITUTE(SUBSTITUTE(VLOOKUP($D64,_xlpm._platform_range,3,FALSE),"+"&amp;CHAR(34),"+"),CHAR(34),""),", "),
_xlpm._exists, SUMPRODUCT(--ISNUMBER(MATCH(_xlpm._platform_keywords,_xlpm._original_keywords,0)))&gt;0,
_xlfn.IFS(AND(_xlpm._exists,LEFT($E64,1)="+"),"+",_xlpm._exists,"*",NOT(_xlpm._exists),"")
)</f>
        <v/>
      </c>
      <c r="O64" s="33" t="str" cm="1">
        <f t="array" aca="1" ref="O64" ca="1">_xlfn.LET(
_xlpm._platform_range, INDIRECT("'Platform review'!$C"&amp;_xlfn.XMATCH(O$2,'Platform review'!$A$1:$A$127)&amp;":$E"&amp;_xlfn.XMATCH(O$2,'Platform review'!$A$1:$A$127)+19),
_xlpm._original_keywords, _xlfn._xlws.FILTER(CLASSIFICATION[[Keyword]:[Keyword]], ($E64=CLASSIFICATION[[Keyword Aggr]:[Keyword Aggr]])*($D64=CLASSIFICATION[[Functional Scope Aggr]:[Functional Scope Aggr]])),
_xlpm._platform_keywords, _xlfn.TEXTSPLIT(SUBSTITUTE(SUBSTITUTE(VLOOKUP($D64,_xlpm._platform_range,3,FALSE),"+"&amp;CHAR(34),"+"),CHAR(34),""),", "),
_xlpm._exists, SUMPRODUCT(--ISNUMBER(MATCH(_xlpm._platform_keywords,_xlpm._original_keywords,0)))&gt;0,
_xlfn.IFS(AND(_xlpm._exists,LEFT($E64,1)="+"),"+",_xlpm._exists,"*",NOT(_xlpm._exists),"")
)</f>
        <v/>
      </c>
      <c r="Q64" s="33">
        <f t="shared" ca="1" si="6"/>
        <v>9</v>
      </c>
      <c r="R64" s="33">
        <f t="shared" ca="1" si="7"/>
        <v>1</v>
      </c>
      <c r="S64" s="33">
        <f t="shared" ca="1" si="8"/>
        <v>2</v>
      </c>
      <c r="T64" s="33">
        <f t="shared" ca="1" si="9"/>
        <v>0</v>
      </c>
      <c r="U64" s="33">
        <f t="shared" ca="1" si="10"/>
        <v>0</v>
      </c>
      <c r="V64" s="33">
        <f t="shared" ca="1" si="11"/>
        <v>0</v>
      </c>
    </row>
    <row r="65" spans="1:22" x14ac:dyDescent="0.25">
      <c r="A65" s="19" t="str">
        <v>Implementation,Runtime server installation,File Storage</v>
      </c>
      <c r="B65" t="s">
        <v>377</v>
      </c>
      <c r="C65" s="19" t="str" cm="1">
        <f t="array" ref="C65:E65">_xlfn.TEXTSPLIT(A65,",")</f>
        <v>Implementation</v>
      </c>
      <c r="D65" s="19" t="str">
        <v>Runtime server installation</v>
      </c>
      <c r="E65" s="19" t="str">
        <v>File Storage</v>
      </c>
      <c r="F65" s="36" t="str" cm="1">
        <f t="array" ref="F65">_xlfn.TEXTJOIN(",",TRUE,_xlfn._xlws.FILTER(CLASSIFICATION[Keyword], ($E65=CLASSIFICATION[Keyword Aggr])*($D65=CLASSIFICATION[Functional Scope Aggr])))</f>
        <v>File Storage</v>
      </c>
      <c r="G65" s="32" t="str">
        <f t="shared" si="4"/>
        <v/>
      </c>
      <c r="H65" s="32" t="str">
        <f t="shared" si="4"/>
        <v/>
      </c>
      <c r="I65" s="32" t="str">
        <f t="shared" si="12"/>
        <v>File Storage</v>
      </c>
      <c r="J65" s="33" t="str" cm="1">
        <f t="array" aca="1" ref="J65" ca="1">_xlfn.LET(
_xlpm._platform_range, INDIRECT("'Platform review'!$C"&amp;_xlfn.XMATCH(J$2,'Platform review'!$A$1:$A$127)&amp;":$E"&amp;_xlfn.XMATCH(J$2,'Platform review'!$A$1:$A$127)+19),
_xlpm._original_keywords, _xlfn._xlws.FILTER(CLASSIFICATION[[Keyword]:[Keyword]], ($E65=CLASSIFICATION[[Keyword Aggr]:[Keyword Aggr]])*($D65=CLASSIFICATION[[Functional Scope Aggr]:[Functional Scope Aggr]])),
_xlpm._platform_keywords, _xlfn.TEXTSPLIT(SUBSTITUTE(SUBSTITUTE(VLOOKUP($D65,_xlpm._platform_range,3,FALSE),"+"&amp;CHAR(34),"+"),CHAR(34),""),", "),
_xlpm._exists, SUMPRODUCT(--ISNUMBER(MATCH(_xlpm._platform_keywords,_xlpm._original_keywords,0)))&gt;0,
_xlfn.IFS(AND(_xlpm._exists,LEFT($E65,1)="+"),"+",_xlpm._exists,"*",NOT(_xlpm._exists),"")
)</f>
        <v>*</v>
      </c>
      <c r="K65" s="33" t="str" cm="1">
        <f t="array" aca="1" ref="K65" ca="1">_xlfn.LET(
_xlpm._platform_range, INDIRECT("'Platform review'!$C"&amp;_xlfn.XMATCH(K$2,'Platform review'!$A$1:$A$127)&amp;":$E"&amp;_xlfn.XMATCH(K$2,'Platform review'!$A$1:$A$127)+19),
_xlpm._original_keywords, _xlfn._xlws.FILTER(CLASSIFICATION[[Keyword]:[Keyword]], ($E65=CLASSIFICATION[[Keyword Aggr]:[Keyword Aggr]])*($D65=CLASSIFICATION[[Functional Scope Aggr]:[Functional Scope Aggr]])),
_xlpm._platform_keywords, _xlfn.TEXTSPLIT(SUBSTITUTE(SUBSTITUTE(VLOOKUP($D65,_xlpm._platform_range,3,FALSE),"+"&amp;CHAR(34),"+"),CHAR(34),""),", "),
_xlpm._exists, SUMPRODUCT(--ISNUMBER(MATCH(_xlpm._platform_keywords,_xlpm._original_keywords,0)))&gt;0,
_xlfn.IFS(AND(_xlpm._exists,LEFT($E65,1)="+"),"+",_xlpm._exists,"*",NOT(_xlpm._exists),"")
)</f>
        <v/>
      </c>
      <c r="L65" s="33" t="str" cm="1">
        <f t="array" aca="1" ref="L65" ca="1">_xlfn.LET(
_xlpm._platform_range, INDIRECT("'Platform review'!$C"&amp;_xlfn.XMATCH(L$2,'Platform review'!$A$1:$A$127)&amp;":$E"&amp;_xlfn.XMATCH(L$2,'Platform review'!$A$1:$A$127)+19),
_xlpm._original_keywords, _xlfn._xlws.FILTER(CLASSIFICATION[[Keyword]:[Keyword]], ($E65=CLASSIFICATION[[Keyword Aggr]:[Keyword Aggr]])*($D65=CLASSIFICATION[[Functional Scope Aggr]:[Functional Scope Aggr]])),
_xlpm._platform_keywords, _xlfn.TEXTSPLIT(SUBSTITUTE(SUBSTITUTE(VLOOKUP($D65,_xlpm._platform_range,3,FALSE),"+"&amp;CHAR(34),"+"),CHAR(34),""),", "),
_xlpm._exists, SUMPRODUCT(--ISNUMBER(MATCH(_xlpm._platform_keywords,_xlpm._original_keywords,0)))&gt;0,
_xlfn.IFS(AND(_xlpm._exists,LEFT($E65,1)="+"),"+",_xlpm._exists,"*",NOT(_xlpm._exists),"")
)</f>
        <v/>
      </c>
      <c r="M65" s="33" t="str" cm="1">
        <f t="array" aca="1" ref="M65" ca="1">_xlfn.LET(
_xlpm._platform_range, INDIRECT("'Platform review'!$C"&amp;_xlfn.XMATCH(M$2,'Platform review'!$A$1:$A$127)&amp;":$E"&amp;_xlfn.XMATCH(M$2,'Platform review'!$A$1:$A$127)+19),
_xlpm._original_keywords, _xlfn._xlws.FILTER(CLASSIFICATION[[Keyword]:[Keyword]], ($E65=CLASSIFICATION[[Keyword Aggr]:[Keyword Aggr]])*($D65=CLASSIFICATION[[Functional Scope Aggr]:[Functional Scope Aggr]])),
_xlpm._platform_keywords, _xlfn.TEXTSPLIT(SUBSTITUTE(SUBSTITUTE(VLOOKUP($D65,_xlpm._platform_range,3,FALSE),"+"&amp;CHAR(34),"+"),CHAR(34),""),", "),
_xlpm._exists, SUMPRODUCT(--ISNUMBER(MATCH(_xlpm._platform_keywords,_xlpm._original_keywords,0)))&gt;0,
_xlfn.IFS(AND(_xlpm._exists,LEFT($E65,1)="+"),"+",_xlpm._exists,"*",NOT(_xlpm._exists),"")
)</f>
        <v/>
      </c>
      <c r="N65" s="33" t="str" cm="1">
        <f t="array" aca="1" ref="N65" ca="1">_xlfn.LET(
_xlpm._platform_range, INDIRECT("'Platform review'!$C"&amp;_xlfn.XMATCH(N$2,'Platform review'!$A$1:$A$127)&amp;":$E"&amp;_xlfn.XMATCH(N$2,'Platform review'!$A$1:$A$127)+19),
_xlpm._original_keywords, _xlfn._xlws.FILTER(CLASSIFICATION[[Keyword]:[Keyword]], ($E65=CLASSIFICATION[[Keyword Aggr]:[Keyword Aggr]])*($D65=CLASSIFICATION[[Functional Scope Aggr]:[Functional Scope Aggr]])),
_xlpm._platform_keywords, _xlfn.TEXTSPLIT(SUBSTITUTE(SUBSTITUTE(VLOOKUP($D65,_xlpm._platform_range,3,FALSE),"+"&amp;CHAR(34),"+"),CHAR(34),""),", "),
_xlpm._exists, SUMPRODUCT(--ISNUMBER(MATCH(_xlpm._platform_keywords,_xlpm._original_keywords,0)))&gt;0,
_xlfn.IFS(AND(_xlpm._exists,LEFT($E65,1)="+"),"+",_xlpm._exists,"*",NOT(_xlpm._exists),"")
)</f>
        <v/>
      </c>
      <c r="O65" s="33" t="str" cm="1">
        <f t="array" aca="1" ref="O65" ca="1">_xlfn.LET(
_xlpm._platform_range, INDIRECT("'Platform review'!$C"&amp;_xlfn.XMATCH(O$2,'Platform review'!$A$1:$A$127)&amp;":$E"&amp;_xlfn.XMATCH(O$2,'Platform review'!$A$1:$A$127)+19),
_xlpm._original_keywords, _xlfn._xlws.FILTER(CLASSIFICATION[[Keyword]:[Keyword]], ($E65=CLASSIFICATION[[Keyword Aggr]:[Keyword Aggr]])*($D65=CLASSIFICATION[[Functional Scope Aggr]:[Functional Scope Aggr]])),
_xlpm._platform_keywords, _xlfn.TEXTSPLIT(SUBSTITUTE(SUBSTITUTE(VLOOKUP($D65,_xlpm._platform_range,3,FALSE),"+"&amp;CHAR(34),"+"),CHAR(34),""),", "),
_xlpm._exists, SUMPRODUCT(--ISNUMBER(MATCH(_xlpm._platform_keywords,_xlpm._original_keywords,0)))&gt;0,
_xlfn.IFS(AND(_xlpm._exists,LEFT($E65,1)="+"),"+",_xlpm._exists,"*",NOT(_xlpm._exists),"")
)</f>
        <v/>
      </c>
      <c r="Q65" s="33" t="str">
        <f t="shared" si="6"/>
        <v/>
      </c>
      <c r="R65" s="33" t="str">
        <f t="shared" si="7"/>
        <v/>
      </c>
      <c r="S65" s="33" t="str">
        <f t="shared" si="8"/>
        <v/>
      </c>
      <c r="T65" s="33" t="str">
        <f t="shared" si="9"/>
        <v/>
      </c>
      <c r="U65" s="33" t="str">
        <f t="shared" si="10"/>
        <v/>
      </c>
      <c r="V65" s="33" t="str">
        <f t="shared" si="11"/>
        <v/>
      </c>
    </row>
    <row r="66" spans="1:22" x14ac:dyDescent="0.25">
      <c r="A66" s="19" t="str">
        <v>Implementation,Runtime server installation,HTTPS Server</v>
      </c>
      <c r="B66" t="s">
        <v>377</v>
      </c>
      <c r="C66" s="19" t="str" cm="1">
        <f t="array" ref="C66:E66">_xlfn.TEXTSPLIT(A66,",")</f>
        <v>Implementation</v>
      </c>
      <c r="D66" s="19" t="str">
        <v>Runtime server installation</v>
      </c>
      <c r="E66" s="19" t="str">
        <v>HTTPS Server</v>
      </c>
      <c r="F66" s="36" t="str" cm="1">
        <f t="array" ref="F66">_xlfn.TEXTJOIN(",",TRUE,_xlfn._xlws.FILTER(CLASSIFICATION[Keyword], ($E66=CLASSIFICATION[Keyword Aggr])*($D66=CLASSIFICATION[Functional Scope Aggr])))</f>
        <v>HTTPS Server</v>
      </c>
      <c r="G66" s="32" t="str">
        <f t="shared" si="4"/>
        <v/>
      </c>
      <c r="H66" s="32" t="str">
        <f t="shared" si="4"/>
        <v/>
      </c>
      <c r="I66" s="32" t="str">
        <f t="shared" si="12"/>
        <v>HTTPS Server</v>
      </c>
      <c r="J66" s="33" t="str" cm="1">
        <f t="array" aca="1" ref="J66" ca="1">_xlfn.LET(
_xlpm._platform_range, INDIRECT("'Platform review'!$C"&amp;_xlfn.XMATCH(J$2,'Platform review'!$A$1:$A$127)&amp;":$E"&amp;_xlfn.XMATCH(J$2,'Platform review'!$A$1:$A$127)+19),
_xlpm._original_keywords, _xlfn._xlws.FILTER(CLASSIFICATION[[Keyword]:[Keyword]], ($E66=CLASSIFICATION[[Keyword Aggr]:[Keyword Aggr]])*($D66=CLASSIFICATION[[Functional Scope Aggr]:[Functional Scope Aggr]])),
_xlpm._platform_keywords, _xlfn.TEXTSPLIT(SUBSTITUTE(SUBSTITUTE(VLOOKUP($D66,_xlpm._platform_range,3,FALSE),"+"&amp;CHAR(34),"+"),CHAR(34),""),", "),
_xlpm._exists, SUMPRODUCT(--ISNUMBER(MATCH(_xlpm._platform_keywords,_xlpm._original_keywords,0)))&gt;0,
_xlfn.IFS(AND(_xlpm._exists,LEFT($E66,1)="+"),"+",_xlpm._exists,"*",NOT(_xlpm._exists),"")
)</f>
        <v>*</v>
      </c>
      <c r="K66" s="33" t="str" cm="1">
        <f t="array" aca="1" ref="K66" ca="1">_xlfn.LET(
_xlpm._platform_range, INDIRECT("'Platform review'!$C"&amp;_xlfn.XMATCH(K$2,'Platform review'!$A$1:$A$127)&amp;":$E"&amp;_xlfn.XMATCH(K$2,'Platform review'!$A$1:$A$127)+19),
_xlpm._original_keywords, _xlfn._xlws.FILTER(CLASSIFICATION[[Keyword]:[Keyword]], ($E66=CLASSIFICATION[[Keyword Aggr]:[Keyword Aggr]])*($D66=CLASSIFICATION[[Functional Scope Aggr]:[Functional Scope Aggr]])),
_xlpm._platform_keywords, _xlfn.TEXTSPLIT(SUBSTITUTE(SUBSTITUTE(VLOOKUP($D66,_xlpm._platform_range,3,FALSE),"+"&amp;CHAR(34),"+"),CHAR(34),""),", "),
_xlpm._exists, SUMPRODUCT(--ISNUMBER(MATCH(_xlpm._platform_keywords,_xlpm._original_keywords,0)))&gt;0,
_xlfn.IFS(AND(_xlpm._exists,LEFT($E66,1)="+"),"+",_xlpm._exists,"*",NOT(_xlpm._exists),"")
)</f>
        <v>*</v>
      </c>
      <c r="L66" s="33" t="str" cm="1">
        <f t="array" aca="1" ref="L66" ca="1">_xlfn.LET(
_xlpm._platform_range, INDIRECT("'Platform review'!$C"&amp;_xlfn.XMATCH(L$2,'Platform review'!$A$1:$A$127)&amp;":$E"&amp;_xlfn.XMATCH(L$2,'Platform review'!$A$1:$A$127)+19),
_xlpm._original_keywords, _xlfn._xlws.FILTER(CLASSIFICATION[[Keyword]:[Keyword]], ($E66=CLASSIFICATION[[Keyword Aggr]:[Keyword Aggr]])*($D66=CLASSIFICATION[[Functional Scope Aggr]:[Functional Scope Aggr]])),
_xlpm._platform_keywords, _xlfn.TEXTSPLIT(SUBSTITUTE(SUBSTITUTE(VLOOKUP($D66,_xlpm._platform_range,3,FALSE),"+"&amp;CHAR(34),"+"),CHAR(34),""),", "),
_xlpm._exists, SUMPRODUCT(--ISNUMBER(MATCH(_xlpm._platform_keywords,_xlpm._original_keywords,0)))&gt;0,
_xlfn.IFS(AND(_xlpm._exists,LEFT($E66,1)="+"),"+",_xlpm._exists,"*",NOT(_xlpm._exists),"")
)</f>
        <v/>
      </c>
      <c r="M66" s="33" t="str" cm="1">
        <f t="array" aca="1" ref="M66" ca="1">_xlfn.LET(
_xlpm._platform_range, INDIRECT("'Platform review'!$C"&amp;_xlfn.XMATCH(M$2,'Platform review'!$A$1:$A$127)&amp;":$E"&amp;_xlfn.XMATCH(M$2,'Platform review'!$A$1:$A$127)+19),
_xlpm._original_keywords, _xlfn._xlws.FILTER(CLASSIFICATION[[Keyword]:[Keyword]], ($E66=CLASSIFICATION[[Keyword Aggr]:[Keyword Aggr]])*($D66=CLASSIFICATION[[Functional Scope Aggr]:[Functional Scope Aggr]])),
_xlpm._platform_keywords, _xlfn.TEXTSPLIT(SUBSTITUTE(SUBSTITUTE(VLOOKUP($D66,_xlpm._platform_range,3,FALSE),"+"&amp;CHAR(34),"+"),CHAR(34),""),", "),
_xlpm._exists, SUMPRODUCT(--ISNUMBER(MATCH(_xlpm._platform_keywords,_xlpm._original_keywords,0)))&gt;0,
_xlfn.IFS(AND(_xlpm._exists,LEFT($E66,1)="+"),"+",_xlpm._exists,"*",NOT(_xlpm._exists),"")
)</f>
        <v/>
      </c>
      <c r="N66" s="33" t="str" cm="1">
        <f t="array" aca="1" ref="N66" ca="1">_xlfn.LET(
_xlpm._platform_range, INDIRECT("'Platform review'!$C"&amp;_xlfn.XMATCH(N$2,'Platform review'!$A$1:$A$127)&amp;":$E"&amp;_xlfn.XMATCH(N$2,'Platform review'!$A$1:$A$127)+19),
_xlpm._original_keywords, _xlfn._xlws.FILTER(CLASSIFICATION[[Keyword]:[Keyword]], ($E66=CLASSIFICATION[[Keyword Aggr]:[Keyword Aggr]])*($D66=CLASSIFICATION[[Functional Scope Aggr]:[Functional Scope Aggr]])),
_xlpm._platform_keywords, _xlfn.TEXTSPLIT(SUBSTITUTE(SUBSTITUTE(VLOOKUP($D66,_xlpm._platform_range,3,FALSE),"+"&amp;CHAR(34),"+"),CHAR(34),""),", "),
_xlpm._exists, SUMPRODUCT(--ISNUMBER(MATCH(_xlpm._platform_keywords,_xlpm._original_keywords,0)))&gt;0,
_xlfn.IFS(AND(_xlpm._exists,LEFT($E66,1)="+"),"+",_xlpm._exists,"*",NOT(_xlpm._exists),"")
)</f>
        <v/>
      </c>
      <c r="O66" s="33" t="str" cm="1">
        <f t="array" aca="1" ref="O66" ca="1">_xlfn.LET(
_xlpm._platform_range, INDIRECT("'Platform review'!$C"&amp;_xlfn.XMATCH(O$2,'Platform review'!$A$1:$A$127)&amp;":$E"&amp;_xlfn.XMATCH(O$2,'Platform review'!$A$1:$A$127)+19),
_xlpm._original_keywords, _xlfn._xlws.FILTER(CLASSIFICATION[[Keyword]:[Keyword]], ($E66=CLASSIFICATION[[Keyword Aggr]:[Keyword Aggr]])*($D66=CLASSIFICATION[[Functional Scope Aggr]:[Functional Scope Aggr]])),
_xlpm._platform_keywords, _xlfn.TEXTSPLIT(SUBSTITUTE(SUBSTITUTE(VLOOKUP($D66,_xlpm._platform_range,3,FALSE),"+"&amp;CHAR(34),"+"),CHAR(34),""),", "),
_xlpm._exists, SUMPRODUCT(--ISNUMBER(MATCH(_xlpm._platform_keywords,_xlpm._original_keywords,0)))&gt;0,
_xlfn.IFS(AND(_xlpm._exists,LEFT($E66,1)="+"),"+",_xlpm._exists,"*",NOT(_xlpm._exists),"")
)</f>
        <v/>
      </c>
      <c r="Q66" s="33" t="str">
        <f t="shared" si="6"/>
        <v/>
      </c>
      <c r="R66" s="33" t="str">
        <f t="shared" si="7"/>
        <v/>
      </c>
      <c r="S66" s="33" t="str">
        <f t="shared" si="8"/>
        <v/>
      </c>
      <c r="T66" s="33" t="str">
        <f t="shared" si="9"/>
        <v/>
      </c>
      <c r="U66" s="33" t="str">
        <f t="shared" si="10"/>
        <v/>
      </c>
      <c r="V66" s="33" t="str">
        <f t="shared" si="11"/>
        <v/>
      </c>
    </row>
    <row r="67" spans="1:22" x14ac:dyDescent="0.25">
      <c r="A67" s="19" t="str">
        <v>Implementation,Runtime server installation,Java</v>
      </c>
      <c r="B67" t="s">
        <v>377</v>
      </c>
      <c r="C67" s="19" t="str" cm="1">
        <f t="array" ref="C67:E67">_xlfn.TEXTSPLIT(A67,",")</f>
        <v>Implementation</v>
      </c>
      <c r="D67" s="19" t="str">
        <v>Runtime server installation</v>
      </c>
      <c r="E67" s="19" t="str">
        <v>Java</v>
      </c>
      <c r="F67" s="36" t="str" cm="1">
        <f t="array" ref="F67">_xlfn.TEXTJOIN(",",TRUE,_xlfn._xlws.FILTER(CLASSIFICATION[Keyword], ($E67=CLASSIFICATION[Keyword Aggr])*($D67=CLASSIFICATION[Functional Scope Aggr])))</f>
        <v>Java</v>
      </c>
      <c r="G67" s="32" t="str">
        <f t="shared" si="4"/>
        <v/>
      </c>
      <c r="H67" s="32" t="str">
        <f t="shared" si="4"/>
        <v/>
      </c>
      <c r="I67" s="32" t="str">
        <f t="shared" si="12"/>
        <v>Java</v>
      </c>
      <c r="J67" s="33" t="str" cm="1">
        <f t="array" aca="1" ref="J67" ca="1">_xlfn.LET(
_xlpm._platform_range, INDIRECT("'Platform review'!$C"&amp;_xlfn.XMATCH(J$2,'Platform review'!$A$1:$A$127)&amp;":$E"&amp;_xlfn.XMATCH(J$2,'Platform review'!$A$1:$A$127)+19),
_xlpm._original_keywords, _xlfn._xlws.FILTER(CLASSIFICATION[[Keyword]:[Keyword]], ($E67=CLASSIFICATION[[Keyword Aggr]:[Keyword Aggr]])*($D67=CLASSIFICATION[[Functional Scope Aggr]:[Functional Scope Aggr]])),
_xlpm._platform_keywords, _xlfn.TEXTSPLIT(SUBSTITUTE(SUBSTITUTE(VLOOKUP($D67,_xlpm._platform_range,3,FALSE),"+"&amp;CHAR(34),"+"),CHAR(34),""),", "),
_xlpm._exists, SUMPRODUCT(--ISNUMBER(MATCH(_xlpm._platform_keywords,_xlpm._original_keywords,0)))&gt;0,
_xlfn.IFS(AND(_xlpm._exists,LEFT($E67,1)="+"),"+",_xlpm._exists,"*",NOT(_xlpm._exists),"")
)</f>
        <v>*</v>
      </c>
      <c r="K67" s="33" t="str" cm="1">
        <f t="array" aca="1" ref="K67" ca="1">_xlfn.LET(
_xlpm._platform_range, INDIRECT("'Platform review'!$C"&amp;_xlfn.XMATCH(K$2,'Platform review'!$A$1:$A$127)&amp;":$E"&amp;_xlfn.XMATCH(K$2,'Platform review'!$A$1:$A$127)+19),
_xlpm._original_keywords, _xlfn._xlws.FILTER(CLASSIFICATION[[Keyword]:[Keyword]], ($E67=CLASSIFICATION[[Keyword Aggr]:[Keyword Aggr]])*($D67=CLASSIFICATION[[Functional Scope Aggr]:[Functional Scope Aggr]])),
_xlpm._platform_keywords, _xlfn.TEXTSPLIT(SUBSTITUTE(SUBSTITUTE(VLOOKUP($D67,_xlpm._platform_range,3,FALSE),"+"&amp;CHAR(34),"+"),CHAR(34),""),", "),
_xlpm._exists, SUMPRODUCT(--ISNUMBER(MATCH(_xlpm._platform_keywords,_xlpm._original_keywords,0)))&gt;0,
_xlfn.IFS(AND(_xlpm._exists,LEFT($E67,1)="+"),"+",_xlpm._exists,"*",NOT(_xlpm._exists),"")
)</f>
        <v/>
      </c>
      <c r="L67" s="33" t="str" cm="1">
        <f t="array" aca="1" ref="L67" ca="1">_xlfn.LET(
_xlpm._platform_range, INDIRECT("'Platform review'!$C"&amp;_xlfn.XMATCH(L$2,'Platform review'!$A$1:$A$127)&amp;":$E"&amp;_xlfn.XMATCH(L$2,'Platform review'!$A$1:$A$127)+19),
_xlpm._original_keywords, _xlfn._xlws.FILTER(CLASSIFICATION[[Keyword]:[Keyword]], ($E67=CLASSIFICATION[[Keyword Aggr]:[Keyword Aggr]])*($D67=CLASSIFICATION[[Functional Scope Aggr]:[Functional Scope Aggr]])),
_xlpm._platform_keywords, _xlfn.TEXTSPLIT(SUBSTITUTE(SUBSTITUTE(VLOOKUP($D67,_xlpm._platform_range,3,FALSE),"+"&amp;CHAR(34),"+"),CHAR(34),""),", "),
_xlpm._exists, SUMPRODUCT(--ISNUMBER(MATCH(_xlpm._platform_keywords,_xlpm._original_keywords,0)))&gt;0,
_xlfn.IFS(AND(_xlpm._exists,LEFT($E67,1)="+"),"+",_xlpm._exists,"*",NOT(_xlpm._exists),"")
)</f>
        <v/>
      </c>
      <c r="M67" s="33" t="str" cm="1">
        <f t="array" aca="1" ref="M67" ca="1">_xlfn.LET(
_xlpm._platform_range, INDIRECT("'Platform review'!$C"&amp;_xlfn.XMATCH(M$2,'Platform review'!$A$1:$A$127)&amp;":$E"&amp;_xlfn.XMATCH(M$2,'Platform review'!$A$1:$A$127)+19),
_xlpm._original_keywords, _xlfn._xlws.FILTER(CLASSIFICATION[[Keyword]:[Keyword]], ($E67=CLASSIFICATION[[Keyword Aggr]:[Keyword Aggr]])*($D67=CLASSIFICATION[[Functional Scope Aggr]:[Functional Scope Aggr]])),
_xlpm._platform_keywords, _xlfn.TEXTSPLIT(SUBSTITUTE(SUBSTITUTE(VLOOKUP($D67,_xlpm._platform_range,3,FALSE),"+"&amp;CHAR(34),"+"),CHAR(34),""),", "),
_xlpm._exists, SUMPRODUCT(--ISNUMBER(MATCH(_xlpm._platform_keywords,_xlpm._original_keywords,0)))&gt;0,
_xlfn.IFS(AND(_xlpm._exists,LEFT($E67,1)="+"),"+",_xlpm._exists,"*",NOT(_xlpm._exists),"")
)</f>
        <v/>
      </c>
      <c r="N67" s="33" t="str" cm="1">
        <f t="array" aca="1" ref="N67" ca="1">_xlfn.LET(
_xlpm._platform_range, INDIRECT("'Platform review'!$C"&amp;_xlfn.XMATCH(N$2,'Platform review'!$A$1:$A$127)&amp;":$E"&amp;_xlfn.XMATCH(N$2,'Platform review'!$A$1:$A$127)+19),
_xlpm._original_keywords, _xlfn._xlws.FILTER(CLASSIFICATION[[Keyword]:[Keyword]], ($E67=CLASSIFICATION[[Keyword Aggr]:[Keyword Aggr]])*($D67=CLASSIFICATION[[Functional Scope Aggr]:[Functional Scope Aggr]])),
_xlpm._platform_keywords, _xlfn.TEXTSPLIT(SUBSTITUTE(SUBSTITUTE(VLOOKUP($D67,_xlpm._platform_range,3,FALSE),"+"&amp;CHAR(34),"+"),CHAR(34),""),", "),
_xlpm._exists, SUMPRODUCT(--ISNUMBER(MATCH(_xlpm._platform_keywords,_xlpm._original_keywords,0)))&gt;0,
_xlfn.IFS(AND(_xlpm._exists,LEFT($E67,1)="+"),"+",_xlpm._exists,"*",NOT(_xlpm._exists),"")
)</f>
        <v/>
      </c>
      <c r="O67" s="33" t="str" cm="1">
        <f t="array" aca="1" ref="O67" ca="1">_xlfn.LET(
_xlpm._platform_range, INDIRECT("'Platform review'!$C"&amp;_xlfn.XMATCH(O$2,'Platform review'!$A$1:$A$127)&amp;":$E"&amp;_xlfn.XMATCH(O$2,'Platform review'!$A$1:$A$127)+19),
_xlpm._original_keywords, _xlfn._xlws.FILTER(CLASSIFICATION[[Keyword]:[Keyword]], ($E67=CLASSIFICATION[[Keyword Aggr]:[Keyword Aggr]])*($D67=CLASSIFICATION[[Functional Scope Aggr]:[Functional Scope Aggr]])),
_xlpm._platform_keywords, _xlfn.TEXTSPLIT(SUBSTITUTE(SUBSTITUTE(VLOOKUP($D67,_xlpm._platform_range,3,FALSE),"+"&amp;CHAR(34),"+"),CHAR(34),""),", "),
_xlpm._exists, SUMPRODUCT(--ISNUMBER(MATCH(_xlpm._platform_keywords,_xlpm._original_keywords,0)))&gt;0,
_xlfn.IFS(AND(_xlpm._exists,LEFT($E67,1)="+"),"+",_xlpm._exists,"*",NOT(_xlpm._exists),"")
)</f>
        <v/>
      </c>
      <c r="Q67" s="33" t="str">
        <f t="shared" si="6"/>
        <v/>
      </c>
      <c r="R67" s="33" t="str">
        <f t="shared" si="7"/>
        <v/>
      </c>
      <c r="S67" s="33" t="str">
        <f t="shared" si="8"/>
        <v/>
      </c>
      <c r="T67" s="33" t="str">
        <f t="shared" si="9"/>
        <v/>
      </c>
      <c r="U67" s="33" t="str">
        <f t="shared" si="10"/>
        <v/>
      </c>
      <c r="V67" s="33" t="str">
        <f t="shared" si="11"/>
        <v/>
      </c>
    </row>
    <row r="68" spans="1:22" x14ac:dyDescent="0.25">
      <c r="A68" s="19" t="str">
        <v>Implementation,Runtime server installation,Proxy server</v>
      </c>
      <c r="B68" t="s">
        <v>377</v>
      </c>
      <c r="C68" s="19" t="str" cm="1">
        <f t="array" ref="C68:E68">_xlfn.TEXTSPLIT(A68,",")</f>
        <v>Implementation</v>
      </c>
      <c r="D68" s="19" t="str">
        <v>Runtime server installation</v>
      </c>
      <c r="E68" s="19" t="str">
        <v>Proxy server</v>
      </c>
      <c r="F68" s="36" t="str" cm="1">
        <f t="array" ref="F68">_xlfn.TEXTJOIN(",",TRUE,_xlfn._xlws.FILTER(CLASSIFICATION[Keyword], ($E68=CLASSIFICATION[Keyword Aggr])*($D68=CLASSIFICATION[Functional Scope Aggr])))</f>
        <v>Proxy server</v>
      </c>
      <c r="G68" s="32" t="str">
        <f t="shared" ref="G68:H131" si="14">IF(C68&lt;&gt;C67,C68,"")</f>
        <v/>
      </c>
      <c r="H68" s="32" t="str">
        <f t="shared" si="14"/>
        <v/>
      </c>
      <c r="I68" s="32" t="str">
        <f t="shared" si="12"/>
        <v>Proxy server</v>
      </c>
      <c r="J68" s="33" t="str" cm="1">
        <f t="array" aca="1" ref="J68" ca="1">_xlfn.LET(
_xlpm._platform_range, INDIRECT("'Platform review'!$C"&amp;_xlfn.XMATCH(J$2,'Platform review'!$A$1:$A$127)&amp;":$E"&amp;_xlfn.XMATCH(J$2,'Platform review'!$A$1:$A$127)+19),
_xlpm._original_keywords, _xlfn._xlws.FILTER(CLASSIFICATION[[Keyword]:[Keyword]], ($E68=CLASSIFICATION[[Keyword Aggr]:[Keyword Aggr]])*($D68=CLASSIFICATION[[Functional Scope Aggr]:[Functional Scope Aggr]])),
_xlpm._platform_keywords, _xlfn.TEXTSPLIT(SUBSTITUTE(SUBSTITUTE(VLOOKUP($D68,_xlpm._platform_range,3,FALSE),"+"&amp;CHAR(34),"+"),CHAR(34),""),", "),
_xlpm._exists, SUMPRODUCT(--ISNUMBER(MATCH(_xlpm._platform_keywords,_xlpm._original_keywords,0)))&gt;0,
_xlfn.IFS(AND(_xlpm._exists,LEFT($E68,1)="+"),"+",_xlpm._exists,"*",NOT(_xlpm._exists),"")
)</f>
        <v/>
      </c>
      <c r="K68" s="33" t="str" cm="1">
        <f t="array" aca="1" ref="K68" ca="1">_xlfn.LET(
_xlpm._platform_range, INDIRECT("'Platform review'!$C"&amp;_xlfn.XMATCH(K$2,'Platform review'!$A$1:$A$127)&amp;":$E"&amp;_xlfn.XMATCH(K$2,'Platform review'!$A$1:$A$127)+19),
_xlpm._original_keywords, _xlfn._xlws.FILTER(CLASSIFICATION[[Keyword]:[Keyword]], ($E68=CLASSIFICATION[[Keyword Aggr]:[Keyword Aggr]])*($D68=CLASSIFICATION[[Functional Scope Aggr]:[Functional Scope Aggr]])),
_xlpm._platform_keywords, _xlfn.TEXTSPLIT(SUBSTITUTE(SUBSTITUTE(VLOOKUP($D68,_xlpm._platform_range,3,FALSE),"+"&amp;CHAR(34),"+"),CHAR(34),""),", "),
_xlpm._exists, SUMPRODUCT(--ISNUMBER(MATCH(_xlpm._platform_keywords,_xlpm._original_keywords,0)))&gt;0,
_xlfn.IFS(AND(_xlpm._exists,LEFT($E68,1)="+"),"+",_xlpm._exists,"*",NOT(_xlpm._exists),"")
)</f>
        <v/>
      </c>
      <c r="L68" s="33" t="str" cm="1">
        <f t="array" aca="1" ref="L68" ca="1">_xlfn.LET(
_xlpm._platform_range, INDIRECT("'Platform review'!$C"&amp;_xlfn.XMATCH(L$2,'Platform review'!$A$1:$A$127)&amp;":$E"&amp;_xlfn.XMATCH(L$2,'Platform review'!$A$1:$A$127)+19),
_xlpm._original_keywords, _xlfn._xlws.FILTER(CLASSIFICATION[[Keyword]:[Keyword]], ($E68=CLASSIFICATION[[Keyword Aggr]:[Keyword Aggr]])*($D68=CLASSIFICATION[[Functional Scope Aggr]:[Functional Scope Aggr]])),
_xlpm._platform_keywords, _xlfn.TEXTSPLIT(SUBSTITUTE(SUBSTITUTE(VLOOKUP($D68,_xlpm._platform_range,3,FALSE),"+"&amp;CHAR(34),"+"),CHAR(34),""),", "),
_xlpm._exists, SUMPRODUCT(--ISNUMBER(MATCH(_xlpm._platform_keywords,_xlpm._original_keywords,0)))&gt;0,
_xlfn.IFS(AND(_xlpm._exists,LEFT($E68,1)="+"),"+",_xlpm._exists,"*",NOT(_xlpm._exists),"")
)</f>
        <v>*</v>
      </c>
      <c r="M68" s="33" t="str" cm="1">
        <f t="array" aca="1" ref="M68" ca="1">_xlfn.LET(
_xlpm._platform_range, INDIRECT("'Platform review'!$C"&amp;_xlfn.XMATCH(M$2,'Platform review'!$A$1:$A$127)&amp;":$E"&amp;_xlfn.XMATCH(M$2,'Platform review'!$A$1:$A$127)+19),
_xlpm._original_keywords, _xlfn._xlws.FILTER(CLASSIFICATION[[Keyword]:[Keyword]], ($E68=CLASSIFICATION[[Keyword Aggr]:[Keyword Aggr]])*($D68=CLASSIFICATION[[Functional Scope Aggr]:[Functional Scope Aggr]])),
_xlpm._platform_keywords, _xlfn.TEXTSPLIT(SUBSTITUTE(SUBSTITUTE(VLOOKUP($D68,_xlpm._platform_range,3,FALSE),"+"&amp;CHAR(34),"+"),CHAR(34),""),", "),
_xlpm._exists, SUMPRODUCT(--ISNUMBER(MATCH(_xlpm._platform_keywords,_xlpm._original_keywords,0)))&gt;0,
_xlfn.IFS(AND(_xlpm._exists,LEFT($E68,1)="+"),"+",_xlpm._exists,"*",NOT(_xlpm._exists),"")
)</f>
        <v/>
      </c>
      <c r="N68" s="33" t="str" cm="1">
        <f t="array" aca="1" ref="N68" ca="1">_xlfn.LET(
_xlpm._platform_range, INDIRECT("'Platform review'!$C"&amp;_xlfn.XMATCH(N$2,'Platform review'!$A$1:$A$127)&amp;":$E"&amp;_xlfn.XMATCH(N$2,'Platform review'!$A$1:$A$127)+19),
_xlpm._original_keywords, _xlfn._xlws.FILTER(CLASSIFICATION[[Keyword]:[Keyword]], ($E68=CLASSIFICATION[[Keyword Aggr]:[Keyword Aggr]])*($D68=CLASSIFICATION[[Functional Scope Aggr]:[Functional Scope Aggr]])),
_xlpm._platform_keywords, _xlfn.TEXTSPLIT(SUBSTITUTE(SUBSTITUTE(VLOOKUP($D68,_xlpm._platform_range,3,FALSE),"+"&amp;CHAR(34),"+"),CHAR(34),""),", "),
_xlpm._exists, SUMPRODUCT(--ISNUMBER(MATCH(_xlpm._platform_keywords,_xlpm._original_keywords,0)))&gt;0,
_xlfn.IFS(AND(_xlpm._exists,LEFT($E68,1)="+"),"+",_xlpm._exists,"*",NOT(_xlpm._exists),"")
)</f>
        <v/>
      </c>
      <c r="O68" s="33" t="str" cm="1">
        <f t="array" aca="1" ref="O68" ca="1">_xlfn.LET(
_xlpm._platform_range, INDIRECT("'Platform review'!$C"&amp;_xlfn.XMATCH(O$2,'Platform review'!$A$1:$A$127)&amp;":$E"&amp;_xlfn.XMATCH(O$2,'Platform review'!$A$1:$A$127)+19),
_xlpm._original_keywords, _xlfn._xlws.FILTER(CLASSIFICATION[[Keyword]:[Keyword]], ($E68=CLASSIFICATION[[Keyword Aggr]:[Keyword Aggr]])*($D68=CLASSIFICATION[[Functional Scope Aggr]:[Functional Scope Aggr]])),
_xlpm._platform_keywords, _xlfn.TEXTSPLIT(SUBSTITUTE(SUBSTITUTE(VLOOKUP($D68,_xlpm._platform_range,3,FALSE),"+"&amp;CHAR(34),"+"),CHAR(34),""),", "),
_xlpm._exists, SUMPRODUCT(--ISNUMBER(MATCH(_xlpm._platform_keywords,_xlpm._original_keywords,0)))&gt;0,
_xlfn.IFS(AND(_xlpm._exists,LEFT($E68,1)="+"),"+",_xlpm._exists,"*",NOT(_xlpm._exists),"")
)</f>
        <v/>
      </c>
      <c r="Q68" s="33" t="str">
        <f t="shared" si="6"/>
        <v/>
      </c>
      <c r="R68" s="33" t="str">
        <f t="shared" si="7"/>
        <v/>
      </c>
      <c r="S68" s="33" t="str">
        <f t="shared" si="8"/>
        <v/>
      </c>
      <c r="T68" s="33" t="str">
        <f t="shared" si="9"/>
        <v/>
      </c>
      <c r="U68" s="33" t="str">
        <f t="shared" si="10"/>
        <v/>
      </c>
      <c r="V68" s="33" t="str">
        <f t="shared" si="11"/>
        <v/>
      </c>
    </row>
    <row r="69" spans="1:22" x14ac:dyDescent="0.25">
      <c r="A69" s="19" t="str">
        <v>Implementation,Runtime server installation,Relational Database</v>
      </c>
      <c r="B69" t="s">
        <v>377</v>
      </c>
      <c r="C69" s="19" t="str" cm="1">
        <f t="array" ref="C69:E69">_xlfn.TEXTSPLIT(A69,",")</f>
        <v>Implementation</v>
      </c>
      <c r="D69" s="19" t="str">
        <v>Runtime server installation</v>
      </c>
      <c r="E69" s="19" t="str">
        <v>Relational Database</v>
      </c>
      <c r="F69" s="36" t="str" cm="1">
        <f t="array" ref="F69">_xlfn.TEXTJOIN(",",TRUE,_xlfn._xlws.FILTER(CLASSIFICATION[Keyword], ($E69=CLASSIFICATION[Keyword Aggr])*($D69=CLASSIFICATION[Functional Scope Aggr])))</f>
        <v>Relational Database</v>
      </c>
      <c r="G69" s="32" t="str">
        <f t="shared" si="14"/>
        <v/>
      </c>
      <c r="H69" s="32" t="str">
        <f t="shared" si="14"/>
        <v/>
      </c>
      <c r="I69" s="32" t="str">
        <f t="shared" si="12"/>
        <v>Relational Database</v>
      </c>
      <c r="J69" s="33" t="str" cm="1">
        <f t="array" aca="1" ref="J69" ca="1">_xlfn.LET(
_xlpm._platform_range, INDIRECT("'Platform review'!$C"&amp;_xlfn.XMATCH(J$2,'Platform review'!$A$1:$A$127)&amp;":$E"&amp;_xlfn.XMATCH(J$2,'Platform review'!$A$1:$A$127)+19),
_xlpm._original_keywords, _xlfn._xlws.FILTER(CLASSIFICATION[[Keyword]:[Keyword]], ($E69=CLASSIFICATION[[Keyword Aggr]:[Keyword Aggr]])*($D69=CLASSIFICATION[[Functional Scope Aggr]:[Functional Scope Aggr]])),
_xlpm._platform_keywords, _xlfn.TEXTSPLIT(SUBSTITUTE(SUBSTITUTE(VLOOKUP($D69,_xlpm._platform_range,3,FALSE),"+"&amp;CHAR(34),"+"),CHAR(34),""),", "),
_xlpm._exists, SUMPRODUCT(--ISNUMBER(MATCH(_xlpm._platform_keywords,_xlpm._original_keywords,0)))&gt;0,
_xlfn.IFS(AND(_xlpm._exists,LEFT($E69,1)="+"),"+",_xlpm._exists,"*",NOT(_xlpm._exists),"")
)</f>
        <v>*</v>
      </c>
      <c r="K69" s="33" t="str" cm="1">
        <f t="array" aca="1" ref="K69" ca="1">_xlfn.LET(
_xlpm._platform_range, INDIRECT("'Platform review'!$C"&amp;_xlfn.XMATCH(K$2,'Platform review'!$A$1:$A$127)&amp;":$E"&amp;_xlfn.XMATCH(K$2,'Platform review'!$A$1:$A$127)+19),
_xlpm._original_keywords, _xlfn._xlws.FILTER(CLASSIFICATION[[Keyword]:[Keyword]], ($E69=CLASSIFICATION[[Keyword Aggr]:[Keyword Aggr]])*($D69=CLASSIFICATION[[Functional Scope Aggr]:[Functional Scope Aggr]])),
_xlpm._platform_keywords, _xlfn.TEXTSPLIT(SUBSTITUTE(SUBSTITUTE(VLOOKUP($D69,_xlpm._platform_range,3,FALSE),"+"&amp;CHAR(34),"+"),CHAR(34),""),", "),
_xlpm._exists, SUMPRODUCT(--ISNUMBER(MATCH(_xlpm._platform_keywords,_xlpm._original_keywords,0)))&gt;0,
_xlfn.IFS(AND(_xlpm._exists,LEFT($E69,1)="+"),"+",_xlpm._exists,"*",NOT(_xlpm._exists),"")
)</f>
        <v/>
      </c>
      <c r="L69" s="33" t="str" cm="1">
        <f t="array" aca="1" ref="L69" ca="1">_xlfn.LET(
_xlpm._platform_range, INDIRECT("'Platform review'!$C"&amp;_xlfn.XMATCH(L$2,'Platform review'!$A$1:$A$127)&amp;":$E"&amp;_xlfn.XMATCH(L$2,'Platform review'!$A$1:$A$127)+19),
_xlpm._original_keywords, _xlfn._xlws.FILTER(CLASSIFICATION[[Keyword]:[Keyword]], ($E69=CLASSIFICATION[[Keyword Aggr]:[Keyword Aggr]])*($D69=CLASSIFICATION[[Functional Scope Aggr]:[Functional Scope Aggr]])),
_xlpm._platform_keywords, _xlfn.TEXTSPLIT(SUBSTITUTE(SUBSTITUTE(VLOOKUP($D69,_xlpm._platform_range,3,FALSE),"+"&amp;CHAR(34),"+"),CHAR(34),""),", "),
_xlpm._exists, SUMPRODUCT(--ISNUMBER(MATCH(_xlpm._platform_keywords,_xlpm._original_keywords,0)))&gt;0,
_xlfn.IFS(AND(_xlpm._exists,LEFT($E69,1)="+"),"+",_xlpm._exists,"*",NOT(_xlpm._exists),"")
)</f>
        <v/>
      </c>
      <c r="M69" s="33" t="str" cm="1">
        <f t="array" aca="1" ref="M69" ca="1">_xlfn.LET(
_xlpm._platform_range, INDIRECT("'Platform review'!$C"&amp;_xlfn.XMATCH(M$2,'Platform review'!$A$1:$A$127)&amp;":$E"&amp;_xlfn.XMATCH(M$2,'Platform review'!$A$1:$A$127)+19),
_xlpm._original_keywords, _xlfn._xlws.FILTER(CLASSIFICATION[[Keyword]:[Keyword]], ($E69=CLASSIFICATION[[Keyword Aggr]:[Keyword Aggr]])*($D69=CLASSIFICATION[[Functional Scope Aggr]:[Functional Scope Aggr]])),
_xlpm._platform_keywords, _xlfn.TEXTSPLIT(SUBSTITUTE(SUBSTITUTE(VLOOKUP($D69,_xlpm._platform_range,3,FALSE),"+"&amp;CHAR(34),"+"),CHAR(34),""),", "),
_xlpm._exists, SUMPRODUCT(--ISNUMBER(MATCH(_xlpm._platform_keywords,_xlpm._original_keywords,0)))&gt;0,
_xlfn.IFS(AND(_xlpm._exists,LEFT($E69,1)="+"),"+",_xlpm._exists,"*",NOT(_xlpm._exists),"")
)</f>
        <v/>
      </c>
      <c r="N69" s="33" t="str" cm="1">
        <f t="array" aca="1" ref="N69" ca="1">_xlfn.LET(
_xlpm._platform_range, INDIRECT("'Platform review'!$C"&amp;_xlfn.XMATCH(N$2,'Platform review'!$A$1:$A$127)&amp;":$E"&amp;_xlfn.XMATCH(N$2,'Platform review'!$A$1:$A$127)+19),
_xlpm._original_keywords, _xlfn._xlws.FILTER(CLASSIFICATION[[Keyword]:[Keyword]], ($E69=CLASSIFICATION[[Keyword Aggr]:[Keyword Aggr]])*($D69=CLASSIFICATION[[Functional Scope Aggr]:[Functional Scope Aggr]])),
_xlpm._platform_keywords, _xlfn.TEXTSPLIT(SUBSTITUTE(SUBSTITUTE(VLOOKUP($D69,_xlpm._platform_range,3,FALSE),"+"&amp;CHAR(34),"+"),CHAR(34),""),", "),
_xlpm._exists, SUMPRODUCT(--ISNUMBER(MATCH(_xlpm._platform_keywords,_xlpm._original_keywords,0)))&gt;0,
_xlfn.IFS(AND(_xlpm._exists,LEFT($E69,1)="+"),"+",_xlpm._exists,"*",NOT(_xlpm._exists),"")
)</f>
        <v/>
      </c>
      <c r="O69" s="33" t="str" cm="1">
        <f t="array" aca="1" ref="O69" ca="1">_xlfn.LET(
_xlpm._platform_range, INDIRECT("'Platform review'!$C"&amp;_xlfn.XMATCH(O$2,'Platform review'!$A$1:$A$127)&amp;":$E"&amp;_xlfn.XMATCH(O$2,'Platform review'!$A$1:$A$127)+19),
_xlpm._original_keywords, _xlfn._xlws.FILTER(CLASSIFICATION[[Keyword]:[Keyword]], ($E69=CLASSIFICATION[[Keyword Aggr]:[Keyword Aggr]])*($D69=CLASSIFICATION[[Functional Scope Aggr]:[Functional Scope Aggr]])),
_xlpm._platform_keywords, _xlfn.TEXTSPLIT(SUBSTITUTE(SUBSTITUTE(VLOOKUP($D69,_xlpm._platform_range,3,FALSE),"+"&amp;CHAR(34),"+"),CHAR(34),""),", "),
_xlpm._exists, SUMPRODUCT(--ISNUMBER(MATCH(_xlpm._platform_keywords,_xlpm._original_keywords,0)))&gt;0,
_xlfn.IFS(AND(_xlpm._exists,LEFT($E69,1)="+"),"+",_xlpm._exists,"*",NOT(_xlpm._exists),"")
)</f>
        <v/>
      </c>
      <c r="Q69" s="33" t="str">
        <f t="shared" si="6"/>
        <v/>
      </c>
      <c r="R69" s="33" t="str">
        <f t="shared" si="7"/>
        <v/>
      </c>
      <c r="S69" s="33" t="str">
        <f t="shared" si="8"/>
        <v/>
      </c>
      <c r="T69" s="33" t="str">
        <f t="shared" si="9"/>
        <v/>
      </c>
      <c r="U69" s="33" t="str">
        <f t="shared" si="10"/>
        <v/>
      </c>
      <c r="V69" s="33" t="str">
        <f t="shared" si="11"/>
        <v/>
      </c>
    </row>
    <row r="70" spans="1:22" x14ac:dyDescent="0.25">
      <c r="A70" s="19" t="str">
        <v>Implementation,Runtime server installation,REST API</v>
      </c>
      <c r="B70" t="s">
        <v>377</v>
      </c>
      <c r="C70" s="19" t="str" cm="1">
        <f t="array" ref="C70:E70">_xlfn.TEXTSPLIT(A70,",")</f>
        <v>Implementation</v>
      </c>
      <c r="D70" s="19" t="str">
        <v>Runtime server installation</v>
      </c>
      <c r="E70" s="19" t="str">
        <v>REST API</v>
      </c>
      <c r="F70" s="36" t="str" cm="1">
        <f t="array" ref="F70">_xlfn.TEXTJOIN(",",TRUE,_xlfn._xlws.FILTER(CLASSIFICATION[Keyword], ($E70=CLASSIFICATION[Keyword Aggr])*($D70=CLASSIFICATION[Functional Scope Aggr])))</f>
        <v>REST API</v>
      </c>
      <c r="G70" s="32" t="str">
        <f t="shared" si="14"/>
        <v/>
      </c>
      <c r="H70" s="32" t="str">
        <f t="shared" si="14"/>
        <v/>
      </c>
      <c r="I70" s="32" t="str">
        <f t="shared" si="12"/>
        <v>REST API</v>
      </c>
      <c r="J70" s="33" t="str" cm="1">
        <f t="array" aca="1" ref="J70" ca="1">_xlfn.LET(
_xlpm._platform_range, INDIRECT("'Platform review'!$C"&amp;_xlfn.XMATCH(J$2,'Platform review'!$A$1:$A$127)&amp;":$E"&amp;_xlfn.XMATCH(J$2,'Platform review'!$A$1:$A$127)+19),
_xlpm._original_keywords, _xlfn._xlws.FILTER(CLASSIFICATION[[Keyword]:[Keyword]], ($E70=CLASSIFICATION[[Keyword Aggr]:[Keyword Aggr]])*($D70=CLASSIFICATION[[Functional Scope Aggr]:[Functional Scope Aggr]])),
_xlpm._platform_keywords, _xlfn.TEXTSPLIT(SUBSTITUTE(SUBSTITUTE(VLOOKUP($D70,_xlpm._platform_range,3,FALSE),"+"&amp;CHAR(34),"+"),CHAR(34),""),", "),
_xlpm._exists, SUMPRODUCT(--ISNUMBER(MATCH(_xlpm._platform_keywords,_xlpm._original_keywords,0)))&gt;0,
_xlfn.IFS(AND(_xlpm._exists,LEFT($E70,1)="+"),"+",_xlpm._exists,"*",NOT(_xlpm._exists),"")
)</f>
        <v>*</v>
      </c>
      <c r="K70" s="33" t="str" cm="1">
        <f t="array" aca="1" ref="K70" ca="1">_xlfn.LET(
_xlpm._platform_range, INDIRECT("'Platform review'!$C"&amp;_xlfn.XMATCH(K$2,'Platform review'!$A$1:$A$127)&amp;":$E"&amp;_xlfn.XMATCH(K$2,'Platform review'!$A$1:$A$127)+19),
_xlpm._original_keywords, _xlfn._xlws.FILTER(CLASSIFICATION[[Keyword]:[Keyword]], ($E70=CLASSIFICATION[[Keyword Aggr]:[Keyword Aggr]])*($D70=CLASSIFICATION[[Functional Scope Aggr]:[Functional Scope Aggr]])),
_xlpm._platform_keywords, _xlfn.TEXTSPLIT(SUBSTITUTE(SUBSTITUTE(VLOOKUP($D70,_xlpm._platform_range,3,FALSE),"+"&amp;CHAR(34),"+"),CHAR(34),""),", "),
_xlpm._exists, SUMPRODUCT(--ISNUMBER(MATCH(_xlpm._platform_keywords,_xlpm._original_keywords,0)))&gt;0,
_xlfn.IFS(AND(_xlpm._exists,LEFT($E70,1)="+"),"+",_xlpm._exists,"*",NOT(_xlpm._exists),"")
)</f>
        <v/>
      </c>
      <c r="L70" s="33" t="str" cm="1">
        <f t="array" aca="1" ref="L70" ca="1">_xlfn.LET(
_xlpm._platform_range, INDIRECT("'Platform review'!$C"&amp;_xlfn.XMATCH(L$2,'Platform review'!$A$1:$A$127)&amp;":$E"&amp;_xlfn.XMATCH(L$2,'Platform review'!$A$1:$A$127)+19),
_xlpm._original_keywords, _xlfn._xlws.FILTER(CLASSIFICATION[[Keyword]:[Keyword]], ($E70=CLASSIFICATION[[Keyword Aggr]:[Keyword Aggr]])*($D70=CLASSIFICATION[[Functional Scope Aggr]:[Functional Scope Aggr]])),
_xlpm._platform_keywords, _xlfn.TEXTSPLIT(SUBSTITUTE(SUBSTITUTE(VLOOKUP($D70,_xlpm._platform_range,3,FALSE),"+"&amp;CHAR(34),"+"),CHAR(34),""),", "),
_xlpm._exists, SUMPRODUCT(--ISNUMBER(MATCH(_xlpm._platform_keywords,_xlpm._original_keywords,0)))&gt;0,
_xlfn.IFS(AND(_xlpm._exists,LEFT($E70,1)="+"),"+",_xlpm._exists,"*",NOT(_xlpm._exists),"")
)</f>
        <v/>
      </c>
      <c r="M70" s="33" t="str" cm="1">
        <f t="array" aca="1" ref="M70" ca="1">_xlfn.LET(
_xlpm._platform_range, INDIRECT("'Platform review'!$C"&amp;_xlfn.XMATCH(M$2,'Platform review'!$A$1:$A$127)&amp;":$E"&amp;_xlfn.XMATCH(M$2,'Platform review'!$A$1:$A$127)+19),
_xlpm._original_keywords, _xlfn._xlws.FILTER(CLASSIFICATION[[Keyword]:[Keyword]], ($E70=CLASSIFICATION[[Keyword Aggr]:[Keyword Aggr]])*($D70=CLASSIFICATION[[Functional Scope Aggr]:[Functional Scope Aggr]])),
_xlpm._platform_keywords, _xlfn.TEXTSPLIT(SUBSTITUTE(SUBSTITUTE(VLOOKUP($D70,_xlpm._platform_range,3,FALSE),"+"&amp;CHAR(34),"+"),CHAR(34),""),", "),
_xlpm._exists, SUMPRODUCT(--ISNUMBER(MATCH(_xlpm._platform_keywords,_xlpm._original_keywords,0)))&gt;0,
_xlfn.IFS(AND(_xlpm._exists,LEFT($E70,1)="+"),"+",_xlpm._exists,"*",NOT(_xlpm._exists),"")
)</f>
        <v/>
      </c>
      <c r="N70" s="33" t="str" cm="1">
        <f t="array" aca="1" ref="N70" ca="1">_xlfn.LET(
_xlpm._platform_range, INDIRECT("'Platform review'!$C"&amp;_xlfn.XMATCH(N$2,'Platform review'!$A$1:$A$127)&amp;":$E"&amp;_xlfn.XMATCH(N$2,'Platform review'!$A$1:$A$127)+19),
_xlpm._original_keywords, _xlfn._xlws.FILTER(CLASSIFICATION[[Keyword]:[Keyword]], ($E70=CLASSIFICATION[[Keyword Aggr]:[Keyword Aggr]])*($D70=CLASSIFICATION[[Functional Scope Aggr]:[Functional Scope Aggr]])),
_xlpm._platform_keywords, _xlfn.TEXTSPLIT(SUBSTITUTE(SUBSTITUTE(VLOOKUP($D70,_xlpm._platform_range,3,FALSE),"+"&amp;CHAR(34),"+"),CHAR(34),""),", "),
_xlpm._exists, SUMPRODUCT(--ISNUMBER(MATCH(_xlpm._platform_keywords,_xlpm._original_keywords,0)))&gt;0,
_xlfn.IFS(AND(_xlpm._exists,LEFT($E70,1)="+"),"+",_xlpm._exists,"*",NOT(_xlpm._exists),"")
)</f>
        <v/>
      </c>
      <c r="O70" s="33" t="str" cm="1">
        <f t="array" aca="1" ref="O70" ca="1">_xlfn.LET(
_xlpm._platform_range, INDIRECT("'Platform review'!$C"&amp;_xlfn.XMATCH(O$2,'Platform review'!$A$1:$A$127)&amp;":$E"&amp;_xlfn.XMATCH(O$2,'Platform review'!$A$1:$A$127)+19),
_xlpm._original_keywords, _xlfn._xlws.FILTER(CLASSIFICATION[[Keyword]:[Keyword]], ($E70=CLASSIFICATION[[Keyword Aggr]:[Keyword Aggr]])*($D70=CLASSIFICATION[[Functional Scope Aggr]:[Functional Scope Aggr]])),
_xlpm._platform_keywords, _xlfn.TEXTSPLIT(SUBSTITUTE(SUBSTITUTE(VLOOKUP($D70,_xlpm._platform_range,3,FALSE),"+"&amp;CHAR(34),"+"),CHAR(34),""),", "),
_xlpm._exists, SUMPRODUCT(--ISNUMBER(MATCH(_xlpm._platform_keywords,_xlpm._original_keywords,0)))&gt;0,
_xlfn.IFS(AND(_xlpm._exists,LEFT($E70,1)="+"),"+",_xlpm._exists,"*",NOT(_xlpm._exists),"")
)</f>
        <v/>
      </c>
      <c r="Q70" s="33" t="str">
        <f t="shared" ref="Q70:Q133" si="15">IF($H70&lt;&gt;"",COUNTIFS(J$3:J$500,"~*",$D$3:$D$500,$H70),"")</f>
        <v/>
      </c>
      <c r="R70" s="33" t="str">
        <f t="shared" si="7"/>
        <v/>
      </c>
      <c r="S70" s="33" t="str">
        <f t="shared" si="8"/>
        <v/>
      </c>
      <c r="T70" s="33" t="str">
        <f t="shared" si="9"/>
        <v/>
      </c>
      <c r="U70" s="33" t="str">
        <f t="shared" si="10"/>
        <v/>
      </c>
      <c r="V70" s="33" t="str">
        <f t="shared" si="11"/>
        <v/>
      </c>
    </row>
    <row r="71" spans="1:22" x14ac:dyDescent="0.25">
      <c r="A71" s="19" t="str">
        <v>Implementation,Runtime server installation,SAML Authentication</v>
      </c>
      <c r="B71" t="s">
        <v>377</v>
      </c>
      <c r="C71" s="19" t="str" cm="1">
        <f t="array" ref="C71:E71">_xlfn.TEXTSPLIT(A71,",")</f>
        <v>Implementation</v>
      </c>
      <c r="D71" s="19" t="str">
        <v>Runtime server installation</v>
      </c>
      <c r="E71" s="19" t="str">
        <v>SAML Authentication</v>
      </c>
      <c r="F71" s="36" t="str" cm="1">
        <f t="array" ref="F71">_xlfn.TEXTJOIN(",",TRUE,_xlfn._xlws.FILTER(CLASSIFICATION[Keyword], ($E71=CLASSIFICATION[Keyword Aggr])*($D71=CLASSIFICATION[Functional Scope Aggr])))</f>
        <v>SAML Authentication</v>
      </c>
      <c r="G71" s="32" t="str">
        <f t="shared" si="14"/>
        <v/>
      </c>
      <c r="H71" s="32" t="str">
        <f t="shared" si="14"/>
        <v/>
      </c>
      <c r="I71" s="32" t="str">
        <f t="shared" si="12"/>
        <v>SAML Authentication</v>
      </c>
      <c r="J71" s="33" t="str" cm="1">
        <f t="array" aca="1" ref="J71" ca="1">_xlfn.LET(
_xlpm._platform_range, INDIRECT("'Platform review'!$C"&amp;_xlfn.XMATCH(J$2,'Platform review'!$A$1:$A$127)&amp;":$E"&amp;_xlfn.XMATCH(J$2,'Platform review'!$A$1:$A$127)+19),
_xlpm._original_keywords, _xlfn._xlws.FILTER(CLASSIFICATION[[Keyword]:[Keyword]], ($E71=CLASSIFICATION[[Keyword Aggr]:[Keyword Aggr]])*($D71=CLASSIFICATION[[Functional Scope Aggr]:[Functional Scope Aggr]])),
_xlpm._platform_keywords, _xlfn.TEXTSPLIT(SUBSTITUTE(SUBSTITUTE(VLOOKUP($D71,_xlpm._platform_range,3,FALSE),"+"&amp;CHAR(34),"+"),CHAR(34),""),", "),
_xlpm._exists, SUMPRODUCT(--ISNUMBER(MATCH(_xlpm._platform_keywords,_xlpm._original_keywords,0)))&gt;0,
_xlfn.IFS(AND(_xlpm._exists,LEFT($E71,1)="+"),"+",_xlpm._exists,"*",NOT(_xlpm._exists),"")
)</f>
        <v/>
      </c>
      <c r="K71" s="33" t="str" cm="1">
        <f t="array" aca="1" ref="K71" ca="1">_xlfn.LET(
_xlpm._platform_range, INDIRECT("'Platform review'!$C"&amp;_xlfn.XMATCH(K$2,'Platform review'!$A$1:$A$127)&amp;":$E"&amp;_xlfn.XMATCH(K$2,'Platform review'!$A$1:$A$127)+19),
_xlpm._original_keywords, _xlfn._xlws.FILTER(CLASSIFICATION[[Keyword]:[Keyword]], ($E71=CLASSIFICATION[[Keyword Aggr]:[Keyword Aggr]])*($D71=CLASSIFICATION[[Functional Scope Aggr]:[Functional Scope Aggr]])),
_xlpm._platform_keywords, _xlfn.TEXTSPLIT(SUBSTITUTE(SUBSTITUTE(VLOOKUP($D71,_xlpm._platform_range,3,FALSE),"+"&amp;CHAR(34),"+"),CHAR(34),""),", "),
_xlpm._exists, SUMPRODUCT(--ISNUMBER(MATCH(_xlpm._platform_keywords,_xlpm._original_keywords,0)))&gt;0,
_xlfn.IFS(AND(_xlpm._exists,LEFT($E71,1)="+"),"+",_xlpm._exists,"*",NOT(_xlpm._exists),"")
)</f>
        <v/>
      </c>
      <c r="L71" s="33" t="str" cm="1">
        <f t="array" aca="1" ref="L71" ca="1">_xlfn.LET(
_xlpm._platform_range, INDIRECT("'Platform review'!$C"&amp;_xlfn.XMATCH(L$2,'Platform review'!$A$1:$A$127)&amp;":$E"&amp;_xlfn.XMATCH(L$2,'Platform review'!$A$1:$A$127)+19),
_xlpm._original_keywords, _xlfn._xlws.FILTER(CLASSIFICATION[[Keyword]:[Keyword]], ($E71=CLASSIFICATION[[Keyword Aggr]:[Keyword Aggr]])*($D71=CLASSIFICATION[[Functional Scope Aggr]:[Functional Scope Aggr]])),
_xlpm._platform_keywords, _xlfn.TEXTSPLIT(SUBSTITUTE(SUBSTITUTE(VLOOKUP($D71,_xlpm._platform_range,3,FALSE),"+"&amp;CHAR(34),"+"),CHAR(34),""),", "),
_xlpm._exists, SUMPRODUCT(--ISNUMBER(MATCH(_xlpm._platform_keywords,_xlpm._original_keywords,0)))&gt;0,
_xlfn.IFS(AND(_xlpm._exists,LEFT($E71,1)="+"),"+",_xlpm._exists,"*",NOT(_xlpm._exists),"")
)</f>
        <v>*</v>
      </c>
      <c r="M71" s="33" t="str" cm="1">
        <f t="array" aca="1" ref="M71" ca="1">_xlfn.LET(
_xlpm._platform_range, INDIRECT("'Platform review'!$C"&amp;_xlfn.XMATCH(M$2,'Platform review'!$A$1:$A$127)&amp;":$E"&amp;_xlfn.XMATCH(M$2,'Platform review'!$A$1:$A$127)+19),
_xlpm._original_keywords, _xlfn._xlws.FILTER(CLASSIFICATION[[Keyword]:[Keyword]], ($E71=CLASSIFICATION[[Keyword Aggr]:[Keyword Aggr]])*($D71=CLASSIFICATION[[Functional Scope Aggr]:[Functional Scope Aggr]])),
_xlpm._platform_keywords, _xlfn.TEXTSPLIT(SUBSTITUTE(SUBSTITUTE(VLOOKUP($D71,_xlpm._platform_range,3,FALSE),"+"&amp;CHAR(34),"+"),CHAR(34),""),", "),
_xlpm._exists, SUMPRODUCT(--ISNUMBER(MATCH(_xlpm._platform_keywords,_xlpm._original_keywords,0)))&gt;0,
_xlfn.IFS(AND(_xlpm._exists,LEFT($E71,1)="+"),"+",_xlpm._exists,"*",NOT(_xlpm._exists),"")
)</f>
        <v/>
      </c>
      <c r="N71" s="33" t="str" cm="1">
        <f t="array" aca="1" ref="N71" ca="1">_xlfn.LET(
_xlpm._platform_range, INDIRECT("'Platform review'!$C"&amp;_xlfn.XMATCH(N$2,'Platform review'!$A$1:$A$127)&amp;":$E"&amp;_xlfn.XMATCH(N$2,'Platform review'!$A$1:$A$127)+19),
_xlpm._original_keywords, _xlfn._xlws.FILTER(CLASSIFICATION[[Keyword]:[Keyword]], ($E71=CLASSIFICATION[[Keyword Aggr]:[Keyword Aggr]])*($D71=CLASSIFICATION[[Functional Scope Aggr]:[Functional Scope Aggr]])),
_xlpm._platform_keywords, _xlfn.TEXTSPLIT(SUBSTITUTE(SUBSTITUTE(VLOOKUP($D71,_xlpm._platform_range,3,FALSE),"+"&amp;CHAR(34),"+"),CHAR(34),""),", "),
_xlpm._exists, SUMPRODUCT(--ISNUMBER(MATCH(_xlpm._platform_keywords,_xlpm._original_keywords,0)))&gt;0,
_xlfn.IFS(AND(_xlpm._exists,LEFT($E71,1)="+"),"+",_xlpm._exists,"*",NOT(_xlpm._exists),"")
)</f>
        <v/>
      </c>
      <c r="O71" s="33" t="str" cm="1">
        <f t="array" aca="1" ref="O71" ca="1">_xlfn.LET(
_xlpm._platform_range, INDIRECT("'Platform review'!$C"&amp;_xlfn.XMATCH(O$2,'Platform review'!$A$1:$A$127)&amp;":$E"&amp;_xlfn.XMATCH(O$2,'Platform review'!$A$1:$A$127)+19),
_xlpm._original_keywords, _xlfn._xlws.FILTER(CLASSIFICATION[[Keyword]:[Keyword]], ($E71=CLASSIFICATION[[Keyword Aggr]:[Keyword Aggr]])*($D71=CLASSIFICATION[[Functional Scope Aggr]:[Functional Scope Aggr]])),
_xlpm._platform_keywords, _xlfn.TEXTSPLIT(SUBSTITUTE(SUBSTITUTE(VLOOKUP($D71,_xlpm._platform_range,3,FALSE),"+"&amp;CHAR(34),"+"),CHAR(34),""),", "),
_xlpm._exists, SUMPRODUCT(--ISNUMBER(MATCH(_xlpm._platform_keywords,_xlpm._original_keywords,0)))&gt;0,
_xlfn.IFS(AND(_xlpm._exists,LEFT($E71,1)="+"),"+",_xlpm._exists,"*",NOT(_xlpm._exists),"")
)</f>
        <v/>
      </c>
      <c r="Q71" s="33" t="str">
        <f t="shared" si="15"/>
        <v/>
      </c>
      <c r="R71" s="33" t="str">
        <f t="shared" ref="R71:R134" si="16">IF($H71&lt;&gt;"",COUNTIFS(K$3:K$500,"~*",$D$3:$D$500,$H71),"")</f>
        <v/>
      </c>
      <c r="S71" s="33" t="str">
        <f t="shared" ref="S71:S134" si="17">IF($H71&lt;&gt;"",COUNTIFS(L$3:L$500,"~*",$D$3:$D$500,$H71),"")</f>
        <v/>
      </c>
      <c r="T71" s="33" t="str">
        <f t="shared" ref="T71:T134" si="18">IF($H71&lt;&gt;"",COUNTIFS(M$3:M$500,"~*",$D$3:$D$500,$H71),"")</f>
        <v/>
      </c>
      <c r="U71" s="33" t="str">
        <f t="shared" ref="U71:U134" si="19">IF($H71&lt;&gt;"",COUNTIFS(N$3:N$500,"~*",$D$3:$D$500,$H71),"")</f>
        <v/>
      </c>
      <c r="V71" s="33" t="str">
        <f t="shared" ref="V71:V134" si="20">IF($H71&lt;&gt;"",COUNTIFS(O$3:O$500,"~*",$D$3:$D$500,$H71),"")</f>
        <v/>
      </c>
    </row>
    <row r="72" spans="1:22" x14ac:dyDescent="0.25">
      <c r="A72" s="19" t="str">
        <v>Implementation,Runtime server installation,SOAP</v>
      </c>
      <c r="B72" t="s">
        <v>377</v>
      </c>
      <c r="C72" s="19" t="str" cm="1">
        <f t="array" ref="C72:E72">_xlfn.TEXTSPLIT(A72,",")</f>
        <v>Implementation</v>
      </c>
      <c r="D72" s="19" t="str">
        <v>Runtime server installation</v>
      </c>
      <c r="E72" s="19" t="str">
        <v>SOAP</v>
      </c>
      <c r="F72" s="36" t="str" cm="1">
        <f t="array" ref="F72">_xlfn.TEXTJOIN(",",TRUE,_xlfn._xlws.FILTER(CLASSIFICATION[Keyword], ($E72=CLASSIFICATION[Keyword Aggr])*($D72=CLASSIFICATION[Functional Scope Aggr])))</f>
        <v>SOAP</v>
      </c>
      <c r="G72" s="32" t="str">
        <f t="shared" si="14"/>
        <v/>
      </c>
      <c r="H72" s="32" t="str">
        <f t="shared" si="14"/>
        <v/>
      </c>
      <c r="I72" s="32" t="str">
        <f t="shared" si="12"/>
        <v>SOAP</v>
      </c>
      <c r="J72" s="33" t="str" cm="1">
        <f t="array" aca="1" ref="J72" ca="1">_xlfn.LET(
_xlpm._platform_range, INDIRECT("'Platform review'!$C"&amp;_xlfn.XMATCH(J$2,'Platform review'!$A$1:$A$127)&amp;":$E"&amp;_xlfn.XMATCH(J$2,'Platform review'!$A$1:$A$127)+19),
_xlpm._original_keywords, _xlfn._xlws.FILTER(CLASSIFICATION[[Keyword]:[Keyword]], ($E72=CLASSIFICATION[[Keyword Aggr]:[Keyword Aggr]])*($D72=CLASSIFICATION[[Functional Scope Aggr]:[Functional Scope Aggr]])),
_xlpm._platform_keywords, _xlfn.TEXTSPLIT(SUBSTITUTE(SUBSTITUTE(VLOOKUP($D72,_xlpm._platform_range,3,FALSE),"+"&amp;CHAR(34),"+"),CHAR(34),""),", "),
_xlpm._exists, SUMPRODUCT(--ISNUMBER(MATCH(_xlpm._platform_keywords,_xlpm._original_keywords,0)))&gt;0,
_xlfn.IFS(AND(_xlpm._exists,LEFT($E72,1)="+"),"+",_xlpm._exists,"*",NOT(_xlpm._exists),"")
)</f>
        <v>*</v>
      </c>
      <c r="K72" s="33" t="str" cm="1">
        <f t="array" aca="1" ref="K72" ca="1">_xlfn.LET(
_xlpm._platform_range, INDIRECT("'Platform review'!$C"&amp;_xlfn.XMATCH(K$2,'Platform review'!$A$1:$A$127)&amp;":$E"&amp;_xlfn.XMATCH(K$2,'Platform review'!$A$1:$A$127)+19),
_xlpm._original_keywords, _xlfn._xlws.FILTER(CLASSIFICATION[[Keyword]:[Keyword]], ($E72=CLASSIFICATION[[Keyword Aggr]:[Keyword Aggr]])*($D72=CLASSIFICATION[[Functional Scope Aggr]:[Functional Scope Aggr]])),
_xlpm._platform_keywords, _xlfn.TEXTSPLIT(SUBSTITUTE(SUBSTITUTE(VLOOKUP($D72,_xlpm._platform_range,3,FALSE),"+"&amp;CHAR(34),"+"),CHAR(34),""),", "),
_xlpm._exists, SUMPRODUCT(--ISNUMBER(MATCH(_xlpm._platform_keywords,_xlpm._original_keywords,0)))&gt;0,
_xlfn.IFS(AND(_xlpm._exists,LEFT($E72,1)="+"),"+",_xlpm._exists,"*",NOT(_xlpm._exists),"")
)</f>
        <v/>
      </c>
      <c r="L72" s="33" t="str" cm="1">
        <f t="array" aca="1" ref="L72" ca="1">_xlfn.LET(
_xlpm._platform_range, INDIRECT("'Platform review'!$C"&amp;_xlfn.XMATCH(L$2,'Platform review'!$A$1:$A$127)&amp;":$E"&amp;_xlfn.XMATCH(L$2,'Platform review'!$A$1:$A$127)+19),
_xlpm._original_keywords, _xlfn._xlws.FILTER(CLASSIFICATION[[Keyword]:[Keyword]], ($E72=CLASSIFICATION[[Keyword Aggr]:[Keyword Aggr]])*($D72=CLASSIFICATION[[Functional Scope Aggr]:[Functional Scope Aggr]])),
_xlpm._platform_keywords, _xlfn.TEXTSPLIT(SUBSTITUTE(SUBSTITUTE(VLOOKUP($D72,_xlpm._platform_range,3,FALSE),"+"&amp;CHAR(34),"+"),CHAR(34),""),", "),
_xlpm._exists, SUMPRODUCT(--ISNUMBER(MATCH(_xlpm._platform_keywords,_xlpm._original_keywords,0)))&gt;0,
_xlfn.IFS(AND(_xlpm._exists,LEFT($E72,1)="+"),"+",_xlpm._exists,"*",NOT(_xlpm._exists),"")
)</f>
        <v/>
      </c>
      <c r="M72" s="33" t="str" cm="1">
        <f t="array" aca="1" ref="M72" ca="1">_xlfn.LET(
_xlpm._platform_range, INDIRECT("'Platform review'!$C"&amp;_xlfn.XMATCH(M$2,'Platform review'!$A$1:$A$127)&amp;":$E"&amp;_xlfn.XMATCH(M$2,'Platform review'!$A$1:$A$127)+19),
_xlpm._original_keywords, _xlfn._xlws.FILTER(CLASSIFICATION[[Keyword]:[Keyword]], ($E72=CLASSIFICATION[[Keyword Aggr]:[Keyword Aggr]])*($D72=CLASSIFICATION[[Functional Scope Aggr]:[Functional Scope Aggr]])),
_xlpm._platform_keywords, _xlfn.TEXTSPLIT(SUBSTITUTE(SUBSTITUTE(VLOOKUP($D72,_xlpm._platform_range,3,FALSE),"+"&amp;CHAR(34),"+"),CHAR(34),""),", "),
_xlpm._exists, SUMPRODUCT(--ISNUMBER(MATCH(_xlpm._platform_keywords,_xlpm._original_keywords,0)))&gt;0,
_xlfn.IFS(AND(_xlpm._exists,LEFT($E72,1)="+"),"+",_xlpm._exists,"*",NOT(_xlpm._exists),"")
)</f>
        <v/>
      </c>
      <c r="N72" s="33" t="str" cm="1">
        <f t="array" aca="1" ref="N72" ca="1">_xlfn.LET(
_xlpm._platform_range, INDIRECT("'Platform review'!$C"&amp;_xlfn.XMATCH(N$2,'Platform review'!$A$1:$A$127)&amp;":$E"&amp;_xlfn.XMATCH(N$2,'Platform review'!$A$1:$A$127)+19),
_xlpm._original_keywords, _xlfn._xlws.FILTER(CLASSIFICATION[[Keyword]:[Keyword]], ($E72=CLASSIFICATION[[Keyword Aggr]:[Keyword Aggr]])*($D72=CLASSIFICATION[[Functional Scope Aggr]:[Functional Scope Aggr]])),
_xlpm._platform_keywords, _xlfn.TEXTSPLIT(SUBSTITUTE(SUBSTITUTE(VLOOKUP($D72,_xlpm._platform_range,3,FALSE),"+"&amp;CHAR(34),"+"),CHAR(34),""),", "),
_xlpm._exists, SUMPRODUCT(--ISNUMBER(MATCH(_xlpm._platform_keywords,_xlpm._original_keywords,0)))&gt;0,
_xlfn.IFS(AND(_xlpm._exists,LEFT($E72,1)="+"),"+",_xlpm._exists,"*",NOT(_xlpm._exists),"")
)</f>
        <v/>
      </c>
      <c r="O72" s="33" t="str" cm="1">
        <f t="array" aca="1" ref="O72" ca="1">_xlfn.LET(
_xlpm._platform_range, INDIRECT("'Platform review'!$C"&amp;_xlfn.XMATCH(O$2,'Platform review'!$A$1:$A$127)&amp;":$E"&amp;_xlfn.XMATCH(O$2,'Platform review'!$A$1:$A$127)+19),
_xlpm._original_keywords, _xlfn._xlws.FILTER(CLASSIFICATION[[Keyword]:[Keyword]], ($E72=CLASSIFICATION[[Keyword Aggr]:[Keyword Aggr]])*($D72=CLASSIFICATION[[Functional Scope Aggr]:[Functional Scope Aggr]])),
_xlpm._platform_keywords, _xlfn.TEXTSPLIT(SUBSTITUTE(SUBSTITUTE(VLOOKUP($D72,_xlpm._platform_range,3,FALSE),"+"&amp;CHAR(34),"+"),CHAR(34),""),", "),
_xlpm._exists, SUMPRODUCT(--ISNUMBER(MATCH(_xlpm._platform_keywords,_xlpm._original_keywords,0)))&gt;0,
_xlfn.IFS(AND(_xlpm._exists,LEFT($E72,1)="+"),"+",_xlpm._exists,"*",NOT(_xlpm._exists),"")
)</f>
        <v/>
      </c>
      <c r="Q72" s="33" t="str">
        <f t="shared" si="15"/>
        <v/>
      </c>
      <c r="R72" s="33" t="str">
        <f t="shared" si="16"/>
        <v/>
      </c>
      <c r="S72" s="33" t="str">
        <f t="shared" si="17"/>
        <v/>
      </c>
      <c r="T72" s="33" t="str">
        <f t="shared" si="18"/>
        <v/>
      </c>
      <c r="U72" s="33" t="str">
        <f t="shared" si="19"/>
        <v/>
      </c>
      <c r="V72" s="33" t="str">
        <f t="shared" si="20"/>
        <v/>
      </c>
    </row>
    <row r="73" spans="1:22" x14ac:dyDescent="0.25">
      <c r="A73" s="19" t="str">
        <v>Implementation,Runtime server installation,Swagger</v>
      </c>
      <c r="B73" t="s">
        <v>377</v>
      </c>
      <c r="C73" s="19" t="str" cm="1">
        <f t="array" ref="C73:E73">_xlfn.TEXTSPLIT(A73,",")</f>
        <v>Implementation</v>
      </c>
      <c r="D73" s="19" t="str">
        <v>Runtime server installation</v>
      </c>
      <c r="E73" s="19" t="str">
        <v>Swagger</v>
      </c>
      <c r="F73" s="36" t="str" cm="1">
        <f t="array" ref="F73">_xlfn.TEXTJOIN(",",TRUE,_xlfn._xlws.FILTER(CLASSIFICATION[Keyword], ($E73=CLASSIFICATION[Keyword Aggr])*($D73=CLASSIFICATION[Functional Scope Aggr])))</f>
        <v>Swagger</v>
      </c>
      <c r="G73" s="32" t="str">
        <f t="shared" si="14"/>
        <v/>
      </c>
      <c r="H73" s="32" t="str">
        <f t="shared" si="14"/>
        <v/>
      </c>
      <c r="I73" s="32" t="str">
        <f t="shared" si="12"/>
        <v>Swagger</v>
      </c>
      <c r="J73" s="33" t="str" cm="1">
        <f t="array" aca="1" ref="J73" ca="1">_xlfn.LET(
_xlpm._platform_range, INDIRECT("'Platform review'!$C"&amp;_xlfn.XMATCH(J$2,'Platform review'!$A$1:$A$127)&amp;":$E"&amp;_xlfn.XMATCH(J$2,'Platform review'!$A$1:$A$127)+19),
_xlpm._original_keywords, _xlfn._xlws.FILTER(CLASSIFICATION[[Keyword]:[Keyword]], ($E73=CLASSIFICATION[[Keyword Aggr]:[Keyword Aggr]])*($D73=CLASSIFICATION[[Functional Scope Aggr]:[Functional Scope Aggr]])),
_xlpm._platform_keywords, _xlfn.TEXTSPLIT(SUBSTITUTE(SUBSTITUTE(VLOOKUP($D73,_xlpm._platform_range,3,FALSE),"+"&amp;CHAR(34),"+"),CHAR(34),""),", "),
_xlpm._exists, SUMPRODUCT(--ISNUMBER(MATCH(_xlpm._platform_keywords,_xlpm._original_keywords,0)))&gt;0,
_xlfn.IFS(AND(_xlpm._exists,LEFT($E73,1)="+"),"+",_xlpm._exists,"*",NOT(_xlpm._exists),"")
)</f>
        <v>*</v>
      </c>
      <c r="K73" s="33" t="str" cm="1">
        <f t="array" aca="1" ref="K73" ca="1">_xlfn.LET(
_xlpm._platform_range, INDIRECT("'Platform review'!$C"&amp;_xlfn.XMATCH(K$2,'Platform review'!$A$1:$A$127)&amp;":$E"&amp;_xlfn.XMATCH(K$2,'Platform review'!$A$1:$A$127)+19),
_xlpm._original_keywords, _xlfn._xlws.FILTER(CLASSIFICATION[[Keyword]:[Keyword]], ($E73=CLASSIFICATION[[Keyword Aggr]:[Keyword Aggr]])*($D73=CLASSIFICATION[[Functional Scope Aggr]:[Functional Scope Aggr]])),
_xlpm._platform_keywords, _xlfn.TEXTSPLIT(SUBSTITUTE(SUBSTITUTE(VLOOKUP($D73,_xlpm._platform_range,3,FALSE),"+"&amp;CHAR(34),"+"),CHAR(34),""),", "),
_xlpm._exists, SUMPRODUCT(--ISNUMBER(MATCH(_xlpm._platform_keywords,_xlpm._original_keywords,0)))&gt;0,
_xlfn.IFS(AND(_xlpm._exists,LEFT($E73,1)="+"),"+",_xlpm._exists,"*",NOT(_xlpm._exists),"")
)</f>
        <v/>
      </c>
      <c r="L73" s="33" t="str" cm="1">
        <f t="array" aca="1" ref="L73" ca="1">_xlfn.LET(
_xlpm._platform_range, INDIRECT("'Platform review'!$C"&amp;_xlfn.XMATCH(L$2,'Platform review'!$A$1:$A$127)&amp;":$E"&amp;_xlfn.XMATCH(L$2,'Platform review'!$A$1:$A$127)+19),
_xlpm._original_keywords, _xlfn._xlws.FILTER(CLASSIFICATION[[Keyword]:[Keyword]], ($E73=CLASSIFICATION[[Keyword Aggr]:[Keyword Aggr]])*($D73=CLASSIFICATION[[Functional Scope Aggr]:[Functional Scope Aggr]])),
_xlpm._platform_keywords, _xlfn.TEXTSPLIT(SUBSTITUTE(SUBSTITUTE(VLOOKUP($D73,_xlpm._platform_range,3,FALSE),"+"&amp;CHAR(34),"+"),CHAR(34),""),", "),
_xlpm._exists, SUMPRODUCT(--ISNUMBER(MATCH(_xlpm._platform_keywords,_xlpm._original_keywords,0)))&gt;0,
_xlfn.IFS(AND(_xlpm._exists,LEFT($E73,1)="+"),"+",_xlpm._exists,"*",NOT(_xlpm._exists),"")
)</f>
        <v/>
      </c>
      <c r="M73" s="33" t="str" cm="1">
        <f t="array" aca="1" ref="M73" ca="1">_xlfn.LET(
_xlpm._platform_range, INDIRECT("'Platform review'!$C"&amp;_xlfn.XMATCH(M$2,'Platform review'!$A$1:$A$127)&amp;":$E"&amp;_xlfn.XMATCH(M$2,'Platform review'!$A$1:$A$127)+19),
_xlpm._original_keywords, _xlfn._xlws.FILTER(CLASSIFICATION[[Keyword]:[Keyword]], ($E73=CLASSIFICATION[[Keyword Aggr]:[Keyword Aggr]])*($D73=CLASSIFICATION[[Functional Scope Aggr]:[Functional Scope Aggr]])),
_xlpm._platform_keywords, _xlfn.TEXTSPLIT(SUBSTITUTE(SUBSTITUTE(VLOOKUP($D73,_xlpm._platform_range,3,FALSE),"+"&amp;CHAR(34),"+"),CHAR(34),""),", "),
_xlpm._exists, SUMPRODUCT(--ISNUMBER(MATCH(_xlpm._platform_keywords,_xlpm._original_keywords,0)))&gt;0,
_xlfn.IFS(AND(_xlpm._exists,LEFT($E73,1)="+"),"+",_xlpm._exists,"*",NOT(_xlpm._exists),"")
)</f>
        <v/>
      </c>
      <c r="N73" s="33" t="str" cm="1">
        <f t="array" aca="1" ref="N73" ca="1">_xlfn.LET(
_xlpm._platform_range, INDIRECT("'Platform review'!$C"&amp;_xlfn.XMATCH(N$2,'Platform review'!$A$1:$A$127)&amp;":$E"&amp;_xlfn.XMATCH(N$2,'Platform review'!$A$1:$A$127)+19),
_xlpm._original_keywords, _xlfn._xlws.FILTER(CLASSIFICATION[[Keyword]:[Keyword]], ($E73=CLASSIFICATION[[Keyword Aggr]:[Keyword Aggr]])*($D73=CLASSIFICATION[[Functional Scope Aggr]:[Functional Scope Aggr]])),
_xlpm._platform_keywords, _xlfn.TEXTSPLIT(SUBSTITUTE(SUBSTITUTE(VLOOKUP($D73,_xlpm._platform_range,3,FALSE),"+"&amp;CHAR(34),"+"),CHAR(34),""),", "),
_xlpm._exists, SUMPRODUCT(--ISNUMBER(MATCH(_xlpm._platform_keywords,_xlpm._original_keywords,0)))&gt;0,
_xlfn.IFS(AND(_xlpm._exists,LEFT($E73,1)="+"),"+",_xlpm._exists,"*",NOT(_xlpm._exists),"")
)</f>
        <v/>
      </c>
      <c r="O73" s="33" t="str" cm="1">
        <f t="array" aca="1" ref="O73" ca="1">_xlfn.LET(
_xlpm._platform_range, INDIRECT("'Platform review'!$C"&amp;_xlfn.XMATCH(O$2,'Platform review'!$A$1:$A$127)&amp;":$E"&amp;_xlfn.XMATCH(O$2,'Platform review'!$A$1:$A$127)+19),
_xlpm._original_keywords, _xlfn._xlws.FILTER(CLASSIFICATION[[Keyword]:[Keyword]], ($E73=CLASSIFICATION[[Keyword Aggr]:[Keyword Aggr]])*($D73=CLASSIFICATION[[Functional Scope Aggr]:[Functional Scope Aggr]])),
_xlpm._platform_keywords, _xlfn.TEXTSPLIT(SUBSTITUTE(SUBSTITUTE(VLOOKUP($D73,_xlpm._platform_range,3,FALSE),"+"&amp;CHAR(34),"+"),CHAR(34),""),", "),
_xlpm._exists, SUMPRODUCT(--ISNUMBER(MATCH(_xlpm._platform_keywords,_xlpm._original_keywords,0)))&gt;0,
_xlfn.IFS(AND(_xlpm._exists,LEFT($E73,1)="+"),"+",_xlpm._exists,"*",NOT(_xlpm._exists),"")
)</f>
        <v/>
      </c>
      <c r="Q73" s="33" t="str">
        <f t="shared" si="15"/>
        <v/>
      </c>
      <c r="R73" s="33" t="str">
        <f t="shared" si="16"/>
        <v/>
      </c>
      <c r="S73" s="33" t="str">
        <f t="shared" si="17"/>
        <v/>
      </c>
      <c r="T73" s="33" t="str">
        <f t="shared" si="18"/>
        <v/>
      </c>
      <c r="U73" s="33" t="str">
        <f t="shared" si="19"/>
        <v/>
      </c>
      <c r="V73" s="33" t="str">
        <f t="shared" si="20"/>
        <v/>
      </c>
    </row>
    <row r="74" spans="1:22" x14ac:dyDescent="0.25">
      <c r="A74" s="19" t="str">
        <v>Implementation,Runtime server installation,XML/XPath</v>
      </c>
      <c r="B74" t="s">
        <v>377</v>
      </c>
      <c r="C74" s="19" t="str" cm="1">
        <f t="array" ref="C74:E74">_xlfn.TEXTSPLIT(A74,",")</f>
        <v>Implementation</v>
      </c>
      <c r="D74" s="19" t="str">
        <v>Runtime server installation</v>
      </c>
      <c r="E74" s="19" t="str">
        <v>XML/XPath</v>
      </c>
      <c r="F74" s="36" t="str" cm="1">
        <f t="array" ref="F74">_xlfn.TEXTJOIN(",",TRUE,_xlfn._xlws.FILTER(CLASSIFICATION[Keyword], ($E74=CLASSIFICATION[Keyword Aggr])*($D74=CLASSIFICATION[Functional Scope Aggr])))</f>
        <v>Xpath</v>
      </c>
      <c r="G74" s="32" t="str">
        <f t="shared" si="14"/>
        <v/>
      </c>
      <c r="H74" s="32" t="str">
        <f t="shared" si="14"/>
        <v/>
      </c>
      <c r="I74" s="32" t="str">
        <f t="shared" si="12"/>
        <v>XML/XPath</v>
      </c>
      <c r="J74" s="33" t="str" cm="1">
        <f t="array" aca="1" ref="J74" ca="1">_xlfn.LET(
_xlpm._platform_range, INDIRECT("'Platform review'!$C"&amp;_xlfn.XMATCH(J$2,'Platform review'!$A$1:$A$127)&amp;":$E"&amp;_xlfn.XMATCH(J$2,'Platform review'!$A$1:$A$127)+19),
_xlpm._original_keywords, _xlfn._xlws.FILTER(CLASSIFICATION[[Keyword]:[Keyword]], ($E74=CLASSIFICATION[[Keyword Aggr]:[Keyword Aggr]])*($D74=CLASSIFICATION[[Functional Scope Aggr]:[Functional Scope Aggr]])),
_xlpm._platform_keywords, _xlfn.TEXTSPLIT(SUBSTITUTE(SUBSTITUTE(VLOOKUP($D74,_xlpm._platform_range,3,FALSE),"+"&amp;CHAR(34),"+"),CHAR(34),""),", "),
_xlpm._exists, SUMPRODUCT(--ISNUMBER(MATCH(_xlpm._platform_keywords,_xlpm._original_keywords,0)))&gt;0,
_xlfn.IFS(AND(_xlpm._exists,LEFT($E74,1)="+"),"+",_xlpm._exists,"*",NOT(_xlpm._exists),"")
)</f>
        <v>*</v>
      </c>
      <c r="K74" s="33" t="str" cm="1">
        <f t="array" aca="1" ref="K74" ca="1">_xlfn.LET(
_xlpm._platform_range, INDIRECT("'Platform review'!$C"&amp;_xlfn.XMATCH(K$2,'Platform review'!$A$1:$A$127)&amp;":$E"&amp;_xlfn.XMATCH(K$2,'Platform review'!$A$1:$A$127)+19),
_xlpm._original_keywords, _xlfn._xlws.FILTER(CLASSIFICATION[[Keyword]:[Keyword]], ($E74=CLASSIFICATION[[Keyword Aggr]:[Keyword Aggr]])*($D74=CLASSIFICATION[[Functional Scope Aggr]:[Functional Scope Aggr]])),
_xlpm._platform_keywords, _xlfn.TEXTSPLIT(SUBSTITUTE(SUBSTITUTE(VLOOKUP($D74,_xlpm._platform_range,3,FALSE),"+"&amp;CHAR(34),"+"),CHAR(34),""),", "),
_xlpm._exists, SUMPRODUCT(--ISNUMBER(MATCH(_xlpm._platform_keywords,_xlpm._original_keywords,0)))&gt;0,
_xlfn.IFS(AND(_xlpm._exists,LEFT($E74,1)="+"),"+",_xlpm._exists,"*",NOT(_xlpm._exists),"")
)</f>
        <v/>
      </c>
      <c r="L74" s="33" t="str" cm="1">
        <f t="array" aca="1" ref="L74" ca="1">_xlfn.LET(
_xlpm._platform_range, INDIRECT("'Platform review'!$C"&amp;_xlfn.XMATCH(L$2,'Platform review'!$A$1:$A$127)&amp;":$E"&amp;_xlfn.XMATCH(L$2,'Platform review'!$A$1:$A$127)+19),
_xlpm._original_keywords, _xlfn._xlws.FILTER(CLASSIFICATION[[Keyword]:[Keyword]], ($E74=CLASSIFICATION[[Keyword Aggr]:[Keyword Aggr]])*($D74=CLASSIFICATION[[Functional Scope Aggr]:[Functional Scope Aggr]])),
_xlpm._platform_keywords, _xlfn.TEXTSPLIT(SUBSTITUTE(SUBSTITUTE(VLOOKUP($D74,_xlpm._platform_range,3,FALSE),"+"&amp;CHAR(34),"+"),CHAR(34),""),", "),
_xlpm._exists, SUMPRODUCT(--ISNUMBER(MATCH(_xlpm._platform_keywords,_xlpm._original_keywords,0)))&gt;0,
_xlfn.IFS(AND(_xlpm._exists,LEFT($E74,1)="+"),"+",_xlpm._exists,"*",NOT(_xlpm._exists),"")
)</f>
        <v/>
      </c>
      <c r="M74" s="33" t="str" cm="1">
        <f t="array" aca="1" ref="M74" ca="1">_xlfn.LET(
_xlpm._platform_range, INDIRECT("'Platform review'!$C"&amp;_xlfn.XMATCH(M$2,'Platform review'!$A$1:$A$127)&amp;":$E"&amp;_xlfn.XMATCH(M$2,'Platform review'!$A$1:$A$127)+19),
_xlpm._original_keywords, _xlfn._xlws.FILTER(CLASSIFICATION[[Keyword]:[Keyword]], ($E74=CLASSIFICATION[[Keyword Aggr]:[Keyword Aggr]])*($D74=CLASSIFICATION[[Functional Scope Aggr]:[Functional Scope Aggr]])),
_xlpm._platform_keywords, _xlfn.TEXTSPLIT(SUBSTITUTE(SUBSTITUTE(VLOOKUP($D74,_xlpm._platform_range,3,FALSE),"+"&amp;CHAR(34),"+"),CHAR(34),""),", "),
_xlpm._exists, SUMPRODUCT(--ISNUMBER(MATCH(_xlpm._platform_keywords,_xlpm._original_keywords,0)))&gt;0,
_xlfn.IFS(AND(_xlpm._exists,LEFT($E74,1)="+"),"+",_xlpm._exists,"*",NOT(_xlpm._exists),"")
)</f>
        <v/>
      </c>
      <c r="N74" s="33" t="str" cm="1">
        <f t="array" aca="1" ref="N74" ca="1">_xlfn.LET(
_xlpm._platform_range, INDIRECT("'Platform review'!$C"&amp;_xlfn.XMATCH(N$2,'Platform review'!$A$1:$A$127)&amp;":$E"&amp;_xlfn.XMATCH(N$2,'Platform review'!$A$1:$A$127)+19),
_xlpm._original_keywords, _xlfn._xlws.FILTER(CLASSIFICATION[[Keyword]:[Keyword]], ($E74=CLASSIFICATION[[Keyword Aggr]:[Keyword Aggr]])*($D74=CLASSIFICATION[[Functional Scope Aggr]:[Functional Scope Aggr]])),
_xlpm._platform_keywords, _xlfn.TEXTSPLIT(SUBSTITUTE(SUBSTITUTE(VLOOKUP($D74,_xlpm._platform_range,3,FALSE),"+"&amp;CHAR(34),"+"),CHAR(34),""),", "),
_xlpm._exists, SUMPRODUCT(--ISNUMBER(MATCH(_xlpm._platform_keywords,_xlpm._original_keywords,0)))&gt;0,
_xlfn.IFS(AND(_xlpm._exists,LEFT($E74,1)="+"),"+",_xlpm._exists,"*",NOT(_xlpm._exists),"")
)</f>
        <v/>
      </c>
      <c r="O74" s="33" t="str" cm="1">
        <f t="array" aca="1" ref="O74" ca="1">_xlfn.LET(
_xlpm._platform_range, INDIRECT("'Platform review'!$C"&amp;_xlfn.XMATCH(O$2,'Platform review'!$A$1:$A$127)&amp;":$E"&amp;_xlfn.XMATCH(O$2,'Platform review'!$A$1:$A$127)+19),
_xlpm._original_keywords, _xlfn._xlws.FILTER(CLASSIFICATION[[Keyword]:[Keyword]], ($E74=CLASSIFICATION[[Keyword Aggr]:[Keyword Aggr]])*($D74=CLASSIFICATION[[Functional Scope Aggr]:[Functional Scope Aggr]])),
_xlpm._platform_keywords, _xlfn.TEXTSPLIT(SUBSTITUTE(SUBSTITUTE(VLOOKUP($D74,_xlpm._platform_range,3,FALSE),"+"&amp;CHAR(34),"+"),CHAR(34),""),", "),
_xlpm._exists, SUMPRODUCT(--ISNUMBER(MATCH(_xlpm._platform_keywords,_xlpm._original_keywords,0)))&gt;0,
_xlfn.IFS(AND(_xlpm._exists,LEFT($E74,1)="+"),"+",_xlpm._exists,"*",NOT(_xlpm._exists),"")
)</f>
        <v/>
      </c>
      <c r="Q74" s="33" t="str">
        <f t="shared" si="15"/>
        <v/>
      </c>
      <c r="R74" s="33" t="str">
        <f t="shared" si="16"/>
        <v/>
      </c>
      <c r="S74" s="33" t="str">
        <f t="shared" si="17"/>
        <v/>
      </c>
      <c r="T74" s="33" t="str">
        <f t="shared" si="18"/>
        <v/>
      </c>
      <c r="U74" s="33" t="str">
        <f t="shared" si="19"/>
        <v/>
      </c>
      <c r="V74" s="33" t="str">
        <f t="shared" si="20"/>
        <v/>
      </c>
    </row>
    <row r="75" spans="1:22" x14ac:dyDescent="0.25">
      <c r="A75" s="19" t="str">
        <v>Implementation,Database installation,File Storage</v>
      </c>
      <c r="B75" t="s">
        <v>377</v>
      </c>
      <c r="C75" s="19" t="str" cm="1">
        <f t="array" ref="C75:E75">_xlfn.TEXTSPLIT(A75,",")</f>
        <v>Implementation</v>
      </c>
      <c r="D75" s="19" t="str">
        <v>Database installation</v>
      </c>
      <c r="E75" s="19" t="str">
        <v>File Storage</v>
      </c>
      <c r="F75" s="36" t="str" cm="1">
        <f t="array" ref="F75">_xlfn.TEXTJOIN(",",TRUE,_xlfn._xlws.FILTER(CLASSIFICATION[Keyword], ($E75=CLASSIFICATION[Keyword Aggr])*($D75=CLASSIFICATION[Functional Scope Aggr])))</f>
        <v>File Storage</v>
      </c>
      <c r="G75" s="32" t="str">
        <f t="shared" si="14"/>
        <v/>
      </c>
      <c r="H75" s="32" t="str">
        <f t="shared" si="14"/>
        <v>Database installation</v>
      </c>
      <c r="I75" s="32" t="str">
        <f t="shared" si="12"/>
        <v>File Storage</v>
      </c>
      <c r="J75" s="33" t="str" cm="1">
        <f t="array" aca="1" ref="J75" ca="1">_xlfn.LET(
_xlpm._platform_range, INDIRECT("'Platform review'!$C"&amp;_xlfn.XMATCH(J$2,'Platform review'!$A$1:$A$127)&amp;":$E"&amp;_xlfn.XMATCH(J$2,'Platform review'!$A$1:$A$127)+19),
_xlpm._original_keywords, _xlfn._xlws.FILTER(CLASSIFICATION[[Keyword]:[Keyword]], ($E75=CLASSIFICATION[[Keyword Aggr]:[Keyword Aggr]])*($D75=CLASSIFICATION[[Functional Scope Aggr]:[Functional Scope Aggr]])),
_xlpm._platform_keywords, _xlfn.TEXTSPLIT(SUBSTITUTE(SUBSTITUTE(VLOOKUP($D75,_xlpm._platform_range,3,FALSE),"+"&amp;CHAR(34),"+"),CHAR(34),""),", "),
_xlpm._exists, SUMPRODUCT(--ISNUMBER(MATCH(_xlpm._platform_keywords,_xlpm._original_keywords,0)))&gt;0,
_xlfn.IFS(AND(_xlpm._exists,LEFT($E75,1)="+"),"+",_xlpm._exists,"*",NOT(_xlpm._exists),"")
)</f>
        <v>*</v>
      </c>
      <c r="K75" s="33" t="str" cm="1">
        <f t="array" aca="1" ref="K75" ca="1">_xlfn.LET(
_xlpm._platform_range, INDIRECT("'Platform review'!$C"&amp;_xlfn.XMATCH(K$2,'Platform review'!$A$1:$A$127)&amp;":$E"&amp;_xlfn.XMATCH(K$2,'Platform review'!$A$1:$A$127)+19),
_xlpm._original_keywords, _xlfn._xlws.FILTER(CLASSIFICATION[[Keyword]:[Keyword]], ($E75=CLASSIFICATION[[Keyword Aggr]:[Keyword Aggr]])*($D75=CLASSIFICATION[[Functional Scope Aggr]:[Functional Scope Aggr]])),
_xlpm._platform_keywords, _xlfn.TEXTSPLIT(SUBSTITUTE(SUBSTITUTE(VLOOKUP($D75,_xlpm._platform_range,3,FALSE),"+"&amp;CHAR(34),"+"),CHAR(34),""),", "),
_xlpm._exists, SUMPRODUCT(--ISNUMBER(MATCH(_xlpm._platform_keywords,_xlpm._original_keywords,0)))&gt;0,
_xlfn.IFS(AND(_xlpm._exists,LEFT($E75,1)="+"),"+",_xlpm._exists,"*",NOT(_xlpm._exists),"")
)</f>
        <v>*</v>
      </c>
      <c r="L75" s="33" t="str" cm="1">
        <f t="array" aca="1" ref="L75" ca="1">_xlfn.LET(
_xlpm._platform_range, INDIRECT("'Platform review'!$C"&amp;_xlfn.XMATCH(L$2,'Platform review'!$A$1:$A$127)&amp;":$E"&amp;_xlfn.XMATCH(L$2,'Platform review'!$A$1:$A$127)+19),
_xlpm._original_keywords, _xlfn._xlws.FILTER(CLASSIFICATION[[Keyword]:[Keyword]], ($E75=CLASSIFICATION[[Keyword Aggr]:[Keyword Aggr]])*($D75=CLASSIFICATION[[Functional Scope Aggr]:[Functional Scope Aggr]])),
_xlpm._platform_keywords, _xlfn.TEXTSPLIT(SUBSTITUTE(SUBSTITUTE(VLOOKUP($D75,_xlpm._platform_range,3,FALSE),"+"&amp;CHAR(34),"+"),CHAR(34),""),", "),
_xlpm._exists, SUMPRODUCT(--ISNUMBER(MATCH(_xlpm._platform_keywords,_xlpm._original_keywords,0)))&gt;0,
_xlfn.IFS(AND(_xlpm._exists,LEFT($E75,1)="+"),"+",_xlpm._exists,"*",NOT(_xlpm._exists),"")
)</f>
        <v/>
      </c>
      <c r="M75" s="33" t="str" cm="1">
        <f t="array" aca="1" ref="M75" ca="1">_xlfn.LET(
_xlpm._platform_range, INDIRECT("'Platform review'!$C"&amp;_xlfn.XMATCH(M$2,'Platform review'!$A$1:$A$127)&amp;":$E"&amp;_xlfn.XMATCH(M$2,'Platform review'!$A$1:$A$127)+19),
_xlpm._original_keywords, _xlfn._xlws.FILTER(CLASSIFICATION[[Keyword]:[Keyword]], ($E75=CLASSIFICATION[[Keyword Aggr]:[Keyword Aggr]])*($D75=CLASSIFICATION[[Functional Scope Aggr]:[Functional Scope Aggr]])),
_xlpm._platform_keywords, _xlfn.TEXTSPLIT(SUBSTITUTE(SUBSTITUTE(VLOOKUP($D75,_xlpm._platform_range,3,FALSE),"+"&amp;CHAR(34),"+"),CHAR(34),""),", "),
_xlpm._exists, SUMPRODUCT(--ISNUMBER(MATCH(_xlpm._platform_keywords,_xlpm._original_keywords,0)))&gt;0,
_xlfn.IFS(AND(_xlpm._exists,LEFT($E75,1)="+"),"+",_xlpm._exists,"*",NOT(_xlpm._exists),"")
)</f>
        <v/>
      </c>
      <c r="N75" s="33" t="str" cm="1">
        <f t="array" aca="1" ref="N75" ca="1">_xlfn.LET(
_xlpm._platform_range, INDIRECT("'Platform review'!$C"&amp;_xlfn.XMATCH(N$2,'Platform review'!$A$1:$A$127)&amp;":$E"&amp;_xlfn.XMATCH(N$2,'Platform review'!$A$1:$A$127)+19),
_xlpm._original_keywords, _xlfn._xlws.FILTER(CLASSIFICATION[[Keyword]:[Keyword]], ($E75=CLASSIFICATION[[Keyword Aggr]:[Keyword Aggr]])*($D75=CLASSIFICATION[[Functional Scope Aggr]:[Functional Scope Aggr]])),
_xlpm._platform_keywords, _xlfn.TEXTSPLIT(SUBSTITUTE(SUBSTITUTE(VLOOKUP($D75,_xlpm._platform_range,3,FALSE),"+"&amp;CHAR(34),"+"),CHAR(34),""),", "),
_xlpm._exists, SUMPRODUCT(--ISNUMBER(MATCH(_xlpm._platform_keywords,_xlpm._original_keywords,0)))&gt;0,
_xlfn.IFS(AND(_xlpm._exists,LEFT($E75,1)="+"),"+",_xlpm._exists,"*",NOT(_xlpm._exists),"")
)</f>
        <v/>
      </c>
      <c r="O75" s="33" t="str" cm="1">
        <f t="array" aca="1" ref="O75" ca="1">_xlfn.LET(
_xlpm._platform_range, INDIRECT("'Platform review'!$C"&amp;_xlfn.XMATCH(O$2,'Platform review'!$A$1:$A$127)&amp;":$E"&amp;_xlfn.XMATCH(O$2,'Platform review'!$A$1:$A$127)+19),
_xlpm._original_keywords, _xlfn._xlws.FILTER(CLASSIFICATION[[Keyword]:[Keyword]], ($E75=CLASSIFICATION[[Keyword Aggr]:[Keyword Aggr]])*($D75=CLASSIFICATION[[Functional Scope Aggr]:[Functional Scope Aggr]])),
_xlpm._platform_keywords, _xlfn.TEXTSPLIT(SUBSTITUTE(SUBSTITUTE(VLOOKUP($D75,_xlpm._platform_range,3,FALSE),"+"&amp;CHAR(34),"+"),CHAR(34),""),", "),
_xlpm._exists, SUMPRODUCT(--ISNUMBER(MATCH(_xlpm._platform_keywords,_xlpm._original_keywords,0)))&gt;0,
_xlfn.IFS(AND(_xlpm._exists,LEFT($E75,1)="+"),"+",_xlpm._exists,"*",NOT(_xlpm._exists),"")
)</f>
        <v/>
      </c>
      <c r="Q75" s="33">
        <f t="shared" ca="1" si="15"/>
        <v>2</v>
      </c>
      <c r="R75" s="33">
        <f t="shared" ca="1" si="16"/>
        <v>2</v>
      </c>
      <c r="S75" s="33">
        <f t="shared" ca="1" si="17"/>
        <v>1</v>
      </c>
      <c r="T75" s="33">
        <f t="shared" ca="1" si="18"/>
        <v>1</v>
      </c>
      <c r="U75" s="33">
        <f t="shared" ca="1" si="19"/>
        <v>2</v>
      </c>
      <c r="V75" s="33">
        <f t="shared" ca="1" si="20"/>
        <v>1</v>
      </c>
    </row>
    <row r="76" spans="1:22" x14ac:dyDescent="0.25">
      <c r="A76" s="19" t="str">
        <v>Implementation,Database installation,Relational Database</v>
      </c>
      <c r="B76" t="s">
        <v>377</v>
      </c>
      <c r="C76" s="19" t="str" cm="1">
        <f t="array" ref="C76:E76">_xlfn.TEXTSPLIT(A76,",")</f>
        <v>Implementation</v>
      </c>
      <c r="D76" s="19" t="str">
        <v>Database installation</v>
      </c>
      <c r="E76" s="19" t="str">
        <v>Relational Database</v>
      </c>
      <c r="F76" s="36" t="str" cm="1">
        <f t="array" ref="F76">_xlfn.TEXTJOIN(",",TRUE,_xlfn._xlws.FILTER(CLASSIFICATION[Keyword], ($E76=CLASSIFICATION[Keyword Aggr])*($D76=CLASSIFICATION[Functional Scope Aggr])))</f>
        <v>Relational Database,Relational Database (MS SQL Server)</v>
      </c>
      <c r="G76" s="32" t="str">
        <f t="shared" si="14"/>
        <v/>
      </c>
      <c r="H76" s="32" t="str">
        <f t="shared" si="14"/>
        <v/>
      </c>
      <c r="I76" s="32" t="str">
        <f t="shared" si="12"/>
        <v>Relational Database</v>
      </c>
      <c r="J76" s="33" t="str" cm="1">
        <f t="array" aca="1" ref="J76" ca="1">_xlfn.LET(
_xlpm._platform_range, INDIRECT("'Platform review'!$C"&amp;_xlfn.XMATCH(J$2,'Platform review'!$A$1:$A$127)&amp;":$E"&amp;_xlfn.XMATCH(J$2,'Platform review'!$A$1:$A$127)+19),
_xlpm._original_keywords, _xlfn._xlws.FILTER(CLASSIFICATION[[Keyword]:[Keyword]], ($E76=CLASSIFICATION[[Keyword Aggr]:[Keyword Aggr]])*($D76=CLASSIFICATION[[Functional Scope Aggr]:[Functional Scope Aggr]])),
_xlpm._platform_keywords, _xlfn.TEXTSPLIT(SUBSTITUTE(SUBSTITUTE(VLOOKUP($D76,_xlpm._platform_range,3,FALSE),"+"&amp;CHAR(34),"+"),CHAR(34),""),", "),
_xlpm._exists, SUMPRODUCT(--ISNUMBER(MATCH(_xlpm._platform_keywords,_xlpm._original_keywords,0)))&gt;0,
_xlfn.IFS(AND(_xlpm._exists,LEFT($E76,1)="+"),"+",_xlpm._exists,"*",NOT(_xlpm._exists),"")
)</f>
        <v>*</v>
      </c>
      <c r="K76" s="33" t="str" cm="1">
        <f t="array" aca="1" ref="K76" ca="1">_xlfn.LET(
_xlpm._platform_range, INDIRECT("'Platform review'!$C"&amp;_xlfn.XMATCH(K$2,'Platform review'!$A$1:$A$127)&amp;":$E"&amp;_xlfn.XMATCH(K$2,'Platform review'!$A$1:$A$127)+19),
_xlpm._original_keywords, _xlfn._xlws.FILTER(CLASSIFICATION[[Keyword]:[Keyword]], ($E76=CLASSIFICATION[[Keyword Aggr]:[Keyword Aggr]])*($D76=CLASSIFICATION[[Functional Scope Aggr]:[Functional Scope Aggr]])),
_xlpm._platform_keywords, _xlfn.TEXTSPLIT(SUBSTITUTE(SUBSTITUTE(VLOOKUP($D76,_xlpm._platform_range,3,FALSE),"+"&amp;CHAR(34),"+"),CHAR(34),""),", "),
_xlpm._exists, SUMPRODUCT(--ISNUMBER(MATCH(_xlpm._platform_keywords,_xlpm._original_keywords,0)))&gt;0,
_xlfn.IFS(AND(_xlpm._exists,LEFT($E76,1)="+"),"+",_xlpm._exists,"*",NOT(_xlpm._exists),"")
)</f>
        <v>*</v>
      </c>
      <c r="L76" s="33" t="str" cm="1">
        <f t="array" aca="1" ref="L76" ca="1">_xlfn.LET(
_xlpm._platform_range, INDIRECT("'Platform review'!$C"&amp;_xlfn.XMATCH(L$2,'Platform review'!$A$1:$A$127)&amp;":$E"&amp;_xlfn.XMATCH(L$2,'Platform review'!$A$1:$A$127)+19),
_xlpm._original_keywords, _xlfn._xlws.FILTER(CLASSIFICATION[[Keyword]:[Keyword]], ($E76=CLASSIFICATION[[Keyword Aggr]:[Keyword Aggr]])*($D76=CLASSIFICATION[[Functional Scope Aggr]:[Functional Scope Aggr]])),
_xlpm._platform_keywords, _xlfn.TEXTSPLIT(SUBSTITUTE(SUBSTITUTE(VLOOKUP($D76,_xlpm._platform_range,3,FALSE),"+"&amp;CHAR(34),"+"),CHAR(34),""),", "),
_xlpm._exists, SUMPRODUCT(--ISNUMBER(MATCH(_xlpm._platform_keywords,_xlpm._original_keywords,0)))&gt;0,
_xlfn.IFS(AND(_xlpm._exists,LEFT($E76,1)="+"),"+",_xlpm._exists,"*",NOT(_xlpm._exists),"")
)</f>
        <v>*</v>
      </c>
      <c r="M76" s="33" t="str" cm="1">
        <f t="array" aca="1" ref="M76" ca="1">_xlfn.LET(
_xlpm._platform_range, INDIRECT("'Platform review'!$C"&amp;_xlfn.XMATCH(M$2,'Platform review'!$A$1:$A$127)&amp;":$E"&amp;_xlfn.XMATCH(M$2,'Platform review'!$A$1:$A$127)+19),
_xlpm._original_keywords, _xlfn._xlws.FILTER(CLASSIFICATION[[Keyword]:[Keyword]], ($E76=CLASSIFICATION[[Keyword Aggr]:[Keyword Aggr]])*($D76=CLASSIFICATION[[Functional Scope Aggr]:[Functional Scope Aggr]])),
_xlpm._platform_keywords, _xlfn.TEXTSPLIT(SUBSTITUTE(SUBSTITUTE(VLOOKUP($D76,_xlpm._platform_range,3,FALSE),"+"&amp;CHAR(34),"+"),CHAR(34),""),", "),
_xlpm._exists, SUMPRODUCT(--ISNUMBER(MATCH(_xlpm._platform_keywords,_xlpm._original_keywords,0)))&gt;0,
_xlfn.IFS(AND(_xlpm._exists,LEFT($E76,1)="+"),"+",_xlpm._exists,"*",NOT(_xlpm._exists),"")
)</f>
        <v>*</v>
      </c>
      <c r="N76" s="33" t="str" cm="1">
        <f t="array" aca="1" ref="N76" ca="1">_xlfn.LET(
_xlpm._platform_range, INDIRECT("'Platform review'!$C"&amp;_xlfn.XMATCH(N$2,'Platform review'!$A$1:$A$127)&amp;":$E"&amp;_xlfn.XMATCH(N$2,'Platform review'!$A$1:$A$127)+19),
_xlpm._original_keywords, _xlfn._xlws.FILTER(CLASSIFICATION[[Keyword]:[Keyword]], ($E76=CLASSIFICATION[[Keyword Aggr]:[Keyword Aggr]])*($D76=CLASSIFICATION[[Functional Scope Aggr]:[Functional Scope Aggr]])),
_xlpm._platform_keywords, _xlfn.TEXTSPLIT(SUBSTITUTE(SUBSTITUTE(VLOOKUP($D76,_xlpm._platform_range,3,FALSE),"+"&amp;CHAR(34),"+"),CHAR(34),""),", "),
_xlpm._exists, SUMPRODUCT(--ISNUMBER(MATCH(_xlpm._platform_keywords,_xlpm._original_keywords,0)))&gt;0,
_xlfn.IFS(AND(_xlpm._exists,LEFT($E76,1)="+"),"+",_xlpm._exists,"*",NOT(_xlpm._exists),"")
)</f>
        <v>*</v>
      </c>
      <c r="O76" s="33" t="str" cm="1">
        <f t="array" aca="1" ref="O76" ca="1">_xlfn.LET(
_xlpm._platform_range, INDIRECT("'Platform review'!$C"&amp;_xlfn.XMATCH(O$2,'Platform review'!$A$1:$A$127)&amp;":$E"&amp;_xlfn.XMATCH(O$2,'Platform review'!$A$1:$A$127)+19),
_xlpm._original_keywords, _xlfn._xlws.FILTER(CLASSIFICATION[[Keyword]:[Keyword]], ($E76=CLASSIFICATION[[Keyword Aggr]:[Keyword Aggr]])*($D76=CLASSIFICATION[[Functional Scope Aggr]:[Functional Scope Aggr]])),
_xlpm._platform_keywords, _xlfn.TEXTSPLIT(SUBSTITUTE(SUBSTITUTE(VLOOKUP($D76,_xlpm._platform_range,3,FALSE),"+"&amp;CHAR(34),"+"),CHAR(34),""),", "),
_xlpm._exists, SUMPRODUCT(--ISNUMBER(MATCH(_xlpm._platform_keywords,_xlpm._original_keywords,0)))&gt;0,
_xlfn.IFS(AND(_xlpm._exists,LEFT($E76,1)="+"),"+",_xlpm._exists,"*",NOT(_xlpm._exists),"")
)</f>
        <v>*</v>
      </c>
      <c r="Q76" s="33" t="str">
        <f t="shared" si="15"/>
        <v/>
      </c>
      <c r="R76" s="33" t="str">
        <f t="shared" si="16"/>
        <v/>
      </c>
      <c r="S76" s="33" t="str">
        <f t="shared" si="17"/>
        <v/>
      </c>
      <c r="T76" s="33" t="str">
        <f t="shared" si="18"/>
        <v/>
      </c>
      <c r="U76" s="33" t="str">
        <f t="shared" si="19"/>
        <v/>
      </c>
      <c r="V76" s="33" t="str">
        <f t="shared" si="20"/>
        <v/>
      </c>
    </row>
    <row r="77" spans="1:22" x14ac:dyDescent="0.25">
      <c r="A77" s="19" t="str">
        <v>Implementation,Database installation,REST API</v>
      </c>
      <c r="B77" t="s">
        <v>377</v>
      </c>
      <c r="C77" s="19" t="str" cm="1">
        <f t="array" ref="C77:E77">_xlfn.TEXTSPLIT(A77,",")</f>
        <v>Implementation</v>
      </c>
      <c r="D77" s="19" t="str">
        <v>Database installation</v>
      </c>
      <c r="E77" s="19" t="str">
        <v>REST API</v>
      </c>
      <c r="F77" s="36" t="str" cm="1">
        <f t="array" ref="F77">_xlfn.TEXTJOIN(",",TRUE,_xlfn._xlws.FILTER(CLASSIFICATION[Keyword], ($E77=CLASSIFICATION[Keyword Aggr])*($D77=CLASSIFICATION[Functional Scope Aggr])))</f>
        <v>REST API</v>
      </c>
      <c r="G77" s="32" t="str">
        <f t="shared" si="14"/>
        <v/>
      </c>
      <c r="H77" s="32" t="str">
        <f t="shared" si="14"/>
        <v/>
      </c>
      <c r="I77" s="32" t="str">
        <f t="shared" si="12"/>
        <v>REST API</v>
      </c>
      <c r="J77" s="33" t="str" cm="1">
        <f t="array" aca="1" ref="J77" ca="1">_xlfn.LET(
_xlpm._platform_range, INDIRECT("'Platform review'!$C"&amp;_xlfn.XMATCH(J$2,'Platform review'!$A$1:$A$127)&amp;":$E"&amp;_xlfn.XMATCH(J$2,'Platform review'!$A$1:$A$127)+19),
_xlpm._original_keywords, _xlfn._xlws.FILTER(CLASSIFICATION[[Keyword]:[Keyword]], ($E77=CLASSIFICATION[[Keyword Aggr]:[Keyword Aggr]])*($D77=CLASSIFICATION[[Functional Scope Aggr]:[Functional Scope Aggr]])),
_xlpm._platform_keywords, _xlfn.TEXTSPLIT(SUBSTITUTE(SUBSTITUTE(VLOOKUP($D77,_xlpm._platform_range,3,FALSE),"+"&amp;CHAR(34),"+"),CHAR(34),""),", "),
_xlpm._exists, SUMPRODUCT(--ISNUMBER(MATCH(_xlpm._platform_keywords,_xlpm._original_keywords,0)))&gt;0,
_xlfn.IFS(AND(_xlpm._exists,LEFT($E77,1)="+"),"+",_xlpm._exists,"*",NOT(_xlpm._exists),"")
)</f>
        <v/>
      </c>
      <c r="K77" s="33" t="str" cm="1">
        <f t="array" aca="1" ref="K77" ca="1">_xlfn.LET(
_xlpm._platform_range, INDIRECT("'Platform review'!$C"&amp;_xlfn.XMATCH(K$2,'Platform review'!$A$1:$A$127)&amp;":$E"&amp;_xlfn.XMATCH(K$2,'Platform review'!$A$1:$A$127)+19),
_xlpm._original_keywords, _xlfn._xlws.FILTER(CLASSIFICATION[[Keyword]:[Keyword]], ($E77=CLASSIFICATION[[Keyword Aggr]:[Keyword Aggr]])*($D77=CLASSIFICATION[[Functional Scope Aggr]:[Functional Scope Aggr]])),
_xlpm._platform_keywords, _xlfn.TEXTSPLIT(SUBSTITUTE(SUBSTITUTE(VLOOKUP($D77,_xlpm._platform_range,3,FALSE),"+"&amp;CHAR(34),"+"),CHAR(34),""),", "),
_xlpm._exists, SUMPRODUCT(--ISNUMBER(MATCH(_xlpm._platform_keywords,_xlpm._original_keywords,0)))&gt;0,
_xlfn.IFS(AND(_xlpm._exists,LEFT($E77,1)="+"),"+",_xlpm._exists,"*",NOT(_xlpm._exists),"")
)</f>
        <v/>
      </c>
      <c r="L77" s="33" t="str" cm="1">
        <f t="array" aca="1" ref="L77" ca="1">_xlfn.LET(
_xlpm._platform_range, INDIRECT("'Platform review'!$C"&amp;_xlfn.XMATCH(L$2,'Platform review'!$A$1:$A$127)&amp;":$E"&amp;_xlfn.XMATCH(L$2,'Platform review'!$A$1:$A$127)+19),
_xlpm._original_keywords, _xlfn._xlws.FILTER(CLASSIFICATION[[Keyword]:[Keyword]], ($E77=CLASSIFICATION[[Keyword Aggr]:[Keyword Aggr]])*($D77=CLASSIFICATION[[Functional Scope Aggr]:[Functional Scope Aggr]])),
_xlpm._platform_keywords, _xlfn.TEXTSPLIT(SUBSTITUTE(SUBSTITUTE(VLOOKUP($D77,_xlpm._platform_range,3,FALSE),"+"&amp;CHAR(34),"+"),CHAR(34),""),", "),
_xlpm._exists, SUMPRODUCT(--ISNUMBER(MATCH(_xlpm._platform_keywords,_xlpm._original_keywords,0)))&gt;0,
_xlfn.IFS(AND(_xlpm._exists,LEFT($E77,1)="+"),"+",_xlpm._exists,"*",NOT(_xlpm._exists),"")
)</f>
        <v/>
      </c>
      <c r="M77" s="33" t="str" cm="1">
        <f t="array" aca="1" ref="M77" ca="1">_xlfn.LET(
_xlpm._platform_range, INDIRECT("'Platform review'!$C"&amp;_xlfn.XMATCH(M$2,'Platform review'!$A$1:$A$127)&amp;":$E"&amp;_xlfn.XMATCH(M$2,'Platform review'!$A$1:$A$127)+19),
_xlpm._original_keywords, _xlfn._xlws.FILTER(CLASSIFICATION[[Keyword]:[Keyword]], ($E77=CLASSIFICATION[[Keyword Aggr]:[Keyword Aggr]])*($D77=CLASSIFICATION[[Functional Scope Aggr]:[Functional Scope Aggr]])),
_xlpm._platform_keywords, _xlfn.TEXTSPLIT(SUBSTITUTE(SUBSTITUTE(VLOOKUP($D77,_xlpm._platform_range,3,FALSE),"+"&amp;CHAR(34),"+"),CHAR(34),""),", "),
_xlpm._exists, SUMPRODUCT(--ISNUMBER(MATCH(_xlpm._platform_keywords,_xlpm._original_keywords,0)))&gt;0,
_xlfn.IFS(AND(_xlpm._exists,LEFT($E77,1)="+"),"+",_xlpm._exists,"*",NOT(_xlpm._exists),"")
)</f>
        <v/>
      </c>
      <c r="N77" s="33" t="str" cm="1">
        <f t="array" aca="1" ref="N77" ca="1">_xlfn.LET(
_xlpm._platform_range, INDIRECT("'Platform review'!$C"&amp;_xlfn.XMATCH(N$2,'Platform review'!$A$1:$A$127)&amp;":$E"&amp;_xlfn.XMATCH(N$2,'Platform review'!$A$1:$A$127)+19),
_xlpm._original_keywords, _xlfn._xlws.FILTER(CLASSIFICATION[[Keyword]:[Keyword]], ($E77=CLASSIFICATION[[Keyword Aggr]:[Keyword Aggr]])*($D77=CLASSIFICATION[[Functional Scope Aggr]:[Functional Scope Aggr]])),
_xlpm._platform_keywords, _xlfn.TEXTSPLIT(SUBSTITUTE(SUBSTITUTE(VLOOKUP($D77,_xlpm._platform_range,3,FALSE),"+"&amp;CHAR(34),"+"),CHAR(34),""),", "),
_xlpm._exists, SUMPRODUCT(--ISNUMBER(MATCH(_xlpm._platform_keywords,_xlpm._original_keywords,0)))&gt;0,
_xlfn.IFS(AND(_xlpm._exists,LEFT($E77,1)="+"),"+",_xlpm._exists,"*",NOT(_xlpm._exists),"")
)</f>
        <v>*</v>
      </c>
      <c r="O77" s="33" t="str" cm="1">
        <f t="array" aca="1" ref="O77" ca="1">_xlfn.LET(
_xlpm._platform_range, INDIRECT("'Platform review'!$C"&amp;_xlfn.XMATCH(O$2,'Platform review'!$A$1:$A$127)&amp;":$E"&amp;_xlfn.XMATCH(O$2,'Platform review'!$A$1:$A$127)+19),
_xlpm._original_keywords, _xlfn._xlws.FILTER(CLASSIFICATION[[Keyword]:[Keyword]], ($E77=CLASSIFICATION[[Keyword Aggr]:[Keyword Aggr]])*($D77=CLASSIFICATION[[Functional Scope Aggr]:[Functional Scope Aggr]])),
_xlpm._platform_keywords, _xlfn.TEXTSPLIT(SUBSTITUTE(SUBSTITUTE(VLOOKUP($D77,_xlpm._platform_range,3,FALSE),"+"&amp;CHAR(34),"+"),CHAR(34),""),", "),
_xlpm._exists, SUMPRODUCT(--ISNUMBER(MATCH(_xlpm._platform_keywords,_xlpm._original_keywords,0)))&gt;0,
_xlfn.IFS(AND(_xlpm._exists,LEFT($E77,1)="+"),"+",_xlpm._exists,"*",NOT(_xlpm._exists),"")
)</f>
        <v/>
      </c>
      <c r="Q77" s="33" t="str">
        <f t="shared" si="15"/>
        <v/>
      </c>
      <c r="R77" s="33" t="str">
        <f t="shared" si="16"/>
        <v/>
      </c>
      <c r="S77" s="33" t="str">
        <f t="shared" si="17"/>
        <v/>
      </c>
      <c r="T77" s="33" t="str">
        <f t="shared" si="18"/>
        <v/>
      </c>
      <c r="U77" s="33" t="str">
        <f t="shared" si="19"/>
        <v/>
      </c>
      <c r="V77" s="33" t="str">
        <f t="shared" si="20"/>
        <v/>
      </c>
    </row>
    <row r="78" spans="1:22" x14ac:dyDescent="0.25">
      <c r="A78" s="19" t="str">
        <v>Implementation,Client module installation,.NET Framework</v>
      </c>
      <c r="B78" t="s">
        <v>377</v>
      </c>
      <c r="C78" s="19" t="str" cm="1">
        <f t="array" ref="C78:E78">_xlfn.TEXTSPLIT(A78,",")</f>
        <v>Implementation</v>
      </c>
      <c r="D78" s="19" t="str">
        <v>Client module installation</v>
      </c>
      <c r="E78" s="19" t="str">
        <v>.NET Framework</v>
      </c>
      <c r="F78" s="36" t="str" cm="1">
        <f t="array" ref="F78">_xlfn.TEXTJOIN(",",TRUE,_xlfn._xlws.FILTER(CLASSIFICATION[Keyword], ($E78=CLASSIFICATION[Keyword Aggr])*($D78=CLASSIFICATION[Functional Scope Aggr])))</f>
        <v>.NET Framework</v>
      </c>
      <c r="G78" s="32" t="str">
        <f t="shared" si="14"/>
        <v/>
      </c>
      <c r="H78" s="32" t="str">
        <f t="shared" si="14"/>
        <v>Client module installation</v>
      </c>
      <c r="I78" s="32" t="str">
        <f t="shared" si="12"/>
        <v>.NET Framework</v>
      </c>
      <c r="J78" s="33" t="str" cm="1">
        <f t="array" aca="1" ref="J78" ca="1">_xlfn.LET(
_xlpm._platform_range, INDIRECT("'Platform review'!$C"&amp;_xlfn.XMATCH(J$2,'Platform review'!$A$1:$A$127)&amp;":$E"&amp;_xlfn.XMATCH(J$2,'Platform review'!$A$1:$A$127)+19),
_xlpm._original_keywords, _xlfn._xlws.FILTER(CLASSIFICATION[[Keyword]:[Keyword]], ($E78=CLASSIFICATION[[Keyword Aggr]:[Keyword Aggr]])*($D78=CLASSIFICATION[[Functional Scope Aggr]:[Functional Scope Aggr]])),
_xlpm._platform_keywords, _xlfn.TEXTSPLIT(SUBSTITUTE(SUBSTITUTE(VLOOKUP($D78,_xlpm._platform_range,3,FALSE),"+"&amp;CHAR(34),"+"),CHAR(34),""),", "),
_xlpm._exists, SUMPRODUCT(--ISNUMBER(MATCH(_xlpm._platform_keywords,_xlpm._original_keywords,0)))&gt;0,
_xlfn.IFS(AND(_xlpm._exists,LEFT($E78,1)="+"),"+",_xlpm._exists,"*",NOT(_xlpm._exists),"")
)</f>
        <v/>
      </c>
      <c r="K78" s="33" t="str" cm="1">
        <f t="array" aca="1" ref="K78" ca="1">_xlfn.LET(
_xlpm._platform_range, INDIRECT("'Platform review'!$C"&amp;_xlfn.XMATCH(K$2,'Platform review'!$A$1:$A$127)&amp;":$E"&amp;_xlfn.XMATCH(K$2,'Platform review'!$A$1:$A$127)+19),
_xlpm._original_keywords, _xlfn._xlws.FILTER(CLASSIFICATION[[Keyword]:[Keyword]], ($E78=CLASSIFICATION[[Keyword Aggr]:[Keyword Aggr]])*($D78=CLASSIFICATION[[Functional Scope Aggr]:[Functional Scope Aggr]])),
_xlpm._platform_keywords, _xlfn.TEXTSPLIT(SUBSTITUTE(SUBSTITUTE(VLOOKUP($D78,_xlpm._platform_range,3,FALSE),"+"&amp;CHAR(34),"+"),CHAR(34),""),", "),
_xlpm._exists, SUMPRODUCT(--ISNUMBER(MATCH(_xlpm._platform_keywords,_xlpm._original_keywords,0)))&gt;0,
_xlfn.IFS(AND(_xlpm._exists,LEFT($E78,1)="+"),"+",_xlpm._exists,"*",NOT(_xlpm._exists),"")
)</f>
        <v>*</v>
      </c>
      <c r="L78" s="33" t="str" cm="1">
        <f t="array" aca="1" ref="L78" ca="1">_xlfn.LET(
_xlpm._platform_range, INDIRECT("'Platform review'!$C"&amp;_xlfn.XMATCH(L$2,'Platform review'!$A$1:$A$127)&amp;":$E"&amp;_xlfn.XMATCH(L$2,'Platform review'!$A$1:$A$127)+19),
_xlpm._original_keywords, _xlfn._xlws.FILTER(CLASSIFICATION[[Keyword]:[Keyword]], ($E78=CLASSIFICATION[[Keyword Aggr]:[Keyword Aggr]])*($D78=CLASSIFICATION[[Functional Scope Aggr]:[Functional Scope Aggr]])),
_xlpm._platform_keywords, _xlfn.TEXTSPLIT(SUBSTITUTE(SUBSTITUTE(VLOOKUP($D78,_xlpm._platform_range,3,FALSE),"+"&amp;CHAR(34),"+"),CHAR(34),""),", "),
_xlpm._exists, SUMPRODUCT(--ISNUMBER(MATCH(_xlpm._platform_keywords,_xlpm._original_keywords,0)))&gt;0,
_xlfn.IFS(AND(_xlpm._exists,LEFT($E78,1)="+"),"+",_xlpm._exists,"*",NOT(_xlpm._exists),"")
)</f>
        <v/>
      </c>
      <c r="M78" s="33" t="str" cm="1">
        <f t="array" aca="1" ref="M78" ca="1">_xlfn.LET(
_xlpm._platform_range, INDIRECT("'Platform review'!$C"&amp;_xlfn.XMATCH(M$2,'Platform review'!$A$1:$A$127)&amp;":$E"&amp;_xlfn.XMATCH(M$2,'Platform review'!$A$1:$A$127)+19),
_xlpm._original_keywords, _xlfn._xlws.FILTER(CLASSIFICATION[[Keyword]:[Keyword]], ($E78=CLASSIFICATION[[Keyword Aggr]:[Keyword Aggr]])*($D78=CLASSIFICATION[[Functional Scope Aggr]:[Functional Scope Aggr]])),
_xlpm._platform_keywords, _xlfn.TEXTSPLIT(SUBSTITUTE(SUBSTITUTE(VLOOKUP($D78,_xlpm._platform_range,3,FALSE),"+"&amp;CHAR(34),"+"),CHAR(34),""),", "),
_xlpm._exists, SUMPRODUCT(--ISNUMBER(MATCH(_xlpm._platform_keywords,_xlpm._original_keywords,0)))&gt;0,
_xlfn.IFS(AND(_xlpm._exists,LEFT($E78,1)="+"),"+",_xlpm._exists,"*",NOT(_xlpm._exists),"")
)</f>
        <v/>
      </c>
      <c r="N78" s="33" t="str" cm="1">
        <f t="array" aca="1" ref="N78" ca="1">_xlfn.LET(
_xlpm._platform_range, INDIRECT("'Platform review'!$C"&amp;_xlfn.XMATCH(N$2,'Platform review'!$A$1:$A$127)&amp;":$E"&amp;_xlfn.XMATCH(N$2,'Platform review'!$A$1:$A$127)+19),
_xlpm._original_keywords, _xlfn._xlws.FILTER(CLASSIFICATION[[Keyword]:[Keyword]], ($E78=CLASSIFICATION[[Keyword Aggr]:[Keyword Aggr]])*($D78=CLASSIFICATION[[Functional Scope Aggr]:[Functional Scope Aggr]])),
_xlpm._platform_keywords, _xlfn.TEXTSPLIT(SUBSTITUTE(SUBSTITUTE(VLOOKUP($D78,_xlpm._platform_range,3,FALSE),"+"&amp;CHAR(34),"+"),CHAR(34),""),", "),
_xlpm._exists, SUMPRODUCT(--ISNUMBER(MATCH(_xlpm._platform_keywords,_xlpm._original_keywords,0)))&gt;0,
_xlfn.IFS(AND(_xlpm._exists,LEFT($E78,1)="+"),"+",_xlpm._exists,"*",NOT(_xlpm._exists),"")
)</f>
        <v/>
      </c>
      <c r="O78" s="33" t="str" cm="1">
        <f t="array" aca="1" ref="O78" ca="1">_xlfn.LET(
_xlpm._platform_range, INDIRECT("'Platform review'!$C"&amp;_xlfn.XMATCH(O$2,'Platform review'!$A$1:$A$127)&amp;":$E"&amp;_xlfn.XMATCH(O$2,'Platform review'!$A$1:$A$127)+19),
_xlpm._original_keywords, _xlfn._xlws.FILTER(CLASSIFICATION[[Keyword]:[Keyword]], ($E78=CLASSIFICATION[[Keyword Aggr]:[Keyword Aggr]])*($D78=CLASSIFICATION[[Functional Scope Aggr]:[Functional Scope Aggr]])),
_xlpm._platform_keywords, _xlfn.TEXTSPLIT(SUBSTITUTE(SUBSTITUTE(VLOOKUP($D78,_xlpm._platform_range,3,FALSE),"+"&amp;CHAR(34),"+"),CHAR(34),""),", "),
_xlpm._exists, SUMPRODUCT(--ISNUMBER(MATCH(_xlpm._platform_keywords,_xlpm._original_keywords,0)))&gt;0,
_xlfn.IFS(AND(_xlpm._exists,LEFT($E78,1)="+"),"+",_xlpm._exists,"*",NOT(_xlpm._exists),"")
)</f>
        <v/>
      </c>
      <c r="Q78" s="33">
        <f t="shared" ca="1" si="15"/>
        <v>2</v>
      </c>
      <c r="R78" s="33">
        <f t="shared" ca="1" si="16"/>
        <v>1</v>
      </c>
      <c r="S78" s="33">
        <f t="shared" ca="1" si="17"/>
        <v>0</v>
      </c>
      <c r="T78" s="33">
        <f t="shared" ca="1" si="18"/>
        <v>1</v>
      </c>
      <c r="U78" s="33">
        <f t="shared" ca="1" si="19"/>
        <v>0</v>
      </c>
      <c r="V78" s="33">
        <f t="shared" ca="1" si="20"/>
        <v>0</v>
      </c>
    </row>
    <row r="79" spans="1:22" x14ac:dyDescent="0.25">
      <c r="A79" s="19" t="str">
        <v>Implementation,Client module installation,API</v>
      </c>
      <c r="B79" t="s">
        <v>377</v>
      </c>
      <c r="C79" s="19" t="str" cm="1">
        <f t="array" ref="C79:E79">_xlfn.TEXTSPLIT(A79,",")</f>
        <v>Implementation</v>
      </c>
      <c r="D79" s="19" t="str">
        <v>Client module installation</v>
      </c>
      <c r="E79" s="19" t="str">
        <v>API</v>
      </c>
      <c r="F79" s="36" t="str" cm="1">
        <f t="array" ref="F79">_xlfn.TEXTJOIN(",",TRUE,_xlfn._xlws.FILTER(CLASSIFICATION[Keyword], ($E79=CLASSIFICATION[Keyword Aggr])*($D79=CLASSIFICATION[Functional Scope Aggr])))</f>
        <v>API</v>
      </c>
      <c r="G79" s="32" t="str">
        <f t="shared" si="14"/>
        <v/>
      </c>
      <c r="H79" s="32" t="str">
        <f t="shared" si="14"/>
        <v/>
      </c>
      <c r="I79" s="32" t="str">
        <f t="shared" si="12"/>
        <v>API</v>
      </c>
      <c r="J79" s="33" t="str" cm="1">
        <f t="array" aca="1" ref="J79" ca="1">_xlfn.LET(
_xlpm._platform_range, INDIRECT("'Platform review'!$C"&amp;_xlfn.XMATCH(J$2,'Platform review'!$A$1:$A$127)&amp;":$E"&amp;_xlfn.XMATCH(J$2,'Platform review'!$A$1:$A$127)+19),
_xlpm._original_keywords, _xlfn._xlws.FILTER(CLASSIFICATION[[Keyword]:[Keyword]], ($E79=CLASSIFICATION[[Keyword Aggr]:[Keyword Aggr]])*($D79=CLASSIFICATION[[Functional Scope Aggr]:[Functional Scope Aggr]])),
_xlpm._platform_keywords, _xlfn.TEXTSPLIT(SUBSTITUTE(SUBSTITUTE(VLOOKUP($D79,_xlpm._platform_range,3,FALSE),"+"&amp;CHAR(34),"+"),CHAR(34),""),", "),
_xlpm._exists, SUMPRODUCT(--ISNUMBER(MATCH(_xlpm._platform_keywords,_xlpm._original_keywords,0)))&gt;0,
_xlfn.IFS(AND(_xlpm._exists,LEFT($E79,1)="+"),"+",_xlpm._exists,"*",NOT(_xlpm._exists),"")
)</f>
        <v>*</v>
      </c>
      <c r="K79" s="33" t="str" cm="1">
        <f t="array" aca="1" ref="K79" ca="1">_xlfn.LET(
_xlpm._platform_range, INDIRECT("'Platform review'!$C"&amp;_xlfn.XMATCH(K$2,'Platform review'!$A$1:$A$127)&amp;":$E"&amp;_xlfn.XMATCH(K$2,'Platform review'!$A$1:$A$127)+19),
_xlpm._original_keywords, _xlfn._xlws.FILTER(CLASSIFICATION[[Keyword]:[Keyword]], ($E79=CLASSIFICATION[[Keyword Aggr]:[Keyword Aggr]])*($D79=CLASSIFICATION[[Functional Scope Aggr]:[Functional Scope Aggr]])),
_xlpm._platform_keywords, _xlfn.TEXTSPLIT(SUBSTITUTE(SUBSTITUTE(VLOOKUP($D79,_xlpm._platform_range,3,FALSE),"+"&amp;CHAR(34),"+"),CHAR(34),""),", "),
_xlpm._exists, SUMPRODUCT(--ISNUMBER(MATCH(_xlpm._platform_keywords,_xlpm._original_keywords,0)))&gt;0,
_xlfn.IFS(AND(_xlpm._exists,LEFT($E79,1)="+"),"+",_xlpm._exists,"*",NOT(_xlpm._exists),"")
)</f>
        <v/>
      </c>
      <c r="L79" s="33" t="str" cm="1">
        <f t="array" aca="1" ref="L79" ca="1">_xlfn.LET(
_xlpm._platform_range, INDIRECT("'Platform review'!$C"&amp;_xlfn.XMATCH(L$2,'Platform review'!$A$1:$A$127)&amp;":$E"&amp;_xlfn.XMATCH(L$2,'Platform review'!$A$1:$A$127)+19),
_xlpm._original_keywords, _xlfn._xlws.FILTER(CLASSIFICATION[[Keyword]:[Keyword]], ($E79=CLASSIFICATION[[Keyword Aggr]:[Keyword Aggr]])*($D79=CLASSIFICATION[[Functional Scope Aggr]:[Functional Scope Aggr]])),
_xlpm._platform_keywords, _xlfn.TEXTSPLIT(SUBSTITUTE(SUBSTITUTE(VLOOKUP($D79,_xlpm._platform_range,3,FALSE),"+"&amp;CHAR(34),"+"),CHAR(34),""),", "),
_xlpm._exists, SUMPRODUCT(--ISNUMBER(MATCH(_xlpm._platform_keywords,_xlpm._original_keywords,0)))&gt;0,
_xlfn.IFS(AND(_xlpm._exists,LEFT($E79,1)="+"),"+",_xlpm._exists,"*",NOT(_xlpm._exists),"")
)</f>
        <v/>
      </c>
      <c r="M79" s="33" t="str" cm="1">
        <f t="array" aca="1" ref="M79" ca="1">_xlfn.LET(
_xlpm._platform_range, INDIRECT("'Platform review'!$C"&amp;_xlfn.XMATCH(M$2,'Platform review'!$A$1:$A$127)&amp;":$E"&amp;_xlfn.XMATCH(M$2,'Platform review'!$A$1:$A$127)+19),
_xlpm._original_keywords, _xlfn._xlws.FILTER(CLASSIFICATION[[Keyword]:[Keyword]], ($E79=CLASSIFICATION[[Keyword Aggr]:[Keyword Aggr]])*($D79=CLASSIFICATION[[Functional Scope Aggr]:[Functional Scope Aggr]])),
_xlpm._platform_keywords, _xlfn.TEXTSPLIT(SUBSTITUTE(SUBSTITUTE(VLOOKUP($D79,_xlpm._platform_range,3,FALSE),"+"&amp;CHAR(34),"+"),CHAR(34),""),", "),
_xlpm._exists, SUMPRODUCT(--ISNUMBER(MATCH(_xlpm._platform_keywords,_xlpm._original_keywords,0)))&gt;0,
_xlfn.IFS(AND(_xlpm._exists,LEFT($E79,1)="+"),"+",_xlpm._exists,"*",NOT(_xlpm._exists),"")
)</f>
        <v/>
      </c>
      <c r="N79" s="33" t="str" cm="1">
        <f t="array" aca="1" ref="N79" ca="1">_xlfn.LET(
_xlpm._platform_range, INDIRECT("'Platform review'!$C"&amp;_xlfn.XMATCH(N$2,'Platform review'!$A$1:$A$127)&amp;":$E"&amp;_xlfn.XMATCH(N$2,'Platform review'!$A$1:$A$127)+19),
_xlpm._original_keywords, _xlfn._xlws.FILTER(CLASSIFICATION[[Keyword]:[Keyword]], ($E79=CLASSIFICATION[[Keyword Aggr]:[Keyword Aggr]])*($D79=CLASSIFICATION[[Functional Scope Aggr]:[Functional Scope Aggr]])),
_xlpm._platform_keywords, _xlfn.TEXTSPLIT(SUBSTITUTE(SUBSTITUTE(VLOOKUP($D79,_xlpm._platform_range,3,FALSE),"+"&amp;CHAR(34),"+"),CHAR(34),""),", "),
_xlpm._exists, SUMPRODUCT(--ISNUMBER(MATCH(_xlpm._platform_keywords,_xlpm._original_keywords,0)))&gt;0,
_xlfn.IFS(AND(_xlpm._exists,LEFT($E79,1)="+"),"+",_xlpm._exists,"*",NOT(_xlpm._exists),"")
)</f>
        <v/>
      </c>
      <c r="O79" s="33" t="str" cm="1">
        <f t="array" aca="1" ref="O79" ca="1">_xlfn.LET(
_xlpm._platform_range, INDIRECT("'Platform review'!$C"&amp;_xlfn.XMATCH(O$2,'Platform review'!$A$1:$A$127)&amp;":$E"&amp;_xlfn.XMATCH(O$2,'Platform review'!$A$1:$A$127)+19),
_xlpm._original_keywords, _xlfn._xlws.FILTER(CLASSIFICATION[[Keyword]:[Keyword]], ($E79=CLASSIFICATION[[Keyword Aggr]:[Keyword Aggr]])*($D79=CLASSIFICATION[[Functional Scope Aggr]:[Functional Scope Aggr]])),
_xlpm._platform_keywords, _xlfn.TEXTSPLIT(SUBSTITUTE(SUBSTITUTE(VLOOKUP($D79,_xlpm._platform_range,3,FALSE),"+"&amp;CHAR(34),"+"),CHAR(34),""),", "),
_xlpm._exists, SUMPRODUCT(--ISNUMBER(MATCH(_xlpm._platform_keywords,_xlpm._original_keywords,0)))&gt;0,
_xlfn.IFS(AND(_xlpm._exists,LEFT($E79,1)="+"),"+",_xlpm._exists,"*",NOT(_xlpm._exists),"")
)</f>
        <v/>
      </c>
      <c r="Q79" s="33" t="str">
        <f t="shared" si="15"/>
        <v/>
      </c>
      <c r="R79" s="33" t="str">
        <f t="shared" si="16"/>
        <v/>
      </c>
      <c r="S79" s="33" t="str">
        <f t="shared" si="17"/>
        <v/>
      </c>
      <c r="T79" s="33" t="str">
        <f t="shared" si="18"/>
        <v/>
      </c>
      <c r="U79" s="33" t="str">
        <f t="shared" si="19"/>
        <v/>
      </c>
      <c r="V79" s="33" t="str">
        <f t="shared" si="20"/>
        <v/>
      </c>
    </row>
    <row r="80" spans="1:22" x14ac:dyDescent="0.25">
      <c r="A80" s="19" t="str">
        <v>Implementation,Client module installation,HTTPS Server</v>
      </c>
      <c r="B80" t="s">
        <v>377</v>
      </c>
      <c r="C80" s="19" t="str" cm="1">
        <f t="array" ref="C80:E80">_xlfn.TEXTSPLIT(A80,",")</f>
        <v>Implementation</v>
      </c>
      <c r="D80" s="19" t="str">
        <v>Client module installation</v>
      </c>
      <c r="E80" s="19" t="str">
        <v>HTTPS Server</v>
      </c>
      <c r="F80" s="36" t="str" cm="1">
        <f t="array" ref="F80">_xlfn.TEXTJOIN(",",TRUE,_xlfn._xlws.FILTER(CLASSIFICATION[Keyword], ($E80=CLASSIFICATION[Keyword Aggr])*($D80=CLASSIFICATION[Functional Scope Aggr])))</f>
        <v>HTTPS Server</v>
      </c>
      <c r="G80" s="32" t="str">
        <f t="shared" si="14"/>
        <v/>
      </c>
      <c r="H80" s="32" t="str">
        <f t="shared" si="14"/>
        <v/>
      </c>
      <c r="I80" s="32" t="str">
        <f t="shared" si="12"/>
        <v>HTTPS Server</v>
      </c>
      <c r="J80" s="33" t="str" cm="1">
        <f t="array" aca="1" ref="J80" ca="1">_xlfn.LET(
_xlpm._platform_range, INDIRECT("'Platform review'!$C"&amp;_xlfn.XMATCH(J$2,'Platform review'!$A$1:$A$127)&amp;":$E"&amp;_xlfn.XMATCH(J$2,'Platform review'!$A$1:$A$127)+19),
_xlpm._original_keywords, _xlfn._xlws.FILTER(CLASSIFICATION[[Keyword]:[Keyword]], ($E80=CLASSIFICATION[[Keyword Aggr]:[Keyword Aggr]])*($D80=CLASSIFICATION[[Functional Scope Aggr]:[Functional Scope Aggr]])),
_xlpm._platform_keywords, _xlfn.TEXTSPLIT(SUBSTITUTE(SUBSTITUTE(VLOOKUP($D80,_xlpm._platform_range,3,FALSE),"+"&amp;CHAR(34),"+"),CHAR(34),""),", "),
_xlpm._exists, SUMPRODUCT(--ISNUMBER(MATCH(_xlpm._platform_keywords,_xlpm._original_keywords,0)))&gt;0,
_xlfn.IFS(AND(_xlpm._exists,LEFT($E80,1)="+"),"+",_xlpm._exists,"*",NOT(_xlpm._exists),"")
)</f>
        <v>*</v>
      </c>
      <c r="K80" s="33" t="str" cm="1">
        <f t="array" aca="1" ref="K80" ca="1">_xlfn.LET(
_xlpm._platform_range, INDIRECT("'Platform review'!$C"&amp;_xlfn.XMATCH(K$2,'Platform review'!$A$1:$A$127)&amp;":$E"&amp;_xlfn.XMATCH(K$2,'Platform review'!$A$1:$A$127)+19),
_xlpm._original_keywords, _xlfn._xlws.FILTER(CLASSIFICATION[[Keyword]:[Keyword]], ($E80=CLASSIFICATION[[Keyword Aggr]:[Keyword Aggr]])*($D80=CLASSIFICATION[[Functional Scope Aggr]:[Functional Scope Aggr]])),
_xlpm._platform_keywords, _xlfn.TEXTSPLIT(SUBSTITUTE(SUBSTITUTE(VLOOKUP($D80,_xlpm._platform_range,3,FALSE),"+"&amp;CHAR(34),"+"),CHAR(34),""),", "),
_xlpm._exists, SUMPRODUCT(--ISNUMBER(MATCH(_xlpm._platform_keywords,_xlpm._original_keywords,0)))&gt;0,
_xlfn.IFS(AND(_xlpm._exists,LEFT($E80,1)="+"),"+",_xlpm._exists,"*",NOT(_xlpm._exists),"")
)</f>
        <v/>
      </c>
      <c r="L80" s="33" t="str" cm="1">
        <f t="array" aca="1" ref="L80" ca="1">_xlfn.LET(
_xlpm._platform_range, INDIRECT("'Platform review'!$C"&amp;_xlfn.XMATCH(L$2,'Platform review'!$A$1:$A$127)&amp;":$E"&amp;_xlfn.XMATCH(L$2,'Platform review'!$A$1:$A$127)+19),
_xlpm._original_keywords, _xlfn._xlws.FILTER(CLASSIFICATION[[Keyword]:[Keyword]], ($E80=CLASSIFICATION[[Keyword Aggr]:[Keyword Aggr]])*($D80=CLASSIFICATION[[Functional Scope Aggr]:[Functional Scope Aggr]])),
_xlpm._platform_keywords, _xlfn.TEXTSPLIT(SUBSTITUTE(SUBSTITUTE(VLOOKUP($D80,_xlpm._platform_range,3,FALSE),"+"&amp;CHAR(34),"+"),CHAR(34),""),", "),
_xlpm._exists, SUMPRODUCT(--ISNUMBER(MATCH(_xlpm._platform_keywords,_xlpm._original_keywords,0)))&gt;0,
_xlfn.IFS(AND(_xlpm._exists,LEFT($E80,1)="+"),"+",_xlpm._exists,"*",NOT(_xlpm._exists),"")
)</f>
        <v/>
      </c>
      <c r="M80" s="33" t="str" cm="1">
        <f t="array" aca="1" ref="M80" ca="1">_xlfn.LET(
_xlpm._platform_range, INDIRECT("'Platform review'!$C"&amp;_xlfn.XMATCH(M$2,'Platform review'!$A$1:$A$127)&amp;":$E"&amp;_xlfn.XMATCH(M$2,'Platform review'!$A$1:$A$127)+19),
_xlpm._original_keywords, _xlfn._xlws.FILTER(CLASSIFICATION[[Keyword]:[Keyword]], ($E80=CLASSIFICATION[[Keyword Aggr]:[Keyword Aggr]])*($D80=CLASSIFICATION[[Functional Scope Aggr]:[Functional Scope Aggr]])),
_xlpm._platform_keywords, _xlfn.TEXTSPLIT(SUBSTITUTE(SUBSTITUTE(VLOOKUP($D80,_xlpm._platform_range,3,FALSE),"+"&amp;CHAR(34),"+"),CHAR(34),""),", "),
_xlpm._exists, SUMPRODUCT(--ISNUMBER(MATCH(_xlpm._platform_keywords,_xlpm._original_keywords,0)))&gt;0,
_xlfn.IFS(AND(_xlpm._exists,LEFT($E80,1)="+"),"+",_xlpm._exists,"*",NOT(_xlpm._exists),"")
)</f>
        <v/>
      </c>
      <c r="N80" s="33" t="str" cm="1">
        <f t="array" aca="1" ref="N80" ca="1">_xlfn.LET(
_xlpm._platform_range, INDIRECT("'Platform review'!$C"&amp;_xlfn.XMATCH(N$2,'Platform review'!$A$1:$A$127)&amp;":$E"&amp;_xlfn.XMATCH(N$2,'Platform review'!$A$1:$A$127)+19),
_xlpm._original_keywords, _xlfn._xlws.FILTER(CLASSIFICATION[[Keyword]:[Keyword]], ($E80=CLASSIFICATION[[Keyword Aggr]:[Keyword Aggr]])*($D80=CLASSIFICATION[[Functional Scope Aggr]:[Functional Scope Aggr]])),
_xlpm._platform_keywords, _xlfn.TEXTSPLIT(SUBSTITUTE(SUBSTITUTE(VLOOKUP($D80,_xlpm._platform_range,3,FALSE),"+"&amp;CHAR(34),"+"),CHAR(34),""),", "),
_xlpm._exists, SUMPRODUCT(--ISNUMBER(MATCH(_xlpm._platform_keywords,_xlpm._original_keywords,0)))&gt;0,
_xlfn.IFS(AND(_xlpm._exists,LEFT($E80,1)="+"),"+",_xlpm._exists,"*",NOT(_xlpm._exists),"")
)</f>
        <v/>
      </c>
      <c r="O80" s="33" t="str" cm="1">
        <f t="array" aca="1" ref="O80" ca="1">_xlfn.LET(
_xlpm._platform_range, INDIRECT("'Platform review'!$C"&amp;_xlfn.XMATCH(O$2,'Platform review'!$A$1:$A$127)&amp;":$E"&amp;_xlfn.XMATCH(O$2,'Platform review'!$A$1:$A$127)+19),
_xlpm._original_keywords, _xlfn._xlws.FILTER(CLASSIFICATION[[Keyword]:[Keyword]], ($E80=CLASSIFICATION[[Keyword Aggr]:[Keyword Aggr]])*($D80=CLASSIFICATION[[Functional Scope Aggr]:[Functional Scope Aggr]])),
_xlpm._platform_keywords, _xlfn.TEXTSPLIT(SUBSTITUTE(SUBSTITUTE(VLOOKUP($D80,_xlpm._platform_range,3,FALSE),"+"&amp;CHAR(34),"+"),CHAR(34),""),", "),
_xlpm._exists, SUMPRODUCT(--ISNUMBER(MATCH(_xlpm._platform_keywords,_xlpm._original_keywords,0)))&gt;0,
_xlfn.IFS(AND(_xlpm._exists,LEFT($E80,1)="+"),"+",_xlpm._exists,"*",NOT(_xlpm._exists),"")
)</f>
        <v/>
      </c>
      <c r="Q80" s="33" t="str">
        <f t="shared" si="15"/>
        <v/>
      </c>
      <c r="R80" s="33" t="str">
        <f t="shared" si="16"/>
        <v/>
      </c>
      <c r="S80" s="33" t="str">
        <f t="shared" si="17"/>
        <v/>
      </c>
      <c r="T80" s="33" t="str">
        <f t="shared" si="18"/>
        <v/>
      </c>
      <c r="U80" s="33" t="str">
        <f t="shared" si="19"/>
        <v/>
      </c>
      <c r="V80" s="33" t="str">
        <f t="shared" si="20"/>
        <v/>
      </c>
    </row>
    <row r="81" spans="1:22" x14ac:dyDescent="0.25">
      <c r="A81" s="19" t="str">
        <v>Implementation,Client module installation,Web Services</v>
      </c>
      <c r="B81" t="s">
        <v>377</v>
      </c>
      <c r="C81" s="19" t="str" cm="1">
        <f t="array" ref="C81:E81">_xlfn.TEXTSPLIT(A81,",")</f>
        <v>Implementation</v>
      </c>
      <c r="D81" s="19" t="str">
        <v>Client module installation</v>
      </c>
      <c r="E81" s="19" t="str">
        <v>Web Services</v>
      </c>
      <c r="F81" s="36" t="str" cm="1">
        <f t="array" ref="F81">_xlfn.TEXTJOIN(",",TRUE,_xlfn._xlws.FILTER(CLASSIFICATION[Keyword], ($E81=CLASSIFICATION[Keyword Aggr])*($D81=CLASSIFICATION[Functional Scope Aggr])))</f>
        <v>Web Services</v>
      </c>
      <c r="G81" s="32" t="str">
        <f t="shared" si="14"/>
        <v/>
      </c>
      <c r="H81" s="32" t="str">
        <f t="shared" si="14"/>
        <v/>
      </c>
      <c r="I81" s="32" t="str">
        <f t="shared" si="12"/>
        <v>Web Services</v>
      </c>
      <c r="J81" s="33" t="str" cm="1">
        <f t="array" aca="1" ref="J81" ca="1">_xlfn.LET(
_xlpm._platform_range, INDIRECT("'Platform review'!$C"&amp;_xlfn.XMATCH(J$2,'Platform review'!$A$1:$A$127)&amp;":$E"&amp;_xlfn.XMATCH(J$2,'Platform review'!$A$1:$A$127)+19),
_xlpm._original_keywords, _xlfn._xlws.FILTER(CLASSIFICATION[[Keyword]:[Keyword]], ($E81=CLASSIFICATION[[Keyword Aggr]:[Keyword Aggr]])*($D81=CLASSIFICATION[[Functional Scope Aggr]:[Functional Scope Aggr]])),
_xlpm._platform_keywords, _xlfn.TEXTSPLIT(SUBSTITUTE(SUBSTITUTE(VLOOKUP($D81,_xlpm._platform_range,3,FALSE),"+"&amp;CHAR(34),"+"),CHAR(34),""),", "),
_xlpm._exists, SUMPRODUCT(--ISNUMBER(MATCH(_xlpm._platform_keywords,_xlpm._original_keywords,0)))&gt;0,
_xlfn.IFS(AND(_xlpm._exists,LEFT($E81,1)="+"),"+",_xlpm._exists,"*",NOT(_xlpm._exists),"")
)</f>
        <v/>
      </c>
      <c r="K81" s="33" t="str" cm="1">
        <f t="array" aca="1" ref="K81" ca="1">_xlfn.LET(
_xlpm._platform_range, INDIRECT("'Platform review'!$C"&amp;_xlfn.XMATCH(K$2,'Platform review'!$A$1:$A$127)&amp;":$E"&amp;_xlfn.XMATCH(K$2,'Platform review'!$A$1:$A$127)+19),
_xlpm._original_keywords, _xlfn._xlws.FILTER(CLASSIFICATION[[Keyword]:[Keyword]], ($E81=CLASSIFICATION[[Keyword Aggr]:[Keyword Aggr]])*($D81=CLASSIFICATION[[Functional Scope Aggr]:[Functional Scope Aggr]])),
_xlpm._platform_keywords, _xlfn.TEXTSPLIT(SUBSTITUTE(SUBSTITUTE(VLOOKUP($D81,_xlpm._platform_range,3,FALSE),"+"&amp;CHAR(34),"+"),CHAR(34),""),", "),
_xlpm._exists, SUMPRODUCT(--ISNUMBER(MATCH(_xlpm._platform_keywords,_xlpm._original_keywords,0)))&gt;0,
_xlfn.IFS(AND(_xlpm._exists,LEFT($E81,1)="+"),"+",_xlpm._exists,"*",NOT(_xlpm._exists),"")
)</f>
        <v/>
      </c>
      <c r="L81" s="33" t="str" cm="1">
        <f t="array" aca="1" ref="L81" ca="1">_xlfn.LET(
_xlpm._platform_range, INDIRECT("'Platform review'!$C"&amp;_xlfn.XMATCH(L$2,'Platform review'!$A$1:$A$127)&amp;":$E"&amp;_xlfn.XMATCH(L$2,'Platform review'!$A$1:$A$127)+19),
_xlpm._original_keywords, _xlfn._xlws.FILTER(CLASSIFICATION[[Keyword]:[Keyword]], ($E81=CLASSIFICATION[[Keyword Aggr]:[Keyword Aggr]])*($D81=CLASSIFICATION[[Functional Scope Aggr]:[Functional Scope Aggr]])),
_xlpm._platform_keywords, _xlfn.TEXTSPLIT(SUBSTITUTE(SUBSTITUTE(VLOOKUP($D81,_xlpm._platform_range,3,FALSE),"+"&amp;CHAR(34),"+"),CHAR(34),""),", "),
_xlpm._exists, SUMPRODUCT(--ISNUMBER(MATCH(_xlpm._platform_keywords,_xlpm._original_keywords,0)))&gt;0,
_xlfn.IFS(AND(_xlpm._exists,LEFT($E81,1)="+"),"+",_xlpm._exists,"*",NOT(_xlpm._exists),"")
)</f>
        <v/>
      </c>
      <c r="M81" s="33" t="str" cm="1">
        <f t="array" aca="1" ref="M81" ca="1">_xlfn.LET(
_xlpm._platform_range, INDIRECT("'Platform review'!$C"&amp;_xlfn.XMATCH(M$2,'Platform review'!$A$1:$A$127)&amp;":$E"&amp;_xlfn.XMATCH(M$2,'Platform review'!$A$1:$A$127)+19),
_xlpm._original_keywords, _xlfn._xlws.FILTER(CLASSIFICATION[[Keyword]:[Keyword]], ($E81=CLASSIFICATION[[Keyword Aggr]:[Keyword Aggr]])*($D81=CLASSIFICATION[[Functional Scope Aggr]:[Functional Scope Aggr]])),
_xlpm._platform_keywords, _xlfn.TEXTSPLIT(SUBSTITUTE(SUBSTITUTE(VLOOKUP($D81,_xlpm._platform_range,3,FALSE),"+"&amp;CHAR(34),"+"),CHAR(34),""),", "),
_xlpm._exists, SUMPRODUCT(--ISNUMBER(MATCH(_xlpm._platform_keywords,_xlpm._original_keywords,0)))&gt;0,
_xlfn.IFS(AND(_xlpm._exists,LEFT($E81,1)="+"),"+",_xlpm._exists,"*",NOT(_xlpm._exists),"")
)</f>
        <v>*</v>
      </c>
      <c r="N81" s="33" t="str" cm="1">
        <f t="array" aca="1" ref="N81" ca="1">_xlfn.LET(
_xlpm._platform_range, INDIRECT("'Platform review'!$C"&amp;_xlfn.XMATCH(N$2,'Platform review'!$A$1:$A$127)&amp;":$E"&amp;_xlfn.XMATCH(N$2,'Platform review'!$A$1:$A$127)+19),
_xlpm._original_keywords, _xlfn._xlws.FILTER(CLASSIFICATION[[Keyword]:[Keyword]], ($E81=CLASSIFICATION[[Keyword Aggr]:[Keyword Aggr]])*($D81=CLASSIFICATION[[Functional Scope Aggr]:[Functional Scope Aggr]])),
_xlpm._platform_keywords, _xlfn.TEXTSPLIT(SUBSTITUTE(SUBSTITUTE(VLOOKUP($D81,_xlpm._platform_range,3,FALSE),"+"&amp;CHAR(34),"+"),CHAR(34),""),", "),
_xlpm._exists, SUMPRODUCT(--ISNUMBER(MATCH(_xlpm._platform_keywords,_xlpm._original_keywords,0)))&gt;0,
_xlfn.IFS(AND(_xlpm._exists,LEFT($E81,1)="+"),"+",_xlpm._exists,"*",NOT(_xlpm._exists),"")
)</f>
        <v/>
      </c>
      <c r="O81" s="33" t="str" cm="1">
        <f t="array" aca="1" ref="O81" ca="1">_xlfn.LET(
_xlpm._platform_range, INDIRECT("'Platform review'!$C"&amp;_xlfn.XMATCH(O$2,'Platform review'!$A$1:$A$127)&amp;":$E"&amp;_xlfn.XMATCH(O$2,'Platform review'!$A$1:$A$127)+19),
_xlpm._original_keywords, _xlfn._xlws.FILTER(CLASSIFICATION[[Keyword]:[Keyword]], ($E81=CLASSIFICATION[[Keyword Aggr]:[Keyword Aggr]])*($D81=CLASSIFICATION[[Functional Scope Aggr]:[Functional Scope Aggr]])),
_xlpm._platform_keywords, _xlfn.TEXTSPLIT(SUBSTITUTE(SUBSTITUTE(VLOOKUP($D81,_xlpm._platform_range,3,FALSE),"+"&amp;CHAR(34),"+"),CHAR(34),""),", "),
_xlpm._exists, SUMPRODUCT(--ISNUMBER(MATCH(_xlpm._platform_keywords,_xlpm._original_keywords,0)))&gt;0,
_xlfn.IFS(AND(_xlpm._exists,LEFT($E81,1)="+"),"+",_xlpm._exists,"*",NOT(_xlpm._exists),"")
)</f>
        <v/>
      </c>
      <c r="Q81" s="33" t="str">
        <f t="shared" si="15"/>
        <v/>
      </c>
      <c r="R81" s="33" t="str">
        <f t="shared" si="16"/>
        <v/>
      </c>
      <c r="S81" s="33" t="str">
        <f t="shared" si="17"/>
        <v/>
      </c>
      <c r="T81" s="33" t="str">
        <f t="shared" si="18"/>
        <v/>
      </c>
      <c r="U81" s="33" t="str">
        <f t="shared" si="19"/>
        <v/>
      </c>
      <c r="V81" s="33" t="str">
        <f t="shared" si="20"/>
        <v/>
      </c>
    </row>
    <row r="82" spans="1:22" x14ac:dyDescent="0.25">
      <c r="A82" s="19" t="str">
        <v>Implementation,Deployment,Application IDE</v>
      </c>
      <c r="B82" t="s">
        <v>377</v>
      </c>
      <c r="C82" s="19" t="str" cm="1">
        <f t="array" ref="C82:E82">_xlfn.TEXTSPLIT(A82,",")</f>
        <v>Implementation</v>
      </c>
      <c r="D82" s="19" t="str">
        <v>Deployment</v>
      </c>
      <c r="E82" s="19" t="str">
        <v>Application IDE</v>
      </c>
      <c r="F82" s="36" t="str" cm="1">
        <f t="array" ref="F82">_xlfn.TEXTJOIN(",",TRUE,_xlfn._xlws.FILTER(CLASSIFICATION[Keyword], ($E82=CLASSIFICATION[Keyword Aggr])*($D82=CLASSIFICATION[Functional Scope Aggr])))</f>
        <v>Application IDE</v>
      </c>
      <c r="G82" s="32" t="str">
        <f t="shared" si="14"/>
        <v/>
      </c>
      <c r="H82" s="32" t="str">
        <f t="shared" si="14"/>
        <v>Deployment</v>
      </c>
      <c r="I82" s="32" t="str">
        <f t="shared" ref="I82:I145" si="21">E82</f>
        <v>Application IDE</v>
      </c>
      <c r="J82" s="33" t="str" cm="1">
        <f t="array" aca="1" ref="J82" ca="1">_xlfn.LET(
_xlpm._platform_range, INDIRECT("'Platform review'!$C"&amp;_xlfn.XMATCH(J$2,'Platform review'!$A$1:$A$127)&amp;":$E"&amp;_xlfn.XMATCH(J$2,'Platform review'!$A$1:$A$127)+19),
_xlpm._original_keywords, _xlfn._xlws.FILTER(CLASSIFICATION[[Keyword]:[Keyword]], ($E82=CLASSIFICATION[[Keyword Aggr]:[Keyword Aggr]])*($D82=CLASSIFICATION[[Functional Scope Aggr]:[Functional Scope Aggr]])),
_xlpm._platform_keywords, _xlfn.TEXTSPLIT(SUBSTITUTE(SUBSTITUTE(VLOOKUP($D82,_xlpm._platform_range,3,FALSE),"+"&amp;CHAR(34),"+"),CHAR(34),""),", "),
_xlpm._exists, SUMPRODUCT(--ISNUMBER(MATCH(_xlpm._platform_keywords,_xlpm._original_keywords,0)))&gt;0,
_xlfn.IFS(AND(_xlpm._exists,LEFT($E82,1)="+"),"+",_xlpm._exists,"*",NOT(_xlpm._exists),"")
)</f>
        <v/>
      </c>
      <c r="K82" s="33" t="str" cm="1">
        <f t="array" aca="1" ref="K82" ca="1">_xlfn.LET(
_xlpm._platform_range, INDIRECT("'Platform review'!$C"&amp;_xlfn.XMATCH(K$2,'Platform review'!$A$1:$A$127)&amp;":$E"&amp;_xlfn.XMATCH(K$2,'Platform review'!$A$1:$A$127)+19),
_xlpm._original_keywords, _xlfn._xlws.FILTER(CLASSIFICATION[[Keyword]:[Keyword]], ($E82=CLASSIFICATION[[Keyword Aggr]:[Keyword Aggr]])*($D82=CLASSIFICATION[[Functional Scope Aggr]:[Functional Scope Aggr]])),
_xlpm._platform_keywords, _xlfn.TEXTSPLIT(SUBSTITUTE(SUBSTITUTE(VLOOKUP($D82,_xlpm._platform_range,3,FALSE),"+"&amp;CHAR(34),"+"),CHAR(34),""),", "),
_xlpm._exists, SUMPRODUCT(--ISNUMBER(MATCH(_xlpm._platform_keywords,_xlpm._original_keywords,0)))&gt;0,
_xlfn.IFS(AND(_xlpm._exists,LEFT($E82,1)="+"),"+",_xlpm._exists,"*",NOT(_xlpm._exists),"")
)</f>
        <v/>
      </c>
      <c r="L82" s="33" t="str" cm="1">
        <f t="array" aca="1" ref="L82" ca="1">_xlfn.LET(
_xlpm._platform_range, INDIRECT("'Platform review'!$C"&amp;_xlfn.XMATCH(L$2,'Platform review'!$A$1:$A$127)&amp;":$E"&amp;_xlfn.XMATCH(L$2,'Platform review'!$A$1:$A$127)+19),
_xlpm._original_keywords, _xlfn._xlws.FILTER(CLASSIFICATION[[Keyword]:[Keyword]], ($E82=CLASSIFICATION[[Keyword Aggr]:[Keyword Aggr]])*($D82=CLASSIFICATION[[Functional Scope Aggr]:[Functional Scope Aggr]])),
_xlpm._platform_keywords, _xlfn.TEXTSPLIT(SUBSTITUTE(SUBSTITUTE(VLOOKUP($D82,_xlpm._platform_range,3,FALSE),"+"&amp;CHAR(34),"+"),CHAR(34),""),", "),
_xlpm._exists, SUMPRODUCT(--ISNUMBER(MATCH(_xlpm._platform_keywords,_xlpm._original_keywords,0)))&gt;0,
_xlfn.IFS(AND(_xlpm._exists,LEFT($E82,1)="+"),"+",_xlpm._exists,"*",NOT(_xlpm._exists),"")
)</f>
        <v>*</v>
      </c>
      <c r="M82" s="33" t="str" cm="1">
        <f t="array" aca="1" ref="M82" ca="1">_xlfn.LET(
_xlpm._platform_range, INDIRECT("'Platform review'!$C"&amp;_xlfn.XMATCH(M$2,'Platform review'!$A$1:$A$127)&amp;":$E"&amp;_xlfn.XMATCH(M$2,'Platform review'!$A$1:$A$127)+19),
_xlpm._original_keywords, _xlfn._xlws.FILTER(CLASSIFICATION[[Keyword]:[Keyword]], ($E82=CLASSIFICATION[[Keyword Aggr]:[Keyword Aggr]])*($D82=CLASSIFICATION[[Functional Scope Aggr]:[Functional Scope Aggr]])),
_xlpm._platform_keywords, _xlfn.TEXTSPLIT(SUBSTITUTE(SUBSTITUTE(VLOOKUP($D82,_xlpm._platform_range,3,FALSE),"+"&amp;CHAR(34),"+"),CHAR(34),""),", "),
_xlpm._exists, SUMPRODUCT(--ISNUMBER(MATCH(_xlpm._platform_keywords,_xlpm._original_keywords,0)))&gt;0,
_xlfn.IFS(AND(_xlpm._exists,LEFT($E82,1)="+"),"+",_xlpm._exists,"*",NOT(_xlpm._exists),"")
)</f>
        <v/>
      </c>
      <c r="N82" s="33" t="str" cm="1">
        <f t="array" aca="1" ref="N82" ca="1">_xlfn.LET(
_xlpm._platform_range, INDIRECT("'Platform review'!$C"&amp;_xlfn.XMATCH(N$2,'Platform review'!$A$1:$A$127)&amp;":$E"&amp;_xlfn.XMATCH(N$2,'Platform review'!$A$1:$A$127)+19),
_xlpm._original_keywords, _xlfn._xlws.FILTER(CLASSIFICATION[[Keyword]:[Keyword]], ($E82=CLASSIFICATION[[Keyword Aggr]:[Keyword Aggr]])*($D82=CLASSIFICATION[[Functional Scope Aggr]:[Functional Scope Aggr]])),
_xlpm._platform_keywords, _xlfn.TEXTSPLIT(SUBSTITUTE(SUBSTITUTE(VLOOKUP($D82,_xlpm._platform_range,3,FALSE),"+"&amp;CHAR(34),"+"),CHAR(34),""),", "),
_xlpm._exists, SUMPRODUCT(--ISNUMBER(MATCH(_xlpm._platform_keywords,_xlpm._original_keywords,0)))&gt;0,
_xlfn.IFS(AND(_xlpm._exists,LEFT($E82,1)="+"),"+",_xlpm._exists,"*",NOT(_xlpm._exists),"")
)</f>
        <v/>
      </c>
      <c r="O82" s="33" t="str" cm="1">
        <f t="array" aca="1" ref="O82" ca="1">_xlfn.LET(
_xlpm._platform_range, INDIRECT("'Platform review'!$C"&amp;_xlfn.XMATCH(O$2,'Platform review'!$A$1:$A$127)&amp;":$E"&amp;_xlfn.XMATCH(O$2,'Platform review'!$A$1:$A$127)+19),
_xlpm._original_keywords, _xlfn._xlws.FILTER(CLASSIFICATION[[Keyword]:[Keyword]], ($E82=CLASSIFICATION[[Keyword Aggr]:[Keyword Aggr]])*($D82=CLASSIFICATION[[Functional Scope Aggr]:[Functional Scope Aggr]])),
_xlpm._platform_keywords, _xlfn.TEXTSPLIT(SUBSTITUTE(SUBSTITUTE(VLOOKUP($D82,_xlpm._platform_range,3,FALSE),"+"&amp;CHAR(34),"+"),CHAR(34),""),", "),
_xlpm._exists, SUMPRODUCT(--ISNUMBER(MATCH(_xlpm._platform_keywords,_xlpm._original_keywords,0)))&gt;0,
_xlfn.IFS(AND(_xlpm._exists,LEFT($E82,1)="+"),"+",_xlpm._exists,"*",NOT(_xlpm._exists),"")
)</f>
        <v/>
      </c>
      <c r="Q82" s="33">
        <f t="shared" ca="1" si="15"/>
        <v>3</v>
      </c>
      <c r="R82" s="33">
        <f t="shared" ca="1" si="16"/>
        <v>4</v>
      </c>
      <c r="S82" s="33">
        <f t="shared" ca="1" si="17"/>
        <v>4</v>
      </c>
      <c r="T82" s="33">
        <f t="shared" ca="1" si="18"/>
        <v>0</v>
      </c>
      <c r="U82" s="33">
        <f t="shared" ca="1" si="19"/>
        <v>0</v>
      </c>
      <c r="V82" s="33">
        <f t="shared" ca="1" si="20"/>
        <v>0</v>
      </c>
    </row>
    <row r="83" spans="1:22" x14ac:dyDescent="0.25">
      <c r="A83" s="19" t="str">
        <v>Implementation,Deployment,CI/CD</v>
      </c>
      <c r="B83" t="s">
        <v>377</v>
      </c>
      <c r="C83" s="19" t="str" cm="1">
        <f t="array" ref="C83:E83">_xlfn.TEXTSPLIT(A83,",")</f>
        <v>Implementation</v>
      </c>
      <c r="D83" s="19" t="str">
        <v>Deployment</v>
      </c>
      <c r="E83" s="19" t="str">
        <v>CI/CD</v>
      </c>
      <c r="F83" s="36" t="str" cm="1">
        <f t="array" ref="F83">_xlfn.TEXTJOIN(",",TRUE,_xlfn._xlws.FILTER(CLASSIFICATION[Keyword], ($E83=CLASSIFICATION[Keyword Aggr])*($D83=CLASSIFICATION[Functional Scope Aggr])))</f>
        <v>CI/CD</v>
      </c>
      <c r="G83" s="32" t="str">
        <f t="shared" si="14"/>
        <v/>
      </c>
      <c r="H83" s="32" t="str">
        <f t="shared" si="14"/>
        <v/>
      </c>
      <c r="I83" s="32" t="str">
        <f t="shared" si="21"/>
        <v>CI/CD</v>
      </c>
      <c r="J83" s="33" t="str" cm="1">
        <f t="array" aca="1" ref="J83" ca="1">_xlfn.LET(
_xlpm._platform_range, INDIRECT("'Platform review'!$C"&amp;_xlfn.XMATCH(J$2,'Platform review'!$A$1:$A$127)&amp;":$E"&amp;_xlfn.XMATCH(J$2,'Platform review'!$A$1:$A$127)+19),
_xlpm._original_keywords, _xlfn._xlws.FILTER(CLASSIFICATION[[Keyword]:[Keyword]], ($E83=CLASSIFICATION[[Keyword Aggr]:[Keyword Aggr]])*($D83=CLASSIFICATION[[Functional Scope Aggr]:[Functional Scope Aggr]])),
_xlpm._platform_keywords, _xlfn.TEXTSPLIT(SUBSTITUTE(SUBSTITUTE(VLOOKUP($D83,_xlpm._platform_range,3,FALSE),"+"&amp;CHAR(34),"+"),CHAR(34),""),", "),
_xlpm._exists, SUMPRODUCT(--ISNUMBER(MATCH(_xlpm._platform_keywords,_xlpm._original_keywords,0)))&gt;0,
_xlfn.IFS(AND(_xlpm._exists,LEFT($E83,1)="+"),"+",_xlpm._exists,"*",NOT(_xlpm._exists),"")
)</f>
        <v>*</v>
      </c>
      <c r="K83" s="33" t="str" cm="1">
        <f t="array" aca="1" ref="K83" ca="1">_xlfn.LET(
_xlpm._platform_range, INDIRECT("'Platform review'!$C"&amp;_xlfn.XMATCH(K$2,'Platform review'!$A$1:$A$127)&amp;":$E"&amp;_xlfn.XMATCH(K$2,'Platform review'!$A$1:$A$127)+19),
_xlpm._original_keywords, _xlfn._xlws.FILTER(CLASSIFICATION[[Keyword]:[Keyword]], ($E83=CLASSIFICATION[[Keyword Aggr]:[Keyword Aggr]])*($D83=CLASSIFICATION[[Functional Scope Aggr]:[Functional Scope Aggr]])),
_xlpm._platform_keywords, _xlfn.TEXTSPLIT(SUBSTITUTE(SUBSTITUTE(VLOOKUP($D83,_xlpm._platform_range,3,FALSE),"+"&amp;CHAR(34),"+"),CHAR(34),""),", "),
_xlpm._exists, SUMPRODUCT(--ISNUMBER(MATCH(_xlpm._platform_keywords,_xlpm._original_keywords,0)))&gt;0,
_xlfn.IFS(AND(_xlpm._exists,LEFT($E83,1)="+"),"+",_xlpm._exists,"*",NOT(_xlpm._exists),"")
)</f>
        <v>*</v>
      </c>
      <c r="L83" s="33" t="str" cm="1">
        <f t="array" aca="1" ref="L83" ca="1">_xlfn.LET(
_xlpm._platform_range, INDIRECT("'Platform review'!$C"&amp;_xlfn.XMATCH(L$2,'Platform review'!$A$1:$A$127)&amp;":$E"&amp;_xlfn.XMATCH(L$2,'Platform review'!$A$1:$A$127)+19),
_xlpm._original_keywords, _xlfn._xlws.FILTER(CLASSIFICATION[[Keyword]:[Keyword]], ($E83=CLASSIFICATION[[Keyword Aggr]:[Keyword Aggr]])*($D83=CLASSIFICATION[[Functional Scope Aggr]:[Functional Scope Aggr]])),
_xlpm._platform_keywords, _xlfn.TEXTSPLIT(SUBSTITUTE(SUBSTITUTE(VLOOKUP($D83,_xlpm._platform_range,3,FALSE),"+"&amp;CHAR(34),"+"),CHAR(34),""),", "),
_xlpm._exists, SUMPRODUCT(--ISNUMBER(MATCH(_xlpm._platform_keywords,_xlpm._original_keywords,0)))&gt;0,
_xlfn.IFS(AND(_xlpm._exists,LEFT($E83,1)="+"),"+",_xlpm._exists,"*",NOT(_xlpm._exists),"")
)</f>
        <v/>
      </c>
      <c r="M83" s="33" t="str" cm="1">
        <f t="array" aca="1" ref="M83" ca="1">_xlfn.LET(
_xlpm._platform_range, INDIRECT("'Platform review'!$C"&amp;_xlfn.XMATCH(M$2,'Platform review'!$A$1:$A$127)&amp;":$E"&amp;_xlfn.XMATCH(M$2,'Platform review'!$A$1:$A$127)+19),
_xlpm._original_keywords, _xlfn._xlws.FILTER(CLASSIFICATION[[Keyword]:[Keyword]], ($E83=CLASSIFICATION[[Keyword Aggr]:[Keyword Aggr]])*($D83=CLASSIFICATION[[Functional Scope Aggr]:[Functional Scope Aggr]])),
_xlpm._platform_keywords, _xlfn.TEXTSPLIT(SUBSTITUTE(SUBSTITUTE(VLOOKUP($D83,_xlpm._platform_range,3,FALSE),"+"&amp;CHAR(34),"+"),CHAR(34),""),", "),
_xlpm._exists, SUMPRODUCT(--ISNUMBER(MATCH(_xlpm._platform_keywords,_xlpm._original_keywords,0)))&gt;0,
_xlfn.IFS(AND(_xlpm._exists,LEFT($E83,1)="+"),"+",_xlpm._exists,"*",NOT(_xlpm._exists),"")
)</f>
        <v/>
      </c>
      <c r="N83" s="33" t="str" cm="1">
        <f t="array" aca="1" ref="N83" ca="1">_xlfn.LET(
_xlpm._platform_range, INDIRECT("'Platform review'!$C"&amp;_xlfn.XMATCH(N$2,'Platform review'!$A$1:$A$127)&amp;":$E"&amp;_xlfn.XMATCH(N$2,'Platform review'!$A$1:$A$127)+19),
_xlpm._original_keywords, _xlfn._xlws.FILTER(CLASSIFICATION[[Keyword]:[Keyword]], ($E83=CLASSIFICATION[[Keyword Aggr]:[Keyword Aggr]])*($D83=CLASSIFICATION[[Functional Scope Aggr]:[Functional Scope Aggr]])),
_xlpm._platform_keywords, _xlfn.TEXTSPLIT(SUBSTITUTE(SUBSTITUTE(VLOOKUP($D83,_xlpm._platform_range,3,FALSE),"+"&amp;CHAR(34),"+"),CHAR(34),""),", "),
_xlpm._exists, SUMPRODUCT(--ISNUMBER(MATCH(_xlpm._platform_keywords,_xlpm._original_keywords,0)))&gt;0,
_xlfn.IFS(AND(_xlpm._exists,LEFT($E83,1)="+"),"+",_xlpm._exists,"*",NOT(_xlpm._exists),"")
)</f>
        <v/>
      </c>
      <c r="O83" s="33" t="str" cm="1">
        <f t="array" aca="1" ref="O83" ca="1">_xlfn.LET(
_xlpm._platform_range, INDIRECT("'Platform review'!$C"&amp;_xlfn.XMATCH(O$2,'Platform review'!$A$1:$A$127)&amp;":$E"&amp;_xlfn.XMATCH(O$2,'Platform review'!$A$1:$A$127)+19),
_xlpm._original_keywords, _xlfn._xlws.FILTER(CLASSIFICATION[[Keyword]:[Keyword]], ($E83=CLASSIFICATION[[Keyword Aggr]:[Keyword Aggr]])*($D83=CLASSIFICATION[[Functional Scope Aggr]:[Functional Scope Aggr]])),
_xlpm._platform_keywords, _xlfn.TEXTSPLIT(SUBSTITUTE(SUBSTITUTE(VLOOKUP($D83,_xlpm._platform_range,3,FALSE),"+"&amp;CHAR(34),"+"),CHAR(34),""),", "),
_xlpm._exists, SUMPRODUCT(--ISNUMBER(MATCH(_xlpm._platform_keywords,_xlpm._original_keywords,0)))&gt;0,
_xlfn.IFS(AND(_xlpm._exists,LEFT($E83,1)="+"),"+",_xlpm._exists,"*",NOT(_xlpm._exists),"")
)</f>
        <v/>
      </c>
      <c r="Q83" s="33" t="str">
        <f t="shared" si="15"/>
        <v/>
      </c>
      <c r="R83" s="33" t="str">
        <f t="shared" si="16"/>
        <v/>
      </c>
      <c r="S83" s="33" t="str">
        <f t="shared" si="17"/>
        <v/>
      </c>
      <c r="T83" s="33" t="str">
        <f t="shared" si="18"/>
        <v/>
      </c>
      <c r="U83" s="33" t="str">
        <f t="shared" si="19"/>
        <v/>
      </c>
      <c r="V83" s="33" t="str">
        <f t="shared" si="20"/>
        <v/>
      </c>
    </row>
    <row r="84" spans="1:22" x14ac:dyDescent="0.25">
      <c r="A84" s="19" t="str">
        <v>Implementation,Deployment,Cloud Computing</v>
      </c>
      <c r="B84" t="s">
        <v>377</v>
      </c>
      <c r="C84" s="19" t="str" cm="1">
        <f t="array" ref="C84:E84">_xlfn.TEXTSPLIT(A84,",")</f>
        <v>Implementation</v>
      </c>
      <c r="D84" s="19" t="str">
        <v>Deployment</v>
      </c>
      <c r="E84" s="19" t="str">
        <v>Cloud Computing</v>
      </c>
      <c r="F84" s="36" t="str" cm="1">
        <f t="array" ref="F84">_xlfn.TEXTJOIN(",",TRUE,_xlfn._xlws.FILTER(CLASSIFICATION[Keyword], ($E84=CLASSIFICATION[Keyword Aggr])*($D84=CLASSIFICATION[Functional Scope Aggr])))</f>
        <v>Cloud Computing</v>
      </c>
      <c r="G84" s="32" t="str">
        <f t="shared" si="14"/>
        <v/>
      </c>
      <c r="H84" s="32" t="str">
        <f t="shared" si="14"/>
        <v/>
      </c>
      <c r="I84" s="32" t="str">
        <f t="shared" si="21"/>
        <v>Cloud Computing</v>
      </c>
      <c r="J84" s="33" t="str" cm="1">
        <f t="array" aca="1" ref="J84" ca="1">_xlfn.LET(
_xlpm._platform_range, INDIRECT("'Platform review'!$C"&amp;_xlfn.XMATCH(J$2,'Platform review'!$A$1:$A$127)&amp;":$E"&amp;_xlfn.XMATCH(J$2,'Platform review'!$A$1:$A$127)+19),
_xlpm._original_keywords, _xlfn._xlws.FILTER(CLASSIFICATION[[Keyword]:[Keyword]], ($E84=CLASSIFICATION[[Keyword Aggr]:[Keyword Aggr]])*($D84=CLASSIFICATION[[Functional Scope Aggr]:[Functional Scope Aggr]])),
_xlpm._platform_keywords, _xlfn.TEXTSPLIT(SUBSTITUTE(SUBSTITUTE(VLOOKUP($D84,_xlpm._platform_range,3,FALSE),"+"&amp;CHAR(34),"+"),CHAR(34),""),", "),
_xlpm._exists, SUMPRODUCT(--ISNUMBER(MATCH(_xlpm._platform_keywords,_xlpm._original_keywords,0)))&gt;0,
_xlfn.IFS(AND(_xlpm._exists,LEFT($E84,1)="+"),"+",_xlpm._exists,"*",NOT(_xlpm._exists),"")
)</f>
        <v/>
      </c>
      <c r="K84" s="33" t="str" cm="1">
        <f t="array" aca="1" ref="K84" ca="1">_xlfn.LET(
_xlpm._platform_range, INDIRECT("'Platform review'!$C"&amp;_xlfn.XMATCH(K$2,'Platform review'!$A$1:$A$127)&amp;":$E"&amp;_xlfn.XMATCH(K$2,'Platform review'!$A$1:$A$127)+19),
_xlpm._original_keywords, _xlfn._xlws.FILTER(CLASSIFICATION[[Keyword]:[Keyword]], ($E84=CLASSIFICATION[[Keyword Aggr]:[Keyword Aggr]])*($D84=CLASSIFICATION[[Functional Scope Aggr]:[Functional Scope Aggr]])),
_xlpm._platform_keywords, _xlfn.TEXTSPLIT(SUBSTITUTE(SUBSTITUTE(VLOOKUP($D84,_xlpm._platform_range,3,FALSE),"+"&amp;CHAR(34),"+"),CHAR(34),""),", "),
_xlpm._exists, SUMPRODUCT(--ISNUMBER(MATCH(_xlpm._platform_keywords,_xlpm._original_keywords,0)))&gt;0,
_xlfn.IFS(AND(_xlpm._exists,LEFT($E84,1)="+"),"+",_xlpm._exists,"*",NOT(_xlpm._exists),"")
)</f>
        <v>*</v>
      </c>
      <c r="L84" s="33" t="str" cm="1">
        <f t="array" aca="1" ref="L84" ca="1">_xlfn.LET(
_xlpm._platform_range, INDIRECT("'Platform review'!$C"&amp;_xlfn.XMATCH(L$2,'Platform review'!$A$1:$A$127)&amp;":$E"&amp;_xlfn.XMATCH(L$2,'Platform review'!$A$1:$A$127)+19),
_xlpm._original_keywords, _xlfn._xlws.FILTER(CLASSIFICATION[[Keyword]:[Keyword]], ($E84=CLASSIFICATION[[Keyword Aggr]:[Keyword Aggr]])*($D84=CLASSIFICATION[[Functional Scope Aggr]:[Functional Scope Aggr]])),
_xlpm._platform_keywords, _xlfn.TEXTSPLIT(SUBSTITUTE(SUBSTITUTE(VLOOKUP($D84,_xlpm._platform_range,3,FALSE),"+"&amp;CHAR(34),"+"),CHAR(34),""),", "),
_xlpm._exists, SUMPRODUCT(--ISNUMBER(MATCH(_xlpm._platform_keywords,_xlpm._original_keywords,0)))&gt;0,
_xlfn.IFS(AND(_xlpm._exists,LEFT($E84,1)="+"),"+",_xlpm._exists,"*",NOT(_xlpm._exists),"")
)</f>
        <v>*</v>
      </c>
      <c r="M84" s="33" t="str" cm="1">
        <f t="array" aca="1" ref="M84" ca="1">_xlfn.LET(
_xlpm._platform_range, INDIRECT("'Platform review'!$C"&amp;_xlfn.XMATCH(M$2,'Platform review'!$A$1:$A$127)&amp;":$E"&amp;_xlfn.XMATCH(M$2,'Platform review'!$A$1:$A$127)+19),
_xlpm._original_keywords, _xlfn._xlws.FILTER(CLASSIFICATION[[Keyword]:[Keyword]], ($E84=CLASSIFICATION[[Keyword Aggr]:[Keyword Aggr]])*($D84=CLASSIFICATION[[Functional Scope Aggr]:[Functional Scope Aggr]])),
_xlpm._platform_keywords, _xlfn.TEXTSPLIT(SUBSTITUTE(SUBSTITUTE(VLOOKUP($D84,_xlpm._platform_range,3,FALSE),"+"&amp;CHAR(34),"+"),CHAR(34),""),", "),
_xlpm._exists, SUMPRODUCT(--ISNUMBER(MATCH(_xlpm._platform_keywords,_xlpm._original_keywords,0)))&gt;0,
_xlfn.IFS(AND(_xlpm._exists,LEFT($E84,1)="+"),"+",_xlpm._exists,"*",NOT(_xlpm._exists),"")
)</f>
        <v/>
      </c>
      <c r="N84" s="33" t="str" cm="1">
        <f t="array" aca="1" ref="N84" ca="1">_xlfn.LET(
_xlpm._platform_range, INDIRECT("'Platform review'!$C"&amp;_xlfn.XMATCH(N$2,'Platform review'!$A$1:$A$127)&amp;":$E"&amp;_xlfn.XMATCH(N$2,'Platform review'!$A$1:$A$127)+19),
_xlpm._original_keywords, _xlfn._xlws.FILTER(CLASSIFICATION[[Keyword]:[Keyword]], ($E84=CLASSIFICATION[[Keyword Aggr]:[Keyword Aggr]])*($D84=CLASSIFICATION[[Functional Scope Aggr]:[Functional Scope Aggr]])),
_xlpm._platform_keywords, _xlfn.TEXTSPLIT(SUBSTITUTE(SUBSTITUTE(VLOOKUP($D84,_xlpm._platform_range,3,FALSE),"+"&amp;CHAR(34),"+"),CHAR(34),""),", "),
_xlpm._exists, SUMPRODUCT(--ISNUMBER(MATCH(_xlpm._platform_keywords,_xlpm._original_keywords,0)))&gt;0,
_xlfn.IFS(AND(_xlpm._exists,LEFT($E84,1)="+"),"+",_xlpm._exists,"*",NOT(_xlpm._exists),"")
)</f>
        <v/>
      </c>
      <c r="O84" s="33" t="str" cm="1">
        <f t="array" aca="1" ref="O84" ca="1">_xlfn.LET(
_xlpm._platform_range, INDIRECT("'Platform review'!$C"&amp;_xlfn.XMATCH(O$2,'Platform review'!$A$1:$A$127)&amp;":$E"&amp;_xlfn.XMATCH(O$2,'Platform review'!$A$1:$A$127)+19),
_xlpm._original_keywords, _xlfn._xlws.FILTER(CLASSIFICATION[[Keyword]:[Keyword]], ($E84=CLASSIFICATION[[Keyword Aggr]:[Keyword Aggr]])*($D84=CLASSIFICATION[[Functional Scope Aggr]:[Functional Scope Aggr]])),
_xlpm._platform_keywords, _xlfn.TEXTSPLIT(SUBSTITUTE(SUBSTITUTE(VLOOKUP($D84,_xlpm._platform_range,3,FALSE),"+"&amp;CHAR(34),"+"),CHAR(34),""),", "),
_xlpm._exists, SUMPRODUCT(--ISNUMBER(MATCH(_xlpm._platform_keywords,_xlpm._original_keywords,0)))&gt;0,
_xlfn.IFS(AND(_xlpm._exists,LEFT($E84,1)="+"),"+",_xlpm._exists,"*",NOT(_xlpm._exists),"")
)</f>
        <v/>
      </c>
      <c r="Q84" s="33" t="str">
        <f t="shared" si="15"/>
        <v/>
      </c>
      <c r="R84" s="33" t="str">
        <f t="shared" si="16"/>
        <v/>
      </c>
      <c r="S84" s="33" t="str">
        <f t="shared" si="17"/>
        <v/>
      </c>
      <c r="T84" s="33" t="str">
        <f t="shared" si="18"/>
        <v/>
      </c>
      <c r="U84" s="33" t="str">
        <f t="shared" si="19"/>
        <v/>
      </c>
      <c r="V84" s="33" t="str">
        <f t="shared" si="20"/>
        <v/>
      </c>
    </row>
    <row r="85" spans="1:22" x14ac:dyDescent="0.25">
      <c r="A85" s="19" t="str">
        <v>Implementation,Deployment,Docker</v>
      </c>
      <c r="B85" t="s">
        <v>377</v>
      </c>
      <c r="C85" s="19" t="str" cm="1">
        <f t="array" ref="C85:E85">_xlfn.TEXTSPLIT(A85,",")</f>
        <v>Implementation</v>
      </c>
      <c r="D85" s="19" t="str">
        <v>Deployment</v>
      </c>
      <c r="E85" s="19" t="str">
        <v>Docker</v>
      </c>
      <c r="F85" s="36" t="str" cm="1">
        <f t="array" ref="F85">_xlfn.TEXTJOIN(",",TRUE,_xlfn._xlws.FILTER(CLASSIFICATION[Keyword], ($E85=CLASSIFICATION[Keyword Aggr])*($D85=CLASSIFICATION[Functional Scope Aggr])))</f>
        <v>Docker</v>
      </c>
      <c r="G85" s="32" t="str">
        <f t="shared" si="14"/>
        <v/>
      </c>
      <c r="H85" s="32" t="str">
        <f t="shared" si="14"/>
        <v/>
      </c>
      <c r="I85" s="32" t="str">
        <f t="shared" si="21"/>
        <v>Docker</v>
      </c>
      <c r="J85" s="33" t="str" cm="1">
        <f t="array" aca="1" ref="J85" ca="1">_xlfn.LET(
_xlpm._platform_range, INDIRECT("'Platform review'!$C"&amp;_xlfn.XMATCH(J$2,'Platform review'!$A$1:$A$127)&amp;":$E"&amp;_xlfn.XMATCH(J$2,'Platform review'!$A$1:$A$127)+19),
_xlpm._original_keywords, _xlfn._xlws.FILTER(CLASSIFICATION[[Keyword]:[Keyword]], ($E85=CLASSIFICATION[[Keyword Aggr]:[Keyword Aggr]])*($D85=CLASSIFICATION[[Functional Scope Aggr]:[Functional Scope Aggr]])),
_xlpm._platform_keywords, _xlfn.TEXTSPLIT(SUBSTITUTE(SUBSTITUTE(VLOOKUP($D85,_xlpm._platform_range,3,FALSE),"+"&amp;CHAR(34),"+"),CHAR(34),""),", "),
_xlpm._exists, SUMPRODUCT(--ISNUMBER(MATCH(_xlpm._platform_keywords,_xlpm._original_keywords,0)))&gt;0,
_xlfn.IFS(AND(_xlpm._exists,LEFT($E85,1)="+"),"+",_xlpm._exists,"*",NOT(_xlpm._exists),"")
)</f>
        <v>*</v>
      </c>
      <c r="K85" s="33" t="str" cm="1">
        <f t="array" aca="1" ref="K85" ca="1">_xlfn.LET(
_xlpm._platform_range, INDIRECT("'Platform review'!$C"&amp;_xlfn.XMATCH(K$2,'Platform review'!$A$1:$A$127)&amp;":$E"&amp;_xlfn.XMATCH(K$2,'Platform review'!$A$1:$A$127)+19),
_xlpm._original_keywords, _xlfn._xlws.FILTER(CLASSIFICATION[[Keyword]:[Keyword]], ($E85=CLASSIFICATION[[Keyword Aggr]:[Keyword Aggr]])*($D85=CLASSIFICATION[[Functional Scope Aggr]:[Functional Scope Aggr]])),
_xlpm._platform_keywords, _xlfn.TEXTSPLIT(SUBSTITUTE(SUBSTITUTE(VLOOKUP($D85,_xlpm._platform_range,3,FALSE),"+"&amp;CHAR(34),"+"),CHAR(34),""),", "),
_xlpm._exists, SUMPRODUCT(--ISNUMBER(MATCH(_xlpm._platform_keywords,_xlpm._original_keywords,0)))&gt;0,
_xlfn.IFS(AND(_xlpm._exists,LEFT($E85,1)="+"),"+",_xlpm._exists,"*",NOT(_xlpm._exists),"")
)</f>
        <v/>
      </c>
      <c r="L85" s="33" t="str" cm="1">
        <f t="array" aca="1" ref="L85" ca="1">_xlfn.LET(
_xlpm._platform_range, INDIRECT("'Platform review'!$C"&amp;_xlfn.XMATCH(L$2,'Platform review'!$A$1:$A$127)&amp;":$E"&amp;_xlfn.XMATCH(L$2,'Platform review'!$A$1:$A$127)+19),
_xlpm._original_keywords, _xlfn._xlws.FILTER(CLASSIFICATION[[Keyword]:[Keyword]], ($E85=CLASSIFICATION[[Keyword Aggr]:[Keyword Aggr]])*($D85=CLASSIFICATION[[Functional Scope Aggr]:[Functional Scope Aggr]])),
_xlpm._platform_keywords, _xlfn.TEXTSPLIT(SUBSTITUTE(SUBSTITUTE(VLOOKUP($D85,_xlpm._platform_range,3,FALSE),"+"&amp;CHAR(34),"+"),CHAR(34),""),", "),
_xlpm._exists, SUMPRODUCT(--ISNUMBER(MATCH(_xlpm._platform_keywords,_xlpm._original_keywords,0)))&gt;0,
_xlfn.IFS(AND(_xlpm._exists,LEFT($E85,1)="+"),"+",_xlpm._exists,"*",NOT(_xlpm._exists),"")
)</f>
        <v/>
      </c>
      <c r="M85" s="33" t="str" cm="1">
        <f t="array" aca="1" ref="M85" ca="1">_xlfn.LET(
_xlpm._platform_range, INDIRECT("'Platform review'!$C"&amp;_xlfn.XMATCH(M$2,'Platform review'!$A$1:$A$127)&amp;":$E"&amp;_xlfn.XMATCH(M$2,'Platform review'!$A$1:$A$127)+19),
_xlpm._original_keywords, _xlfn._xlws.FILTER(CLASSIFICATION[[Keyword]:[Keyword]], ($E85=CLASSIFICATION[[Keyword Aggr]:[Keyword Aggr]])*($D85=CLASSIFICATION[[Functional Scope Aggr]:[Functional Scope Aggr]])),
_xlpm._platform_keywords, _xlfn.TEXTSPLIT(SUBSTITUTE(SUBSTITUTE(VLOOKUP($D85,_xlpm._platform_range,3,FALSE),"+"&amp;CHAR(34),"+"),CHAR(34),""),", "),
_xlpm._exists, SUMPRODUCT(--ISNUMBER(MATCH(_xlpm._platform_keywords,_xlpm._original_keywords,0)))&gt;0,
_xlfn.IFS(AND(_xlpm._exists,LEFT($E85,1)="+"),"+",_xlpm._exists,"*",NOT(_xlpm._exists),"")
)</f>
        <v/>
      </c>
      <c r="N85" s="33" t="str" cm="1">
        <f t="array" aca="1" ref="N85" ca="1">_xlfn.LET(
_xlpm._platform_range, INDIRECT("'Platform review'!$C"&amp;_xlfn.XMATCH(N$2,'Platform review'!$A$1:$A$127)&amp;":$E"&amp;_xlfn.XMATCH(N$2,'Platform review'!$A$1:$A$127)+19),
_xlpm._original_keywords, _xlfn._xlws.FILTER(CLASSIFICATION[[Keyword]:[Keyword]], ($E85=CLASSIFICATION[[Keyword Aggr]:[Keyword Aggr]])*($D85=CLASSIFICATION[[Functional Scope Aggr]:[Functional Scope Aggr]])),
_xlpm._platform_keywords, _xlfn.TEXTSPLIT(SUBSTITUTE(SUBSTITUTE(VLOOKUP($D85,_xlpm._platform_range,3,FALSE),"+"&amp;CHAR(34),"+"),CHAR(34),""),", "),
_xlpm._exists, SUMPRODUCT(--ISNUMBER(MATCH(_xlpm._platform_keywords,_xlpm._original_keywords,0)))&gt;0,
_xlfn.IFS(AND(_xlpm._exists,LEFT($E85,1)="+"),"+",_xlpm._exists,"*",NOT(_xlpm._exists),"")
)</f>
        <v/>
      </c>
      <c r="O85" s="33" t="str" cm="1">
        <f t="array" aca="1" ref="O85" ca="1">_xlfn.LET(
_xlpm._platform_range, INDIRECT("'Platform review'!$C"&amp;_xlfn.XMATCH(O$2,'Platform review'!$A$1:$A$127)&amp;":$E"&amp;_xlfn.XMATCH(O$2,'Platform review'!$A$1:$A$127)+19),
_xlpm._original_keywords, _xlfn._xlws.FILTER(CLASSIFICATION[[Keyword]:[Keyword]], ($E85=CLASSIFICATION[[Keyword Aggr]:[Keyword Aggr]])*($D85=CLASSIFICATION[[Functional Scope Aggr]:[Functional Scope Aggr]])),
_xlpm._platform_keywords, _xlfn.TEXTSPLIT(SUBSTITUTE(SUBSTITUTE(VLOOKUP($D85,_xlpm._platform_range,3,FALSE),"+"&amp;CHAR(34),"+"),CHAR(34),""),", "),
_xlpm._exists, SUMPRODUCT(--ISNUMBER(MATCH(_xlpm._platform_keywords,_xlpm._original_keywords,0)))&gt;0,
_xlfn.IFS(AND(_xlpm._exists,LEFT($E85,1)="+"),"+",_xlpm._exists,"*",NOT(_xlpm._exists),"")
)</f>
        <v/>
      </c>
      <c r="Q85" s="33" t="str">
        <f t="shared" si="15"/>
        <v/>
      </c>
      <c r="R85" s="33" t="str">
        <f t="shared" si="16"/>
        <v/>
      </c>
      <c r="S85" s="33" t="str">
        <f t="shared" si="17"/>
        <v/>
      </c>
      <c r="T85" s="33" t="str">
        <f t="shared" si="18"/>
        <v/>
      </c>
      <c r="U85" s="33" t="str">
        <f t="shared" si="19"/>
        <v/>
      </c>
      <c r="V85" s="33" t="str">
        <f t="shared" si="20"/>
        <v/>
      </c>
    </row>
    <row r="86" spans="1:22" x14ac:dyDescent="0.25">
      <c r="A86" s="19" t="str">
        <v>Implementation,Deployment,Kubernetes</v>
      </c>
      <c r="B86" t="s">
        <v>377</v>
      </c>
      <c r="C86" s="19" t="str" cm="1">
        <f t="array" ref="C86:E86">_xlfn.TEXTSPLIT(A86,",")</f>
        <v>Implementation</v>
      </c>
      <c r="D86" s="19" t="str">
        <v>Deployment</v>
      </c>
      <c r="E86" s="19" t="str">
        <v>Kubernetes</v>
      </c>
      <c r="F86" s="36" t="str" cm="1">
        <f t="array" ref="F86">_xlfn.TEXTJOIN(",",TRUE,_xlfn._xlws.FILTER(CLASSIFICATION[Keyword], ($E86=CLASSIFICATION[Keyword Aggr])*($D86=CLASSIFICATION[Functional Scope Aggr])))</f>
        <v>Kubernetes</v>
      </c>
      <c r="G86" s="32" t="str">
        <f t="shared" si="14"/>
        <v/>
      </c>
      <c r="H86" s="32" t="str">
        <f t="shared" si="14"/>
        <v/>
      </c>
      <c r="I86" s="32" t="str">
        <f t="shared" si="21"/>
        <v>Kubernetes</v>
      </c>
      <c r="J86" s="33" t="str" cm="1">
        <f t="array" aca="1" ref="J86" ca="1">_xlfn.LET(
_xlpm._platform_range, INDIRECT("'Platform review'!$C"&amp;_xlfn.XMATCH(J$2,'Platform review'!$A$1:$A$127)&amp;":$E"&amp;_xlfn.XMATCH(J$2,'Platform review'!$A$1:$A$127)+19),
_xlpm._original_keywords, _xlfn._xlws.FILTER(CLASSIFICATION[[Keyword]:[Keyword]], ($E86=CLASSIFICATION[[Keyword Aggr]:[Keyword Aggr]])*($D86=CLASSIFICATION[[Functional Scope Aggr]:[Functional Scope Aggr]])),
_xlpm._platform_keywords, _xlfn.TEXTSPLIT(SUBSTITUTE(SUBSTITUTE(VLOOKUP($D86,_xlpm._platform_range,3,FALSE),"+"&amp;CHAR(34),"+"),CHAR(34),""),", "),
_xlpm._exists, SUMPRODUCT(--ISNUMBER(MATCH(_xlpm._platform_keywords,_xlpm._original_keywords,0)))&gt;0,
_xlfn.IFS(AND(_xlpm._exists,LEFT($E86,1)="+"),"+",_xlpm._exists,"*",NOT(_xlpm._exists),"")
)</f>
        <v>*</v>
      </c>
      <c r="K86" s="33" t="str" cm="1">
        <f t="array" aca="1" ref="K86" ca="1">_xlfn.LET(
_xlpm._platform_range, INDIRECT("'Platform review'!$C"&amp;_xlfn.XMATCH(K$2,'Platform review'!$A$1:$A$127)&amp;":$E"&amp;_xlfn.XMATCH(K$2,'Platform review'!$A$1:$A$127)+19),
_xlpm._original_keywords, _xlfn._xlws.FILTER(CLASSIFICATION[[Keyword]:[Keyword]], ($E86=CLASSIFICATION[[Keyword Aggr]:[Keyword Aggr]])*($D86=CLASSIFICATION[[Functional Scope Aggr]:[Functional Scope Aggr]])),
_xlpm._platform_keywords, _xlfn.TEXTSPLIT(SUBSTITUTE(SUBSTITUTE(VLOOKUP($D86,_xlpm._platform_range,3,FALSE),"+"&amp;CHAR(34),"+"),CHAR(34),""),", "),
_xlpm._exists, SUMPRODUCT(--ISNUMBER(MATCH(_xlpm._platform_keywords,_xlpm._original_keywords,0)))&gt;0,
_xlfn.IFS(AND(_xlpm._exists,LEFT($E86,1)="+"),"+",_xlpm._exists,"*",NOT(_xlpm._exists),"")
)</f>
        <v/>
      </c>
      <c r="L86" s="33" t="str" cm="1">
        <f t="array" aca="1" ref="L86" ca="1">_xlfn.LET(
_xlpm._platform_range, INDIRECT("'Platform review'!$C"&amp;_xlfn.XMATCH(L$2,'Platform review'!$A$1:$A$127)&amp;":$E"&amp;_xlfn.XMATCH(L$2,'Platform review'!$A$1:$A$127)+19),
_xlpm._original_keywords, _xlfn._xlws.FILTER(CLASSIFICATION[[Keyword]:[Keyword]], ($E86=CLASSIFICATION[[Keyword Aggr]:[Keyword Aggr]])*($D86=CLASSIFICATION[[Functional Scope Aggr]:[Functional Scope Aggr]])),
_xlpm._platform_keywords, _xlfn.TEXTSPLIT(SUBSTITUTE(SUBSTITUTE(VLOOKUP($D86,_xlpm._platform_range,3,FALSE),"+"&amp;CHAR(34),"+"),CHAR(34),""),", "),
_xlpm._exists, SUMPRODUCT(--ISNUMBER(MATCH(_xlpm._platform_keywords,_xlpm._original_keywords,0)))&gt;0,
_xlfn.IFS(AND(_xlpm._exists,LEFT($E86,1)="+"),"+",_xlpm._exists,"*",NOT(_xlpm._exists),"")
)</f>
        <v/>
      </c>
      <c r="M86" s="33" t="str" cm="1">
        <f t="array" aca="1" ref="M86" ca="1">_xlfn.LET(
_xlpm._platform_range, INDIRECT("'Platform review'!$C"&amp;_xlfn.XMATCH(M$2,'Platform review'!$A$1:$A$127)&amp;":$E"&amp;_xlfn.XMATCH(M$2,'Platform review'!$A$1:$A$127)+19),
_xlpm._original_keywords, _xlfn._xlws.FILTER(CLASSIFICATION[[Keyword]:[Keyword]], ($E86=CLASSIFICATION[[Keyword Aggr]:[Keyword Aggr]])*($D86=CLASSIFICATION[[Functional Scope Aggr]:[Functional Scope Aggr]])),
_xlpm._platform_keywords, _xlfn.TEXTSPLIT(SUBSTITUTE(SUBSTITUTE(VLOOKUP($D86,_xlpm._platform_range,3,FALSE),"+"&amp;CHAR(34),"+"),CHAR(34),""),", "),
_xlpm._exists, SUMPRODUCT(--ISNUMBER(MATCH(_xlpm._platform_keywords,_xlpm._original_keywords,0)))&gt;0,
_xlfn.IFS(AND(_xlpm._exists,LEFT($E86,1)="+"),"+",_xlpm._exists,"*",NOT(_xlpm._exists),"")
)</f>
        <v/>
      </c>
      <c r="N86" s="33" t="str" cm="1">
        <f t="array" aca="1" ref="N86" ca="1">_xlfn.LET(
_xlpm._platform_range, INDIRECT("'Platform review'!$C"&amp;_xlfn.XMATCH(N$2,'Platform review'!$A$1:$A$127)&amp;":$E"&amp;_xlfn.XMATCH(N$2,'Platform review'!$A$1:$A$127)+19),
_xlpm._original_keywords, _xlfn._xlws.FILTER(CLASSIFICATION[[Keyword]:[Keyword]], ($E86=CLASSIFICATION[[Keyword Aggr]:[Keyword Aggr]])*($D86=CLASSIFICATION[[Functional Scope Aggr]:[Functional Scope Aggr]])),
_xlpm._platform_keywords, _xlfn.TEXTSPLIT(SUBSTITUTE(SUBSTITUTE(VLOOKUP($D86,_xlpm._platform_range,3,FALSE),"+"&amp;CHAR(34),"+"),CHAR(34),""),", "),
_xlpm._exists, SUMPRODUCT(--ISNUMBER(MATCH(_xlpm._platform_keywords,_xlpm._original_keywords,0)))&gt;0,
_xlfn.IFS(AND(_xlpm._exists,LEFT($E86,1)="+"),"+",_xlpm._exists,"*",NOT(_xlpm._exists),"")
)</f>
        <v/>
      </c>
      <c r="O86" s="33" t="str" cm="1">
        <f t="array" aca="1" ref="O86" ca="1">_xlfn.LET(
_xlpm._platform_range, INDIRECT("'Platform review'!$C"&amp;_xlfn.XMATCH(O$2,'Platform review'!$A$1:$A$127)&amp;":$E"&amp;_xlfn.XMATCH(O$2,'Platform review'!$A$1:$A$127)+19),
_xlpm._original_keywords, _xlfn._xlws.FILTER(CLASSIFICATION[[Keyword]:[Keyword]], ($E86=CLASSIFICATION[[Keyword Aggr]:[Keyword Aggr]])*($D86=CLASSIFICATION[[Functional Scope Aggr]:[Functional Scope Aggr]])),
_xlpm._platform_keywords, _xlfn.TEXTSPLIT(SUBSTITUTE(SUBSTITUTE(VLOOKUP($D86,_xlpm._platform_range,3,FALSE),"+"&amp;CHAR(34),"+"),CHAR(34),""),", "),
_xlpm._exists, SUMPRODUCT(--ISNUMBER(MATCH(_xlpm._platform_keywords,_xlpm._original_keywords,0)))&gt;0,
_xlfn.IFS(AND(_xlpm._exists,LEFT($E86,1)="+"),"+",_xlpm._exists,"*",NOT(_xlpm._exists),"")
)</f>
        <v/>
      </c>
      <c r="Q86" s="33" t="str">
        <f t="shared" si="15"/>
        <v/>
      </c>
      <c r="R86" s="33" t="str">
        <f t="shared" si="16"/>
        <v/>
      </c>
      <c r="S86" s="33" t="str">
        <f t="shared" si="17"/>
        <v/>
      </c>
      <c r="T86" s="33" t="str">
        <f t="shared" si="18"/>
        <v/>
      </c>
      <c r="U86" s="33" t="str">
        <f t="shared" si="19"/>
        <v/>
      </c>
      <c r="V86" s="33" t="str">
        <f t="shared" si="20"/>
        <v/>
      </c>
    </row>
    <row r="87" spans="1:22" x14ac:dyDescent="0.25">
      <c r="A87" s="19" t="str">
        <v>Implementation,Deployment,On-Premise</v>
      </c>
      <c r="B87" t="s">
        <v>377</v>
      </c>
      <c r="C87" s="19" t="str" cm="1">
        <f t="array" ref="C87:E87">_xlfn.TEXTSPLIT(A87,",")</f>
        <v>Implementation</v>
      </c>
      <c r="D87" s="19" t="str">
        <v>Deployment</v>
      </c>
      <c r="E87" s="19" t="str">
        <v>On-Premise</v>
      </c>
      <c r="F87" s="36" t="str" cm="1">
        <f t="array" ref="F87">_xlfn.TEXTJOIN(",",TRUE,_xlfn._xlws.FILTER(CLASSIFICATION[Keyword], ($E87=CLASSIFICATION[Keyword Aggr])*($D87=CLASSIFICATION[Functional Scope Aggr])))</f>
        <v>On-Premise</v>
      </c>
      <c r="G87" s="32" t="str">
        <f t="shared" si="14"/>
        <v/>
      </c>
      <c r="H87" s="32" t="str">
        <f t="shared" si="14"/>
        <v/>
      </c>
      <c r="I87" s="32" t="str">
        <f t="shared" si="21"/>
        <v>On-Premise</v>
      </c>
      <c r="J87" s="33" t="str" cm="1">
        <f t="array" aca="1" ref="J87" ca="1">_xlfn.LET(
_xlpm._platform_range, INDIRECT("'Platform review'!$C"&amp;_xlfn.XMATCH(J$2,'Platform review'!$A$1:$A$127)&amp;":$E"&amp;_xlfn.XMATCH(J$2,'Platform review'!$A$1:$A$127)+19),
_xlpm._original_keywords, _xlfn._xlws.FILTER(CLASSIFICATION[[Keyword]:[Keyword]], ($E87=CLASSIFICATION[[Keyword Aggr]:[Keyword Aggr]])*($D87=CLASSIFICATION[[Functional Scope Aggr]:[Functional Scope Aggr]])),
_xlpm._platform_keywords, _xlfn.TEXTSPLIT(SUBSTITUTE(SUBSTITUTE(VLOOKUP($D87,_xlpm._platform_range,3,FALSE),"+"&amp;CHAR(34),"+"),CHAR(34),""),", "),
_xlpm._exists, SUMPRODUCT(--ISNUMBER(MATCH(_xlpm._platform_keywords,_xlpm._original_keywords,0)))&gt;0,
_xlfn.IFS(AND(_xlpm._exists,LEFT($E87,1)="+"),"+",_xlpm._exists,"*",NOT(_xlpm._exists),"")
)</f>
        <v/>
      </c>
      <c r="K87" s="33" t="str" cm="1">
        <f t="array" aca="1" ref="K87" ca="1">_xlfn.LET(
_xlpm._platform_range, INDIRECT("'Platform review'!$C"&amp;_xlfn.XMATCH(K$2,'Platform review'!$A$1:$A$127)&amp;":$E"&amp;_xlfn.XMATCH(K$2,'Platform review'!$A$1:$A$127)+19),
_xlpm._original_keywords, _xlfn._xlws.FILTER(CLASSIFICATION[[Keyword]:[Keyword]], ($E87=CLASSIFICATION[[Keyword Aggr]:[Keyword Aggr]])*($D87=CLASSIFICATION[[Functional Scope Aggr]:[Functional Scope Aggr]])),
_xlpm._platform_keywords, _xlfn.TEXTSPLIT(SUBSTITUTE(SUBSTITUTE(VLOOKUP($D87,_xlpm._platform_range,3,FALSE),"+"&amp;CHAR(34),"+"),CHAR(34),""),", "),
_xlpm._exists, SUMPRODUCT(--ISNUMBER(MATCH(_xlpm._platform_keywords,_xlpm._original_keywords,0)))&gt;0,
_xlfn.IFS(AND(_xlpm._exists,LEFT($E87,1)="+"),"+",_xlpm._exists,"*",NOT(_xlpm._exists),"")
)</f>
        <v/>
      </c>
      <c r="L87" s="33" t="str" cm="1">
        <f t="array" aca="1" ref="L87" ca="1">_xlfn.LET(
_xlpm._platform_range, INDIRECT("'Platform review'!$C"&amp;_xlfn.XMATCH(L$2,'Platform review'!$A$1:$A$127)&amp;":$E"&amp;_xlfn.XMATCH(L$2,'Platform review'!$A$1:$A$127)+19),
_xlpm._original_keywords, _xlfn._xlws.FILTER(CLASSIFICATION[[Keyword]:[Keyword]], ($E87=CLASSIFICATION[[Keyword Aggr]:[Keyword Aggr]])*($D87=CLASSIFICATION[[Functional Scope Aggr]:[Functional Scope Aggr]])),
_xlpm._platform_keywords, _xlfn.TEXTSPLIT(SUBSTITUTE(SUBSTITUTE(VLOOKUP($D87,_xlpm._platform_range,3,FALSE),"+"&amp;CHAR(34),"+"),CHAR(34),""),", "),
_xlpm._exists, SUMPRODUCT(--ISNUMBER(MATCH(_xlpm._platform_keywords,_xlpm._original_keywords,0)))&gt;0,
_xlfn.IFS(AND(_xlpm._exists,LEFT($E87,1)="+"),"+",_xlpm._exists,"*",NOT(_xlpm._exists),"")
)</f>
        <v>*</v>
      </c>
      <c r="M87" s="33" t="str" cm="1">
        <f t="array" aca="1" ref="M87" ca="1">_xlfn.LET(
_xlpm._platform_range, INDIRECT("'Platform review'!$C"&amp;_xlfn.XMATCH(M$2,'Platform review'!$A$1:$A$127)&amp;":$E"&amp;_xlfn.XMATCH(M$2,'Platform review'!$A$1:$A$127)+19),
_xlpm._original_keywords, _xlfn._xlws.FILTER(CLASSIFICATION[[Keyword]:[Keyword]], ($E87=CLASSIFICATION[[Keyword Aggr]:[Keyword Aggr]])*($D87=CLASSIFICATION[[Functional Scope Aggr]:[Functional Scope Aggr]])),
_xlpm._platform_keywords, _xlfn.TEXTSPLIT(SUBSTITUTE(SUBSTITUTE(VLOOKUP($D87,_xlpm._platform_range,3,FALSE),"+"&amp;CHAR(34),"+"),CHAR(34),""),", "),
_xlpm._exists, SUMPRODUCT(--ISNUMBER(MATCH(_xlpm._platform_keywords,_xlpm._original_keywords,0)))&gt;0,
_xlfn.IFS(AND(_xlpm._exists,LEFT($E87,1)="+"),"+",_xlpm._exists,"*",NOT(_xlpm._exists),"")
)</f>
        <v/>
      </c>
      <c r="N87" s="33" t="str" cm="1">
        <f t="array" aca="1" ref="N87" ca="1">_xlfn.LET(
_xlpm._platform_range, INDIRECT("'Platform review'!$C"&amp;_xlfn.XMATCH(N$2,'Platform review'!$A$1:$A$127)&amp;":$E"&amp;_xlfn.XMATCH(N$2,'Platform review'!$A$1:$A$127)+19),
_xlpm._original_keywords, _xlfn._xlws.FILTER(CLASSIFICATION[[Keyword]:[Keyword]], ($E87=CLASSIFICATION[[Keyword Aggr]:[Keyword Aggr]])*($D87=CLASSIFICATION[[Functional Scope Aggr]:[Functional Scope Aggr]])),
_xlpm._platform_keywords, _xlfn.TEXTSPLIT(SUBSTITUTE(SUBSTITUTE(VLOOKUP($D87,_xlpm._platform_range,3,FALSE),"+"&amp;CHAR(34),"+"),CHAR(34),""),", "),
_xlpm._exists, SUMPRODUCT(--ISNUMBER(MATCH(_xlpm._platform_keywords,_xlpm._original_keywords,0)))&gt;0,
_xlfn.IFS(AND(_xlpm._exists,LEFT($E87,1)="+"),"+",_xlpm._exists,"*",NOT(_xlpm._exists),"")
)</f>
        <v/>
      </c>
      <c r="O87" s="33" t="str" cm="1">
        <f t="array" aca="1" ref="O87" ca="1">_xlfn.LET(
_xlpm._platform_range, INDIRECT("'Platform review'!$C"&amp;_xlfn.XMATCH(O$2,'Platform review'!$A$1:$A$127)&amp;":$E"&amp;_xlfn.XMATCH(O$2,'Platform review'!$A$1:$A$127)+19),
_xlpm._original_keywords, _xlfn._xlws.FILTER(CLASSIFICATION[[Keyword]:[Keyword]], ($E87=CLASSIFICATION[[Keyword Aggr]:[Keyword Aggr]])*($D87=CLASSIFICATION[[Functional Scope Aggr]:[Functional Scope Aggr]])),
_xlpm._platform_keywords, _xlfn.TEXTSPLIT(SUBSTITUTE(SUBSTITUTE(VLOOKUP($D87,_xlpm._platform_range,3,FALSE),"+"&amp;CHAR(34),"+"),CHAR(34),""),", "),
_xlpm._exists, SUMPRODUCT(--ISNUMBER(MATCH(_xlpm._platform_keywords,_xlpm._original_keywords,0)))&gt;0,
_xlfn.IFS(AND(_xlpm._exists,LEFT($E87,1)="+"),"+",_xlpm._exists,"*",NOT(_xlpm._exists),"")
)</f>
        <v/>
      </c>
      <c r="Q87" s="33" t="str">
        <f t="shared" si="15"/>
        <v/>
      </c>
      <c r="R87" s="33" t="str">
        <f t="shared" si="16"/>
        <v/>
      </c>
      <c r="S87" s="33" t="str">
        <f t="shared" si="17"/>
        <v/>
      </c>
      <c r="T87" s="33" t="str">
        <f t="shared" si="18"/>
        <v/>
      </c>
      <c r="U87" s="33" t="str">
        <f t="shared" si="19"/>
        <v/>
      </c>
      <c r="V87" s="33" t="str">
        <f t="shared" si="20"/>
        <v/>
      </c>
    </row>
    <row r="88" spans="1:22" x14ac:dyDescent="0.25">
      <c r="A88" s="19" t="str">
        <v>Implementation,Deployment,REST API</v>
      </c>
      <c r="B88" t="s">
        <v>377</v>
      </c>
      <c r="C88" s="19" t="str" cm="1">
        <f t="array" ref="C88:E88">_xlfn.TEXTSPLIT(A88,",")</f>
        <v>Implementation</v>
      </c>
      <c r="D88" s="19" t="str">
        <v>Deployment</v>
      </c>
      <c r="E88" s="19" t="str">
        <v>REST API</v>
      </c>
      <c r="F88" s="36" t="str" cm="1">
        <f t="array" ref="F88">_xlfn.TEXTJOIN(",",TRUE,_xlfn._xlws.FILTER(CLASSIFICATION[Keyword], ($E88=CLASSIFICATION[Keyword Aggr])*($D88=CLASSIFICATION[Functional Scope Aggr])))</f>
        <v>REST API</v>
      </c>
      <c r="G88" s="32" t="str">
        <f t="shared" si="14"/>
        <v/>
      </c>
      <c r="H88" s="32" t="str">
        <f t="shared" si="14"/>
        <v/>
      </c>
      <c r="I88" s="32" t="str">
        <f t="shared" si="21"/>
        <v>REST API</v>
      </c>
      <c r="J88" s="33" t="str" cm="1">
        <f t="array" aca="1" ref="J88" ca="1">_xlfn.LET(
_xlpm._platform_range, INDIRECT("'Platform review'!$C"&amp;_xlfn.XMATCH(J$2,'Platform review'!$A$1:$A$127)&amp;":$E"&amp;_xlfn.XMATCH(J$2,'Platform review'!$A$1:$A$127)+19),
_xlpm._original_keywords, _xlfn._xlws.FILTER(CLASSIFICATION[[Keyword]:[Keyword]], ($E88=CLASSIFICATION[[Keyword Aggr]:[Keyword Aggr]])*($D88=CLASSIFICATION[[Functional Scope Aggr]:[Functional Scope Aggr]])),
_xlpm._platform_keywords, _xlfn.TEXTSPLIT(SUBSTITUTE(SUBSTITUTE(VLOOKUP($D88,_xlpm._platform_range,3,FALSE),"+"&amp;CHAR(34),"+"),CHAR(34),""),", "),
_xlpm._exists, SUMPRODUCT(--ISNUMBER(MATCH(_xlpm._platform_keywords,_xlpm._original_keywords,0)))&gt;0,
_xlfn.IFS(AND(_xlpm._exists,LEFT($E88,1)="+"),"+",_xlpm._exists,"*",NOT(_xlpm._exists),"")
)</f>
        <v/>
      </c>
      <c r="K88" s="33" t="str" cm="1">
        <f t="array" aca="1" ref="K88" ca="1">_xlfn.LET(
_xlpm._platform_range, INDIRECT("'Platform review'!$C"&amp;_xlfn.XMATCH(K$2,'Platform review'!$A$1:$A$127)&amp;":$E"&amp;_xlfn.XMATCH(K$2,'Platform review'!$A$1:$A$127)+19),
_xlpm._original_keywords, _xlfn._xlws.FILTER(CLASSIFICATION[[Keyword]:[Keyword]], ($E88=CLASSIFICATION[[Keyword Aggr]:[Keyword Aggr]])*($D88=CLASSIFICATION[[Functional Scope Aggr]:[Functional Scope Aggr]])),
_xlpm._platform_keywords, _xlfn.TEXTSPLIT(SUBSTITUTE(SUBSTITUTE(VLOOKUP($D88,_xlpm._platform_range,3,FALSE),"+"&amp;CHAR(34),"+"),CHAR(34),""),", "),
_xlpm._exists, SUMPRODUCT(--ISNUMBER(MATCH(_xlpm._platform_keywords,_xlpm._original_keywords,0)))&gt;0,
_xlfn.IFS(AND(_xlpm._exists,LEFT($E88,1)="+"),"+",_xlpm._exists,"*",NOT(_xlpm._exists),"")
)</f>
        <v>*</v>
      </c>
      <c r="L88" s="33" t="str" cm="1">
        <f t="array" aca="1" ref="L88" ca="1">_xlfn.LET(
_xlpm._platform_range, INDIRECT("'Platform review'!$C"&amp;_xlfn.XMATCH(L$2,'Platform review'!$A$1:$A$127)&amp;":$E"&amp;_xlfn.XMATCH(L$2,'Platform review'!$A$1:$A$127)+19),
_xlpm._original_keywords, _xlfn._xlws.FILTER(CLASSIFICATION[[Keyword]:[Keyword]], ($E88=CLASSIFICATION[[Keyword Aggr]:[Keyword Aggr]])*($D88=CLASSIFICATION[[Functional Scope Aggr]:[Functional Scope Aggr]])),
_xlpm._platform_keywords, _xlfn.TEXTSPLIT(SUBSTITUTE(SUBSTITUTE(VLOOKUP($D88,_xlpm._platform_range,3,FALSE),"+"&amp;CHAR(34),"+"),CHAR(34),""),", "),
_xlpm._exists, SUMPRODUCT(--ISNUMBER(MATCH(_xlpm._platform_keywords,_xlpm._original_keywords,0)))&gt;0,
_xlfn.IFS(AND(_xlpm._exists,LEFT($E88,1)="+"),"+",_xlpm._exists,"*",NOT(_xlpm._exists),"")
)</f>
        <v/>
      </c>
      <c r="M88" s="33" t="str" cm="1">
        <f t="array" aca="1" ref="M88" ca="1">_xlfn.LET(
_xlpm._platform_range, INDIRECT("'Platform review'!$C"&amp;_xlfn.XMATCH(M$2,'Platform review'!$A$1:$A$127)&amp;":$E"&amp;_xlfn.XMATCH(M$2,'Platform review'!$A$1:$A$127)+19),
_xlpm._original_keywords, _xlfn._xlws.FILTER(CLASSIFICATION[[Keyword]:[Keyword]], ($E88=CLASSIFICATION[[Keyword Aggr]:[Keyword Aggr]])*($D88=CLASSIFICATION[[Functional Scope Aggr]:[Functional Scope Aggr]])),
_xlpm._platform_keywords, _xlfn.TEXTSPLIT(SUBSTITUTE(SUBSTITUTE(VLOOKUP($D88,_xlpm._platform_range,3,FALSE),"+"&amp;CHAR(34),"+"),CHAR(34),""),", "),
_xlpm._exists, SUMPRODUCT(--ISNUMBER(MATCH(_xlpm._platform_keywords,_xlpm._original_keywords,0)))&gt;0,
_xlfn.IFS(AND(_xlpm._exists,LEFT($E88,1)="+"),"+",_xlpm._exists,"*",NOT(_xlpm._exists),"")
)</f>
        <v/>
      </c>
      <c r="N88" s="33" t="str" cm="1">
        <f t="array" aca="1" ref="N88" ca="1">_xlfn.LET(
_xlpm._platform_range, INDIRECT("'Platform review'!$C"&amp;_xlfn.XMATCH(N$2,'Platform review'!$A$1:$A$127)&amp;":$E"&amp;_xlfn.XMATCH(N$2,'Platform review'!$A$1:$A$127)+19),
_xlpm._original_keywords, _xlfn._xlws.FILTER(CLASSIFICATION[[Keyword]:[Keyword]], ($E88=CLASSIFICATION[[Keyword Aggr]:[Keyword Aggr]])*($D88=CLASSIFICATION[[Functional Scope Aggr]:[Functional Scope Aggr]])),
_xlpm._platform_keywords, _xlfn.TEXTSPLIT(SUBSTITUTE(SUBSTITUTE(VLOOKUP($D88,_xlpm._platform_range,3,FALSE),"+"&amp;CHAR(34),"+"),CHAR(34),""),", "),
_xlpm._exists, SUMPRODUCT(--ISNUMBER(MATCH(_xlpm._platform_keywords,_xlpm._original_keywords,0)))&gt;0,
_xlfn.IFS(AND(_xlpm._exists,LEFT($E88,1)="+"),"+",_xlpm._exists,"*",NOT(_xlpm._exists),"")
)</f>
        <v/>
      </c>
      <c r="O88" s="33" t="str" cm="1">
        <f t="array" aca="1" ref="O88" ca="1">_xlfn.LET(
_xlpm._platform_range, INDIRECT("'Platform review'!$C"&amp;_xlfn.XMATCH(O$2,'Platform review'!$A$1:$A$127)&amp;":$E"&amp;_xlfn.XMATCH(O$2,'Platform review'!$A$1:$A$127)+19),
_xlpm._original_keywords, _xlfn._xlws.FILTER(CLASSIFICATION[[Keyword]:[Keyword]], ($E88=CLASSIFICATION[[Keyword Aggr]:[Keyword Aggr]])*($D88=CLASSIFICATION[[Functional Scope Aggr]:[Functional Scope Aggr]])),
_xlpm._platform_keywords, _xlfn.TEXTSPLIT(SUBSTITUTE(SUBSTITUTE(VLOOKUP($D88,_xlpm._platform_range,3,FALSE),"+"&amp;CHAR(34),"+"),CHAR(34),""),", "),
_xlpm._exists, SUMPRODUCT(--ISNUMBER(MATCH(_xlpm._platform_keywords,_xlpm._original_keywords,0)))&gt;0,
_xlfn.IFS(AND(_xlpm._exists,LEFT($E88,1)="+"),"+",_xlpm._exists,"*",NOT(_xlpm._exists),"")
)</f>
        <v/>
      </c>
      <c r="Q88" s="33" t="str">
        <f t="shared" si="15"/>
        <v/>
      </c>
      <c r="R88" s="33" t="str">
        <f t="shared" si="16"/>
        <v/>
      </c>
      <c r="S88" s="33" t="str">
        <f t="shared" si="17"/>
        <v/>
      </c>
      <c r="T88" s="33" t="str">
        <f t="shared" si="18"/>
        <v/>
      </c>
      <c r="U88" s="33" t="str">
        <f t="shared" si="19"/>
        <v/>
      </c>
      <c r="V88" s="33" t="str">
        <f t="shared" si="20"/>
        <v/>
      </c>
    </row>
    <row r="89" spans="1:22" x14ac:dyDescent="0.25">
      <c r="A89" s="19" t="str">
        <v>Implementation,Deployment,Scripts</v>
      </c>
      <c r="B89" t="s">
        <v>377</v>
      </c>
      <c r="C89" s="19" t="str" cm="1">
        <f t="array" ref="C89:E89">_xlfn.TEXTSPLIT(A89,",")</f>
        <v>Implementation</v>
      </c>
      <c r="D89" s="19" t="str">
        <v>Deployment</v>
      </c>
      <c r="E89" s="19" t="str">
        <v>Scripts</v>
      </c>
      <c r="F89" s="36" t="str" cm="1">
        <f t="array" ref="F89">_xlfn.TEXTJOIN(",",TRUE,_xlfn._xlws.FILTER(CLASSIFICATION[Keyword], ($E89=CLASSIFICATION[Keyword Aggr])*($D89=CLASSIFICATION[Functional Scope Aggr])))</f>
        <v>Scripts</v>
      </c>
      <c r="G89" s="32" t="str">
        <f t="shared" si="14"/>
        <v/>
      </c>
      <c r="H89" s="32" t="str">
        <f t="shared" si="14"/>
        <v/>
      </c>
      <c r="I89" s="32" t="str">
        <f t="shared" si="21"/>
        <v>Scripts</v>
      </c>
      <c r="J89" s="33" t="str" cm="1">
        <f t="array" aca="1" ref="J89" ca="1">_xlfn.LET(
_xlpm._platform_range, INDIRECT("'Platform review'!$C"&amp;_xlfn.XMATCH(J$2,'Platform review'!$A$1:$A$127)&amp;":$E"&amp;_xlfn.XMATCH(J$2,'Platform review'!$A$1:$A$127)+19),
_xlpm._original_keywords, _xlfn._xlws.FILTER(CLASSIFICATION[[Keyword]:[Keyword]], ($E89=CLASSIFICATION[[Keyword Aggr]:[Keyword Aggr]])*($D89=CLASSIFICATION[[Functional Scope Aggr]:[Functional Scope Aggr]])),
_xlpm._platform_keywords, _xlfn.TEXTSPLIT(SUBSTITUTE(SUBSTITUTE(VLOOKUP($D89,_xlpm._platform_range,3,FALSE),"+"&amp;CHAR(34),"+"),CHAR(34),""),", "),
_xlpm._exists, SUMPRODUCT(--ISNUMBER(MATCH(_xlpm._platform_keywords,_xlpm._original_keywords,0)))&gt;0,
_xlfn.IFS(AND(_xlpm._exists,LEFT($E89,1)="+"),"+",_xlpm._exists,"*",NOT(_xlpm._exists),"")
)</f>
        <v/>
      </c>
      <c r="K89" s="33" t="str" cm="1">
        <f t="array" aca="1" ref="K89" ca="1">_xlfn.LET(
_xlpm._platform_range, INDIRECT("'Platform review'!$C"&amp;_xlfn.XMATCH(K$2,'Platform review'!$A$1:$A$127)&amp;":$E"&amp;_xlfn.XMATCH(K$2,'Platform review'!$A$1:$A$127)+19),
_xlpm._original_keywords, _xlfn._xlws.FILTER(CLASSIFICATION[[Keyword]:[Keyword]], ($E89=CLASSIFICATION[[Keyword Aggr]:[Keyword Aggr]])*($D89=CLASSIFICATION[[Functional Scope Aggr]:[Functional Scope Aggr]])),
_xlpm._platform_keywords, _xlfn.TEXTSPLIT(SUBSTITUTE(SUBSTITUTE(VLOOKUP($D89,_xlpm._platform_range,3,FALSE),"+"&amp;CHAR(34),"+"),CHAR(34),""),", "),
_xlpm._exists, SUMPRODUCT(--ISNUMBER(MATCH(_xlpm._platform_keywords,_xlpm._original_keywords,0)))&gt;0,
_xlfn.IFS(AND(_xlpm._exists,LEFT($E89,1)="+"),"+",_xlpm._exists,"*",NOT(_xlpm._exists),"")
)</f>
        <v/>
      </c>
      <c r="L89" s="33" t="str" cm="1">
        <f t="array" aca="1" ref="L89" ca="1">_xlfn.LET(
_xlpm._platform_range, INDIRECT("'Platform review'!$C"&amp;_xlfn.XMATCH(L$2,'Platform review'!$A$1:$A$127)&amp;":$E"&amp;_xlfn.XMATCH(L$2,'Platform review'!$A$1:$A$127)+19),
_xlpm._original_keywords, _xlfn._xlws.FILTER(CLASSIFICATION[[Keyword]:[Keyword]], ($E89=CLASSIFICATION[[Keyword Aggr]:[Keyword Aggr]])*($D89=CLASSIFICATION[[Functional Scope Aggr]:[Functional Scope Aggr]])),
_xlpm._platform_keywords, _xlfn.TEXTSPLIT(SUBSTITUTE(SUBSTITUTE(VLOOKUP($D89,_xlpm._platform_range,3,FALSE),"+"&amp;CHAR(34),"+"),CHAR(34),""),", "),
_xlpm._exists, SUMPRODUCT(--ISNUMBER(MATCH(_xlpm._platform_keywords,_xlpm._original_keywords,0)))&gt;0,
_xlfn.IFS(AND(_xlpm._exists,LEFT($E89,1)="+"),"+",_xlpm._exists,"*",NOT(_xlpm._exists),"")
)</f>
        <v>*</v>
      </c>
      <c r="M89" s="33" t="str" cm="1">
        <f t="array" aca="1" ref="M89" ca="1">_xlfn.LET(
_xlpm._platform_range, INDIRECT("'Platform review'!$C"&amp;_xlfn.XMATCH(M$2,'Platform review'!$A$1:$A$127)&amp;":$E"&amp;_xlfn.XMATCH(M$2,'Platform review'!$A$1:$A$127)+19),
_xlpm._original_keywords, _xlfn._xlws.FILTER(CLASSIFICATION[[Keyword]:[Keyword]], ($E89=CLASSIFICATION[[Keyword Aggr]:[Keyword Aggr]])*($D89=CLASSIFICATION[[Functional Scope Aggr]:[Functional Scope Aggr]])),
_xlpm._platform_keywords, _xlfn.TEXTSPLIT(SUBSTITUTE(SUBSTITUTE(VLOOKUP($D89,_xlpm._platform_range,3,FALSE),"+"&amp;CHAR(34),"+"),CHAR(34),""),", "),
_xlpm._exists, SUMPRODUCT(--ISNUMBER(MATCH(_xlpm._platform_keywords,_xlpm._original_keywords,0)))&gt;0,
_xlfn.IFS(AND(_xlpm._exists,LEFT($E89,1)="+"),"+",_xlpm._exists,"*",NOT(_xlpm._exists),"")
)</f>
        <v/>
      </c>
      <c r="N89" s="33" t="str" cm="1">
        <f t="array" aca="1" ref="N89" ca="1">_xlfn.LET(
_xlpm._platform_range, INDIRECT("'Platform review'!$C"&amp;_xlfn.XMATCH(N$2,'Platform review'!$A$1:$A$127)&amp;":$E"&amp;_xlfn.XMATCH(N$2,'Platform review'!$A$1:$A$127)+19),
_xlpm._original_keywords, _xlfn._xlws.FILTER(CLASSIFICATION[[Keyword]:[Keyword]], ($E89=CLASSIFICATION[[Keyword Aggr]:[Keyword Aggr]])*($D89=CLASSIFICATION[[Functional Scope Aggr]:[Functional Scope Aggr]])),
_xlpm._platform_keywords, _xlfn.TEXTSPLIT(SUBSTITUTE(SUBSTITUTE(VLOOKUP($D89,_xlpm._platform_range,3,FALSE),"+"&amp;CHAR(34),"+"),CHAR(34),""),", "),
_xlpm._exists, SUMPRODUCT(--ISNUMBER(MATCH(_xlpm._platform_keywords,_xlpm._original_keywords,0)))&gt;0,
_xlfn.IFS(AND(_xlpm._exists,LEFT($E89,1)="+"),"+",_xlpm._exists,"*",NOT(_xlpm._exists),"")
)</f>
        <v/>
      </c>
      <c r="O89" s="33" t="str" cm="1">
        <f t="array" aca="1" ref="O89" ca="1">_xlfn.LET(
_xlpm._platform_range, INDIRECT("'Platform review'!$C"&amp;_xlfn.XMATCH(O$2,'Platform review'!$A$1:$A$127)&amp;":$E"&amp;_xlfn.XMATCH(O$2,'Platform review'!$A$1:$A$127)+19),
_xlpm._original_keywords, _xlfn._xlws.FILTER(CLASSIFICATION[[Keyword]:[Keyword]], ($E89=CLASSIFICATION[[Keyword Aggr]:[Keyword Aggr]])*($D89=CLASSIFICATION[[Functional Scope Aggr]:[Functional Scope Aggr]])),
_xlpm._platform_keywords, _xlfn.TEXTSPLIT(SUBSTITUTE(SUBSTITUTE(VLOOKUP($D89,_xlpm._platform_range,3,FALSE),"+"&amp;CHAR(34),"+"),CHAR(34),""),", "),
_xlpm._exists, SUMPRODUCT(--ISNUMBER(MATCH(_xlpm._platform_keywords,_xlpm._original_keywords,0)))&gt;0,
_xlfn.IFS(AND(_xlpm._exists,LEFT($E89,1)="+"),"+",_xlpm._exists,"*",NOT(_xlpm._exists),"")
)</f>
        <v/>
      </c>
      <c r="Q89" s="33" t="str">
        <f t="shared" si="15"/>
        <v/>
      </c>
      <c r="R89" s="33" t="str">
        <f t="shared" si="16"/>
        <v/>
      </c>
      <c r="S89" s="33" t="str">
        <f t="shared" si="17"/>
        <v/>
      </c>
      <c r="T89" s="33" t="str">
        <f t="shared" si="18"/>
        <v/>
      </c>
      <c r="U89" s="33" t="str">
        <f t="shared" si="19"/>
        <v/>
      </c>
      <c r="V89" s="33" t="str">
        <f t="shared" si="20"/>
        <v/>
      </c>
    </row>
    <row r="90" spans="1:22" x14ac:dyDescent="0.25">
      <c r="A90" s="19" t="str">
        <v>Implementation,Deployment,SOAP</v>
      </c>
      <c r="B90" t="s">
        <v>377</v>
      </c>
      <c r="C90" s="19" t="str" cm="1">
        <f t="array" ref="C90:E90">_xlfn.TEXTSPLIT(A90,",")</f>
        <v>Implementation</v>
      </c>
      <c r="D90" s="19" t="str">
        <v>Deployment</v>
      </c>
      <c r="E90" s="19" t="str">
        <v>SOAP</v>
      </c>
      <c r="F90" s="36" t="str" cm="1">
        <f t="array" ref="F90">_xlfn.TEXTJOIN(",",TRUE,_xlfn._xlws.FILTER(CLASSIFICATION[Keyword], ($E90=CLASSIFICATION[Keyword Aggr])*($D90=CLASSIFICATION[Functional Scope Aggr])))</f>
        <v>SOAP</v>
      </c>
      <c r="G90" s="32" t="str">
        <f t="shared" si="14"/>
        <v/>
      </c>
      <c r="H90" s="32" t="str">
        <f t="shared" si="14"/>
        <v/>
      </c>
      <c r="I90" s="32" t="str">
        <f t="shared" si="21"/>
        <v>SOAP</v>
      </c>
      <c r="J90" s="33" t="str" cm="1">
        <f t="array" aca="1" ref="J90" ca="1">_xlfn.LET(
_xlpm._platform_range, INDIRECT("'Platform review'!$C"&amp;_xlfn.XMATCH(J$2,'Platform review'!$A$1:$A$127)&amp;":$E"&amp;_xlfn.XMATCH(J$2,'Platform review'!$A$1:$A$127)+19),
_xlpm._original_keywords, _xlfn._xlws.FILTER(CLASSIFICATION[[Keyword]:[Keyword]], ($E90=CLASSIFICATION[[Keyword Aggr]:[Keyword Aggr]])*($D90=CLASSIFICATION[[Functional Scope Aggr]:[Functional Scope Aggr]])),
_xlpm._platform_keywords, _xlfn.TEXTSPLIT(SUBSTITUTE(SUBSTITUTE(VLOOKUP($D90,_xlpm._platform_range,3,FALSE),"+"&amp;CHAR(34),"+"),CHAR(34),""),", "),
_xlpm._exists, SUMPRODUCT(--ISNUMBER(MATCH(_xlpm._platform_keywords,_xlpm._original_keywords,0)))&gt;0,
_xlfn.IFS(AND(_xlpm._exists,LEFT($E90,1)="+"),"+",_xlpm._exists,"*",NOT(_xlpm._exists),"")
)</f>
        <v/>
      </c>
      <c r="K90" s="33" t="str" cm="1">
        <f t="array" aca="1" ref="K90" ca="1">_xlfn.LET(
_xlpm._platform_range, INDIRECT("'Platform review'!$C"&amp;_xlfn.XMATCH(K$2,'Platform review'!$A$1:$A$127)&amp;":$E"&amp;_xlfn.XMATCH(K$2,'Platform review'!$A$1:$A$127)+19),
_xlpm._original_keywords, _xlfn._xlws.FILTER(CLASSIFICATION[[Keyword]:[Keyword]], ($E90=CLASSIFICATION[[Keyword Aggr]:[Keyword Aggr]])*($D90=CLASSIFICATION[[Functional Scope Aggr]:[Functional Scope Aggr]])),
_xlpm._platform_keywords, _xlfn.TEXTSPLIT(SUBSTITUTE(SUBSTITUTE(VLOOKUP($D90,_xlpm._platform_range,3,FALSE),"+"&amp;CHAR(34),"+"),CHAR(34),""),", "),
_xlpm._exists, SUMPRODUCT(--ISNUMBER(MATCH(_xlpm._platform_keywords,_xlpm._original_keywords,0)))&gt;0,
_xlfn.IFS(AND(_xlpm._exists,LEFT($E90,1)="+"),"+",_xlpm._exists,"*",NOT(_xlpm._exists),"")
)</f>
        <v>*</v>
      </c>
      <c r="L90" s="33" t="str" cm="1">
        <f t="array" aca="1" ref="L90" ca="1">_xlfn.LET(
_xlpm._platform_range, INDIRECT("'Platform review'!$C"&amp;_xlfn.XMATCH(L$2,'Platform review'!$A$1:$A$127)&amp;":$E"&amp;_xlfn.XMATCH(L$2,'Platform review'!$A$1:$A$127)+19),
_xlpm._original_keywords, _xlfn._xlws.FILTER(CLASSIFICATION[[Keyword]:[Keyword]], ($E90=CLASSIFICATION[[Keyword Aggr]:[Keyword Aggr]])*($D90=CLASSIFICATION[[Functional Scope Aggr]:[Functional Scope Aggr]])),
_xlpm._platform_keywords, _xlfn.TEXTSPLIT(SUBSTITUTE(SUBSTITUTE(VLOOKUP($D90,_xlpm._platform_range,3,FALSE),"+"&amp;CHAR(34),"+"),CHAR(34),""),", "),
_xlpm._exists, SUMPRODUCT(--ISNUMBER(MATCH(_xlpm._platform_keywords,_xlpm._original_keywords,0)))&gt;0,
_xlfn.IFS(AND(_xlpm._exists,LEFT($E90,1)="+"),"+",_xlpm._exists,"*",NOT(_xlpm._exists),"")
)</f>
        <v/>
      </c>
      <c r="M90" s="33" t="str" cm="1">
        <f t="array" aca="1" ref="M90" ca="1">_xlfn.LET(
_xlpm._platform_range, INDIRECT("'Platform review'!$C"&amp;_xlfn.XMATCH(M$2,'Platform review'!$A$1:$A$127)&amp;":$E"&amp;_xlfn.XMATCH(M$2,'Platform review'!$A$1:$A$127)+19),
_xlpm._original_keywords, _xlfn._xlws.FILTER(CLASSIFICATION[[Keyword]:[Keyword]], ($E90=CLASSIFICATION[[Keyword Aggr]:[Keyword Aggr]])*($D90=CLASSIFICATION[[Functional Scope Aggr]:[Functional Scope Aggr]])),
_xlpm._platform_keywords, _xlfn.TEXTSPLIT(SUBSTITUTE(SUBSTITUTE(VLOOKUP($D90,_xlpm._platform_range,3,FALSE),"+"&amp;CHAR(34),"+"),CHAR(34),""),", "),
_xlpm._exists, SUMPRODUCT(--ISNUMBER(MATCH(_xlpm._platform_keywords,_xlpm._original_keywords,0)))&gt;0,
_xlfn.IFS(AND(_xlpm._exists,LEFT($E90,1)="+"),"+",_xlpm._exists,"*",NOT(_xlpm._exists),"")
)</f>
        <v/>
      </c>
      <c r="N90" s="33" t="str" cm="1">
        <f t="array" aca="1" ref="N90" ca="1">_xlfn.LET(
_xlpm._platform_range, INDIRECT("'Platform review'!$C"&amp;_xlfn.XMATCH(N$2,'Platform review'!$A$1:$A$127)&amp;":$E"&amp;_xlfn.XMATCH(N$2,'Platform review'!$A$1:$A$127)+19),
_xlpm._original_keywords, _xlfn._xlws.FILTER(CLASSIFICATION[[Keyword]:[Keyword]], ($E90=CLASSIFICATION[[Keyword Aggr]:[Keyword Aggr]])*($D90=CLASSIFICATION[[Functional Scope Aggr]:[Functional Scope Aggr]])),
_xlpm._platform_keywords, _xlfn.TEXTSPLIT(SUBSTITUTE(SUBSTITUTE(VLOOKUP($D90,_xlpm._platform_range,3,FALSE),"+"&amp;CHAR(34),"+"),CHAR(34),""),", "),
_xlpm._exists, SUMPRODUCT(--ISNUMBER(MATCH(_xlpm._platform_keywords,_xlpm._original_keywords,0)))&gt;0,
_xlfn.IFS(AND(_xlpm._exists,LEFT($E90,1)="+"),"+",_xlpm._exists,"*",NOT(_xlpm._exists),"")
)</f>
        <v/>
      </c>
      <c r="O90" s="33" t="str" cm="1">
        <f t="array" aca="1" ref="O90" ca="1">_xlfn.LET(
_xlpm._platform_range, INDIRECT("'Platform review'!$C"&amp;_xlfn.XMATCH(O$2,'Platform review'!$A$1:$A$127)&amp;":$E"&amp;_xlfn.XMATCH(O$2,'Platform review'!$A$1:$A$127)+19),
_xlpm._original_keywords, _xlfn._xlws.FILTER(CLASSIFICATION[[Keyword]:[Keyword]], ($E90=CLASSIFICATION[[Keyword Aggr]:[Keyword Aggr]])*($D90=CLASSIFICATION[[Functional Scope Aggr]:[Functional Scope Aggr]])),
_xlpm._platform_keywords, _xlfn.TEXTSPLIT(SUBSTITUTE(SUBSTITUTE(VLOOKUP($D90,_xlpm._platform_range,3,FALSE),"+"&amp;CHAR(34),"+"),CHAR(34),""),", "),
_xlpm._exists, SUMPRODUCT(--ISNUMBER(MATCH(_xlpm._platform_keywords,_xlpm._original_keywords,0)))&gt;0,
_xlfn.IFS(AND(_xlpm._exists,LEFT($E90,1)="+"),"+",_xlpm._exists,"*",NOT(_xlpm._exists),"")
)</f>
        <v/>
      </c>
      <c r="Q90" s="33" t="str">
        <f t="shared" si="15"/>
        <v/>
      </c>
      <c r="R90" s="33" t="str">
        <f t="shared" si="16"/>
        <v/>
      </c>
      <c r="S90" s="33" t="str">
        <f t="shared" si="17"/>
        <v/>
      </c>
      <c r="T90" s="33" t="str">
        <f t="shared" si="18"/>
        <v/>
      </c>
      <c r="U90" s="33" t="str">
        <f t="shared" si="19"/>
        <v/>
      </c>
      <c r="V90" s="33" t="str">
        <f t="shared" si="20"/>
        <v/>
      </c>
    </row>
    <row r="91" spans="1:22" x14ac:dyDescent="0.25">
      <c r="A91" s="19" t="str">
        <v>Implementation,Version control,Code Repository Concept</v>
      </c>
      <c r="B91" t="s">
        <v>377</v>
      </c>
      <c r="C91" s="19" t="str" cm="1">
        <f t="array" ref="C91:E91">_xlfn.TEXTSPLIT(A91,",")</f>
        <v>Implementation</v>
      </c>
      <c r="D91" s="19" t="str">
        <v>Version control</v>
      </c>
      <c r="E91" s="19" t="str">
        <v>Code Repository Concept</v>
      </c>
      <c r="F91" s="36" t="str" cm="1">
        <f t="array" ref="F91">_xlfn.TEXTJOIN(",",TRUE,_xlfn._xlws.FILTER(CLASSIFICATION[Keyword], ($E91=CLASSIFICATION[Keyword Aggr])*($D91=CLASSIFICATION[Functional Scope Aggr])))</f>
        <v>Code Repository Concept</v>
      </c>
      <c r="G91" s="32" t="str">
        <f t="shared" si="14"/>
        <v/>
      </c>
      <c r="H91" s="32" t="str">
        <f t="shared" si="14"/>
        <v>Version control</v>
      </c>
      <c r="I91" s="32" t="str">
        <f t="shared" si="21"/>
        <v>Code Repository Concept</v>
      </c>
      <c r="J91" s="33" t="str" cm="1">
        <f t="array" aca="1" ref="J91" ca="1">_xlfn.LET(
_xlpm._platform_range, INDIRECT("'Platform review'!$C"&amp;_xlfn.XMATCH(J$2,'Platform review'!$A$1:$A$127)&amp;":$E"&amp;_xlfn.XMATCH(J$2,'Platform review'!$A$1:$A$127)+19),
_xlpm._original_keywords, _xlfn._xlws.FILTER(CLASSIFICATION[[Keyword]:[Keyword]], ($E91=CLASSIFICATION[[Keyword Aggr]:[Keyword Aggr]])*($D91=CLASSIFICATION[[Functional Scope Aggr]:[Functional Scope Aggr]])),
_xlpm._platform_keywords, _xlfn.TEXTSPLIT(SUBSTITUTE(SUBSTITUTE(VLOOKUP($D91,_xlpm._platform_range,3,FALSE),"+"&amp;CHAR(34),"+"),CHAR(34),""),", "),
_xlpm._exists, SUMPRODUCT(--ISNUMBER(MATCH(_xlpm._platform_keywords,_xlpm._original_keywords,0)))&gt;0,
_xlfn.IFS(AND(_xlpm._exists,LEFT($E91,1)="+"),"+",_xlpm._exists,"*",NOT(_xlpm._exists),"")
)</f>
        <v>*</v>
      </c>
      <c r="K91" s="33" t="str" cm="1">
        <f t="array" aca="1" ref="K91" ca="1">_xlfn.LET(
_xlpm._platform_range, INDIRECT("'Platform review'!$C"&amp;_xlfn.XMATCH(K$2,'Platform review'!$A$1:$A$127)&amp;":$E"&amp;_xlfn.XMATCH(K$2,'Platform review'!$A$1:$A$127)+19),
_xlpm._original_keywords, _xlfn._xlws.FILTER(CLASSIFICATION[[Keyword]:[Keyword]], ($E91=CLASSIFICATION[[Keyword Aggr]:[Keyword Aggr]])*($D91=CLASSIFICATION[[Functional Scope Aggr]:[Functional Scope Aggr]])),
_xlpm._platform_keywords, _xlfn.TEXTSPLIT(SUBSTITUTE(SUBSTITUTE(VLOOKUP($D91,_xlpm._platform_range,3,FALSE),"+"&amp;CHAR(34),"+"),CHAR(34),""),", "),
_xlpm._exists, SUMPRODUCT(--ISNUMBER(MATCH(_xlpm._platform_keywords,_xlpm._original_keywords,0)))&gt;0,
_xlfn.IFS(AND(_xlpm._exists,LEFT($E91,1)="+"),"+",_xlpm._exists,"*",NOT(_xlpm._exists),"")
)</f>
        <v/>
      </c>
      <c r="L91" s="33" t="str" cm="1">
        <f t="array" aca="1" ref="L91" ca="1">_xlfn.LET(
_xlpm._platform_range, INDIRECT("'Platform review'!$C"&amp;_xlfn.XMATCH(L$2,'Platform review'!$A$1:$A$127)&amp;":$E"&amp;_xlfn.XMATCH(L$2,'Platform review'!$A$1:$A$127)+19),
_xlpm._original_keywords, _xlfn._xlws.FILTER(CLASSIFICATION[[Keyword]:[Keyword]], ($E91=CLASSIFICATION[[Keyword Aggr]:[Keyword Aggr]])*($D91=CLASSIFICATION[[Functional Scope Aggr]:[Functional Scope Aggr]])),
_xlpm._platform_keywords, _xlfn.TEXTSPLIT(SUBSTITUTE(SUBSTITUTE(VLOOKUP($D91,_xlpm._platform_range,3,FALSE),"+"&amp;CHAR(34),"+"),CHAR(34),""),", "),
_xlpm._exists, SUMPRODUCT(--ISNUMBER(MATCH(_xlpm._platform_keywords,_xlpm._original_keywords,0)))&gt;0,
_xlfn.IFS(AND(_xlpm._exists,LEFT($E91,1)="+"),"+",_xlpm._exists,"*",NOT(_xlpm._exists),"")
)</f>
        <v/>
      </c>
      <c r="M91" s="33" t="str" cm="1">
        <f t="array" aca="1" ref="M91" ca="1">_xlfn.LET(
_xlpm._platform_range, INDIRECT("'Platform review'!$C"&amp;_xlfn.XMATCH(M$2,'Platform review'!$A$1:$A$127)&amp;":$E"&amp;_xlfn.XMATCH(M$2,'Platform review'!$A$1:$A$127)+19),
_xlpm._original_keywords, _xlfn._xlws.FILTER(CLASSIFICATION[[Keyword]:[Keyword]], ($E91=CLASSIFICATION[[Keyword Aggr]:[Keyword Aggr]])*($D91=CLASSIFICATION[[Functional Scope Aggr]:[Functional Scope Aggr]])),
_xlpm._platform_keywords, _xlfn.TEXTSPLIT(SUBSTITUTE(SUBSTITUTE(VLOOKUP($D91,_xlpm._platform_range,3,FALSE),"+"&amp;CHAR(34),"+"),CHAR(34),""),", "),
_xlpm._exists, SUMPRODUCT(--ISNUMBER(MATCH(_xlpm._platform_keywords,_xlpm._original_keywords,0)))&gt;0,
_xlfn.IFS(AND(_xlpm._exists,LEFT($E91,1)="+"),"+",_xlpm._exists,"*",NOT(_xlpm._exists),"")
)</f>
        <v>*</v>
      </c>
      <c r="N91" s="33" t="str" cm="1">
        <f t="array" aca="1" ref="N91" ca="1">_xlfn.LET(
_xlpm._platform_range, INDIRECT("'Platform review'!$C"&amp;_xlfn.XMATCH(N$2,'Platform review'!$A$1:$A$127)&amp;":$E"&amp;_xlfn.XMATCH(N$2,'Platform review'!$A$1:$A$127)+19),
_xlpm._original_keywords, _xlfn._xlws.FILTER(CLASSIFICATION[[Keyword]:[Keyword]], ($E91=CLASSIFICATION[[Keyword Aggr]:[Keyword Aggr]])*($D91=CLASSIFICATION[[Functional Scope Aggr]:[Functional Scope Aggr]])),
_xlpm._platform_keywords, _xlfn.TEXTSPLIT(SUBSTITUTE(SUBSTITUTE(VLOOKUP($D91,_xlpm._platform_range,3,FALSE),"+"&amp;CHAR(34),"+"),CHAR(34),""),", "),
_xlpm._exists, SUMPRODUCT(--ISNUMBER(MATCH(_xlpm._platform_keywords,_xlpm._original_keywords,0)))&gt;0,
_xlfn.IFS(AND(_xlpm._exists,LEFT($E91,1)="+"),"+",_xlpm._exists,"*",NOT(_xlpm._exists),"")
)</f>
        <v/>
      </c>
      <c r="O91" s="33" t="str" cm="1">
        <f t="array" aca="1" ref="O91" ca="1">_xlfn.LET(
_xlpm._platform_range, INDIRECT("'Platform review'!$C"&amp;_xlfn.XMATCH(O$2,'Platform review'!$A$1:$A$127)&amp;":$E"&amp;_xlfn.XMATCH(O$2,'Platform review'!$A$1:$A$127)+19),
_xlpm._original_keywords, _xlfn._xlws.FILTER(CLASSIFICATION[[Keyword]:[Keyword]], ($E91=CLASSIFICATION[[Keyword Aggr]:[Keyword Aggr]])*($D91=CLASSIFICATION[[Functional Scope Aggr]:[Functional Scope Aggr]])),
_xlpm._platform_keywords, _xlfn.TEXTSPLIT(SUBSTITUTE(SUBSTITUTE(VLOOKUP($D91,_xlpm._platform_range,3,FALSE),"+"&amp;CHAR(34),"+"),CHAR(34),""),", "),
_xlpm._exists, SUMPRODUCT(--ISNUMBER(MATCH(_xlpm._platform_keywords,_xlpm._original_keywords,0)))&gt;0,
_xlfn.IFS(AND(_xlpm._exists,LEFT($E91,1)="+"),"+",_xlpm._exists,"*",NOT(_xlpm._exists),"")
)</f>
        <v/>
      </c>
      <c r="Q91" s="33">
        <f t="shared" ca="1" si="15"/>
        <v>2</v>
      </c>
      <c r="R91" s="33">
        <f t="shared" ca="1" si="16"/>
        <v>1</v>
      </c>
      <c r="S91" s="33">
        <f t="shared" ca="1" si="17"/>
        <v>1</v>
      </c>
      <c r="T91" s="33">
        <f t="shared" ca="1" si="18"/>
        <v>2</v>
      </c>
      <c r="U91" s="33">
        <f t="shared" ca="1" si="19"/>
        <v>1</v>
      </c>
      <c r="V91" s="33">
        <f t="shared" ca="1" si="20"/>
        <v>1</v>
      </c>
    </row>
    <row r="92" spans="1:22" x14ac:dyDescent="0.25">
      <c r="A92" s="19" t="str">
        <v>Implementation,Version control,Custom Version Control</v>
      </c>
      <c r="B92" t="s">
        <v>377</v>
      </c>
      <c r="C92" s="19" t="str" cm="1">
        <f t="array" ref="C92:E92">_xlfn.TEXTSPLIT(A92,",")</f>
        <v>Implementation</v>
      </c>
      <c r="D92" s="19" t="str">
        <v>Version control</v>
      </c>
      <c r="E92" s="19" t="str">
        <v>Custom Version Control</v>
      </c>
      <c r="F92" s="36" t="str" cm="1">
        <f t="array" ref="F92">_xlfn.TEXTJOIN(",",TRUE,_xlfn._xlws.FILTER(CLASSIFICATION[Keyword], ($E92=CLASSIFICATION[Keyword Aggr])*($D92=CLASSIFICATION[Functional Scope Aggr])))</f>
        <v>Custom Version Control</v>
      </c>
      <c r="G92" s="32" t="str">
        <f t="shared" si="14"/>
        <v/>
      </c>
      <c r="H92" s="32" t="str">
        <f t="shared" si="14"/>
        <v/>
      </c>
      <c r="I92" s="32" t="str">
        <f t="shared" si="21"/>
        <v>Custom Version Control</v>
      </c>
      <c r="J92" s="33" t="str" cm="1">
        <f t="array" aca="1" ref="J92" ca="1">_xlfn.LET(
_xlpm._platform_range, INDIRECT("'Platform review'!$C"&amp;_xlfn.XMATCH(J$2,'Platform review'!$A$1:$A$127)&amp;":$E"&amp;_xlfn.XMATCH(J$2,'Platform review'!$A$1:$A$127)+19),
_xlpm._original_keywords, _xlfn._xlws.FILTER(CLASSIFICATION[[Keyword]:[Keyword]], ($E92=CLASSIFICATION[[Keyword Aggr]:[Keyword Aggr]])*($D92=CLASSIFICATION[[Functional Scope Aggr]:[Functional Scope Aggr]])),
_xlpm._platform_keywords, _xlfn.TEXTSPLIT(SUBSTITUTE(SUBSTITUTE(VLOOKUP($D92,_xlpm._platform_range,3,FALSE),"+"&amp;CHAR(34),"+"),CHAR(34),""),", "),
_xlpm._exists, SUMPRODUCT(--ISNUMBER(MATCH(_xlpm._platform_keywords,_xlpm._original_keywords,0)))&gt;0,
_xlfn.IFS(AND(_xlpm._exists,LEFT($E92,1)="+"),"+",_xlpm._exists,"*",NOT(_xlpm._exists),"")
)</f>
        <v/>
      </c>
      <c r="K92" s="33" t="str" cm="1">
        <f t="array" aca="1" ref="K92" ca="1">_xlfn.LET(
_xlpm._platform_range, INDIRECT("'Platform review'!$C"&amp;_xlfn.XMATCH(K$2,'Platform review'!$A$1:$A$127)&amp;":$E"&amp;_xlfn.XMATCH(K$2,'Platform review'!$A$1:$A$127)+19),
_xlpm._original_keywords, _xlfn._xlws.FILTER(CLASSIFICATION[[Keyword]:[Keyword]], ($E92=CLASSIFICATION[[Keyword Aggr]:[Keyword Aggr]])*($D92=CLASSIFICATION[[Functional Scope Aggr]:[Functional Scope Aggr]])),
_xlpm._platform_keywords, _xlfn.TEXTSPLIT(SUBSTITUTE(SUBSTITUTE(VLOOKUP($D92,_xlpm._platform_range,3,FALSE),"+"&amp;CHAR(34),"+"),CHAR(34),""),", "),
_xlpm._exists, SUMPRODUCT(--ISNUMBER(MATCH(_xlpm._platform_keywords,_xlpm._original_keywords,0)))&gt;0,
_xlfn.IFS(AND(_xlpm._exists,LEFT($E92,1)="+"),"+",_xlpm._exists,"*",NOT(_xlpm._exists),"")
)</f>
        <v>*</v>
      </c>
      <c r="L92" s="33" t="str" cm="1">
        <f t="array" aca="1" ref="L92" ca="1">_xlfn.LET(
_xlpm._platform_range, INDIRECT("'Platform review'!$C"&amp;_xlfn.XMATCH(L$2,'Platform review'!$A$1:$A$127)&amp;":$E"&amp;_xlfn.XMATCH(L$2,'Platform review'!$A$1:$A$127)+19),
_xlpm._original_keywords, _xlfn._xlws.FILTER(CLASSIFICATION[[Keyword]:[Keyword]], ($E92=CLASSIFICATION[[Keyword Aggr]:[Keyword Aggr]])*($D92=CLASSIFICATION[[Functional Scope Aggr]:[Functional Scope Aggr]])),
_xlpm._platform_keywords, _xlfn.TEXTSPLIT(SUBSTITUTE(SUBSTITUTE(VLOOKUP($D92,_xlpm._platform_range,3,FALSE),"+"&amp;CHAR(34),"+"),CHAR(34),""),", "),
_xlpm._exists, SUMPRODUCT(--ISNUMBER(MATCH(_xlpm._platform_keywords,_xlpm._original_keywords,0)))&gt;0,
_xlfn.IFS(AND(_xlpm._exists,LEFT($E92,1)="+"),"+",_xlpm._exists,"*",NOT(_xlpm._exists),"")
)</f>
        <v>*</v>
      </c>
      <c r="M92" s="33" t="str" cm="1">
        <f t="array" aca="1" ref="M92" ca="1">_xlfn.LET(
_xlpm._platform_range, INDIRECT("'Platform review'!$C"&amp;_xlfn.XMATCH(M$2,'Platform review'!$A$1:$A$127)&amp;":$E"&amp;_xlfn.XMATCH(M$2,'Platform review'!$A$1:$A$127)+19),
_xlpm._original_keywords, _xlfn._xlws.FILTER(CLASSIFICATION[[Keyword]:[Keyword]], ($E92=CLASSIFICATION[[Keyword Aggr]:[Keyword Aggr]])*($D92=CLASSIFICATION[[Functional Scope Aggr]:[Functional Scope Aggr]])),
_xlpm._platform_keywords, _xlfn.TEXTSPLIT(SUBSTITUTE(SUBSTITUTE(VLOOKUP($D92,_xlpm._platform_range,3,FALSE),"+"&amp;CHAR(34),"+"),CHAR(34),""),", "),
_xlpm._exists, SUMPRODUCT(--ISNUMBER(MATCH(_xlpm._platform_keywords,_xlpm._original_keywords,0)))&gt;0,
_xlfn.IFS(AND(_xlpm._exists,LEFT($E92,1)="+"),"+",_xlpm._exists,"*",NOT(_xlpm._exists),"")
)</f>
        <v/>
      </c>
      <c r="N92" s="33" t="str" cm="1">
        <f t="array" aca="1" ref="N92" ca="1">_xlfn.LET(
_xlpm._platform_range, INDIRECT("'Platform review'!$C"&amp;_xlfn.XMATCH(N$2,'Platform review'!$A$1:$A$127)&amp;":$E"&amp;_xlfn.XMATCH(N$2,'Platform review'!$A$1:$A$127)+19),
_xlpm._original_keywords, _xlfn._xlws.FILTER(CLASSIFICATION[[Keyword]:[Keyword]], ($E92=CLASSIFICATION[[Keyword Aggr]:[Keyword Aggr]])*($D92=CLASSIFICATION[[Functional Scope Aggr]:[Functional Scope Aggr]])),
_xlpm._platform_keywords, _xlfn.TEXTSPLIT(SUBSTITUTE(SUBSTITUTE(VLOOKUP($D92,_xlpm._platform_range,3,FALSE),"+"&amp;CHAR(34),"+"),CHAR(34),""),", "),
_xlpm._exists, SUMPRODUCT(--ISNUMBER(MATCH(_xlpm._platform_keywords,_xlpm._original_keywords,0)))&gt;0,
_xlfn.IFS(AND(_xlpm._exists,LEFT($E92,1)="+"),"+",_xlpm._exists,"*",NOT(_xlpm._exists),"")
)</f>
        <v>*</v>
      </c>
      <c r="O92" s="33" t="str" cm="1">
        <f t="array" aca="1" ref="O92" ca="1">_xlfn.LET(
_xlpm._platform_range, INDIRECT("'Platform review'!$C"&amp;_xlfn.XMATCH(O$2,'Platform review'!$A$1:$A$127)&amp;":$E"&amp;_xlfn.XMATCH(O$2,'Platform review'!$A$1:$A$127)+19),
_xlpm._original_keywords, _xlfn._xlws.FILTER(CLASSIFICATION[[Keyword]:[Keyword]], ($E92=CLASSIFICATION[[Keyword Aggr]:[Keyword Aggr]])*($D92=CLASSIFICATION[[Functional Scope Aggr]:[Functional Scope Aggr]])),
_xlpm._platform_keywords, _xlfn.TEXTSPLIT(SUBSTITUTE(SUBSTITUTE(VLOOKUP($D92,_xlpm._platform_range,3,FALSE),"+"&amp;CHAR(34),"+"),CHAR(34),""),", "),
_xlpm._exists, SUMPRODUCT(--ISNUMBER(MATCH(_xlpm._platform_keywords,_xlpm._original_keywords,0)))&gt;0,
_xlfn.IFS(AND(_xlpm._exists,LEFT($E92,1)="+"),"+",_xlpm._exists,"*",NOT(_xlpm._exists),"")
)</f>
        <v>*</v>
      </c>
      <c r="Q92" s="33" t="str">
        <f t="shared" si="15"/>
        <v/>
      </c>
      <c r="R92" s="33" t="str">
        <f t="shared" si="16"/>
        <v/>
      </c>
      <c r="S92" s="33" t="str">
        <f t="shared" si="17"/>
        <v/>
      </c>
      <c r="T92" s="33" t="str">
        <f t="shared" si="18"/>
        <v/>
      </c>
      <c r="U92" s="33" t="str">
        <f t="shared" si="19"/>
        <v/>
      </c>
      <c r="V92" s="33" t="str">
        <f t="shared" si="20"/>
        <v/>
      </c>
    </row>
    <row r="93" spans="1:22" x14ac:dyDescent="0.25">
      <c r="A93" s="19" t="str">
        <v>Implementation,Version control,Git</v>
      </c>
      <c r="B93" t="s">
        <v>377</v>
      </c>
      <c r="C93" s="19" t="str" cm="1">
        <f t="array" ref="C93:E93">_xlfn.TEXTSPLIT(A93,",")</f>
        <v>Implementation</v>
      </c>
      <c r="D93" s="19" t="str">
        <v>Version control</v>
      </c>
      <c r="E93" s="19" t="str">
        <v>Git</v>
      </c>
      <c r="F93" s="36" t="str" cm="1">
        <f t="array" ref="F93">_xlfn.TEXTJOIN(",",TRUE,_xlfn._xlws.FILTER(CLASSIFICATION[Keyword], ($E93=CLASSIFICATION[Keyword Aggr])*($D93=CLASSIFICATION[Functional Scope Aggr])))</f>
        <v>Git</v>
      </c>
      <c r="G93" s="32" t="str">
        <f t="shared" si="14"/>
        <v/>
      </c>
      <c r="H93" s="32" t="str">
        <f t="shared" si="14"/>
        <v/>
      </c>
      <c r="I93" s="32" t="str">
        <f t="shared" si="21"/>
        <v>Git</v>
      </c>
      <c r="J93" s="33" t="str" cm="1">
        <f t="array" aca="1" ref="J93" ca="1">_xlfn.LET(
_xlpm._platform_range, INDIRECT("'Platform review'!$C"&amp;_xlfn.XMATCH(J$2,'Platform review'!$A$1:$A$127)&amp;":$E"&amp;_xlfn.XMATCH(J$2,'Platform review'!$A$1:$A$127)+19),
_xlpm._original_keywords, _xlfn._xlws.FILTER(CLASSIFICATION[[Keyword]:[Keyword]], ($E93=CLASSIFICATION[[Keyword Aggr]:[Keyword Aggr]])*($D93=CLASSIFICATION[[Functional Scope Aggr]:[Functional Scope Aggr]])),
_xlpm._platform_keywords, _xlfn.TEXTSPLIT(SUBSTITUTE(SUBSTITUTE(VLOOKUP($D93,_xlpm._platform_range,3,FALSE),"+"&amp;CHAR(34),"+"),CHAR(34),""),", "),
_xlpm._exists, SUMPRODUCT(--ISNUMBER(MATCH(_xlpm._platform_keywords,_xlpm._original_keywords,0)))&gt;0,
_xlfn.IFS(AND(_xlpm._exists,LEFT($E93,1)="+"),"+",_xlpm._exists,"*",NOT(_xlpm._exists),"")
)</f>
        <v>*</v>
      </c>
      <c r="K93" s="33" t="str" cm="1">
        <f t="array" aca="1" ref="K93" ca="1">_xlfn.LET(
_xlpm._platform_range, INDIRECT("'Platform review'!$C"&amp;_xlfn.XMATCH(K$2,'Platform review'!$A$1:$A$127)&amp;":$E"&amp;_xlfn.XMATCH(K$2,'Platform review'!$A$1:$A$127)+19),
_xlpm._original_keywords, _xlfn._xlws.FILTER(CLASSIFICATION[[Keyword]:[Keyword]], ($E93=CLASSIFICATION[[Keyword Aggr]:[Keyword Aggr]])*($D93=CLASSIFICATION[[Functional Scope Aggr]:[Functional Scope Aggr]])),
_xlpm._platform_keywords, _xlfn.TEXTSPLIT(SUBSTITUTE(SUBSTITUTE(VLOOKUP($D93,_xlpm._platform_range,3,FALSE),"+"&amp;CHAR(34),"+"),CHAR(34),""),", "),
_xlpm._exists, SUMPRODUCT(--ISNUMBER(MATCH(_xlpm._platform_keywords,_xlpm._original_keywords,0)))&gt;0,
_xlfn.IFS(AND(_xlpm._exists,LEFT($E93,1)="+"),"+",_xlpm._exists,"*",NOT(_xlpm._exists),"")
)</f>
        <v/>
      </c>
      <c r="L93" s="33" t="str" cm="1">
        <f t="array" aca="1" ref="L93" ca="1">_xlfn.LET(
_xlpm._platform_range, INDIRECT("'Platform review'!$C"&amp;_xlfn.XMATCH(L$2,'Platform review'!$A$1:$A$127)&amp;":$E"&amp;_xlfn.XMATCH(L$2,'Platform review'!$A$1:$A$127)+19),
_xlpm._original_keywords, _xlfn._xlws.FILTER(CLASSIFICATION[[Keyword]:[Keyword]], ($E93=CLASSIFICATION[[Keyword Aggr]:[Keyword Aggr]])*($D93=CLASSIFICATION[[Functional Scope Aggr]:[Functional Scope Aggr]])),
_xlpm._platform_keywords, _xlfn.TEXTSPLIT(SUBSTITUTE(SUBSTITUTE(VLOOKUP($D93,_xlpm._platform_range,3,FALSE),"+"&amp;CHAR(34),"+"),CHAR(34),""),", "),
_xlpm._exists, SUMPRODUCT(--ISNUMBER(MATCH(_xlpm._platform_keywords,_xlpm._original_keywords,0)))&gt;0,
_xlfn.IFS(AND(_xlpm._exists,LEFT($E93,1)="+"),"+",_xlpm._exists,"*",NOT(_xlpm._exists),"")
)</f>
        <v/>
      </c>
      <c r="M93" s="33" t="str" cm="1">
        <f t="array" aca="1" ref="M93" ca="1">_xlfn.LET(
_xlpm._platform_range, INDIRECT("'Platform review'!$C"&amp;_xlfn.XMATCH(M$2,'Platform review'!$A$1:$A$127)&amp;":$E"&amp;_xlfn.XMATCH(M$2,'Platform review'!$A$1:$A$127)+19),
_xlpm._original_keywords, _xlfn._xlws.FILTER(CLASSIFICATION[[Keyword]:[Keyword]], ($E93=CLASSIFICATION[[Keyword Aggr]:[Keyword Aggr]])*($D93=CLASSIFICATION[[Functional Scope Aggr]:[Functional Scope Aggr]])),
_xlpm._platform_keywords, _xlfn.TEXTSPLIT(SUBSTITUTE(SUBSTITUTE(VLOOKUP($D93,_xlpm._platform_range,3,FALSE),"+"&amp;CHAR(34),"+"),CHAR(34),""),", "),
_xlpm._exists, SUMPRODUCT(--ISNUMBER(MATCH(_xlpm._platform_keywords,_xlpm._original_keywords,0)))&gt;0,
_xlfn.IFS(AND(_xlpm._exists,LEFT($E93,1)="+"),"+",_xlpm._exists,"*",NOT(_xlpm._exists),"")
)</f>
        <v>*</v>
      </c>
      <c r="N93" s="33" t="str" cm="1">
        <f t="array" aca="1" ref="N93" ca="1">_xlfn.LET(
_xlpm._platform_range, INDIRECT("'Platform review'!$C"&amp;_xlfn.XMATCH(N$2,'Platform review'!$A$1:$A$127)&amp;":$E"&amp;_xlfn.XMATCH(N$2,'Platform review'!$A$1:$A$127)+19),
_xlpm._original_keywords, _xlfn._xlws.FILTER(CLASSIFICATION[[Keyword]:[Keyword]], ($E93=CLASSIFICATION[[Keyword Aggr]:[Keyword Aggr]])*($D93=CLASSIFICATION[[Functional Scope Aggr]:[Functional Scope Aggr]])),
_xlpm._platform_keywords, _xlfn.TEXTSPLIT(SUBSTITUTE(SUBSTITUTE(VLOOKUP($D93,_xlpm._platform_range,3,FALSE),"+"&amp;CHAR(34),"+"),CHAR(34),""),", "),
_xlpm._exists, SUMPRODUCT(--ISNUMBER(MATCH(_xlpm._platform_keywords,_xlpm._original_keywords,0)))&gt;0,
_xlfn.IFS(AND(_xlpm._exists,LEFT($E93,1)="+"),"+",_xlpm._exists,"*",NOT(_xlpm._exists),"")
)</f>
        <v/>
      </c>
      <c r="O93" s="33" t="str" cm="1">
        <f t="array" aca="1" ref="O93" ca="1">_xlfn.LET(
_xlpm._platform_range, INDIRECT("'Platform review'!$C"&amp;_xlfn.XMATCH(O$2,'Platform review'!$A$1:$A$127)&amp;":$E"&amp;_xlfn.XMATCH(O$2,'Platform review'!$A$1:$A$127)+19),
_xlpm._original_keywords, _xlfn._xlws.FILTER(CLASSIFICATION[[Keyword]:[Keyword]], ($E93=CLASSIFICATION[[Keyword Aggr]:[Keyword Aggr]])*($D93=CLASSIFICATION[[Functional Scope Aggr]:[Functional Scope Aggr]])),
_xlpm._platform_keywords, _xlfn.TEXTSPLIT(SUBSTITUTE(SUBSTITUTE(VLOOKUP($D93,_xlpm._platform_range,3,FALSE),"+"&amp;CHAR(34),"+"),CHAR(34),""),", "),
_xlpm._exists, SUMPRODUCT(--ISNUMBER(MATCH(_xlpm._platform_keywords,_xlpm._original_keywords,0)))&gt;0,
_xlfn.IFS(AND(_xlpm._exists,LEFT($E93,1)="+"),"+",_xlpm._exists,"*",NOT(_xlpm._exists),"")
)</f>
        <v/>
      </c>
      <c r="Q93" s="33" t="str">
        <f t="shared" si="15"/>
        <v/>
      </c>
      <c r="R93" s="33" t="str">
        <f t="shared" si="16"/>
        <v/>
      </c>
      <c r="S93" s="33" t="str">
        <f t="shared" si="17"/>
        <v/>
      </c>
      <c r="T93" s="33" t="str">
        <f t="shared" si="18"/>
        <v/>
      </c>
      <c r="U93" s="33" t="str">
        <f t="shared" si="19"/>
        <v/>
      </c>
      <c r="V93" s="33" t="str">
        <f t="shared" si="20"/>
        <v/>
      </c>
    </row>
    <row r="94" spans="1:22" x14ac:dyDescent="0.25">
      <c r="A94" s="19"/>
      <c r="B94" t="s">
        <v>377</v>
      </c>
      <c r="C94" s="19" t="e" cm="1">
        <f t="array" ref="C94">_xlfn.TEXTSPLIT(A94,",")</f>
        <v>#VALUE!</v>
      </c>
      <c r="D94" s="19"/>
      <c r="E94" s="19"/>
      <c r="F94" s="36" t="e" cm="1" vm="1">
        <f t="array" ref="F94">_xlfn.TEXTJOIN(",",TRUE,_xlfn._xlws.FILTER(CLASSIFICATION[Keyword], ($E94=CLASSIFICATION[Keyword Aggr])*($D94=CLASSIFICATION[Functional Scope Aggr])))</f>
        <v>#VALUE!</v>
      </c>
      <c r="G94" s="32" t="e">
        <f t="shared" si="14"/>
        <v>#VALUE!</v>
      </c>
      <c r="H94" s="32">
        <f t="shared" si="14"/>
        <v>0</v>
      </c>
      <c r="I94" s="32">
        <f t="shared" si="21"/>
        <v>0</v>
      </c>
      <c r="J94" s="33" t="str" cm="1">
        <f t="array" aca="1" ref="J94" ca="1">_xlfn.LET(
_xlpm._platform_range, INDIRECT("'Platform review'!$C"&amp;_xlfn.XMATCH(J$2,'Platform review'!$A$1:$A$127)&amp;":$E"&amp;_xlfn.XMATCH(J$2,'Platform review'!$A$1:$A$127)+19),
_xlpm._original_keywords, _xlfn._xlws.FILTER(CLASSIFICATION[[Keyword]:[Keyword]], ($E94=CLASSIFICATION[[Keyword Aggr]:[Keyword Aggr]])*($D94=CLASSIFICATION[[Functional Scope Aggr]:[Functional Scope Aggr]])),
_xlpm._platform_keywords, _xlfn.TEXTSPLIT(SUBSTITUTE(SUBSTITUTE(VLOOKUP($D94,_xlpm._platform_range,3,FALSE),"+"&amp;CHAR(34),"+"),CHAR(34),""),", "),
_xlpm._exists, SUMPRODUCT(--ISNUMBER(MATCH(_xlpm._platform_keywords,_xlpm._original_keywords,0)))&gt;0,
_xlfn.IFS(AND(_xlpm._exists,LEFT($E94,1)="+"),"+",_xlpm._exists,"*",NOT(_xlpm._exists),"")
)</f>
        <v/>
      </c>
      <c r="K94" s="33" t="str" cm="1">
        <f t="array" aca="1" ref="K94" ca="1">_xlfn.LET(
_xlpm._platform_range, INDIRECT("'Platform review'!$C"&amp;_xlfn.XMATCH(K$2,'Platform review'!$A$1:$A$127)&amp;":$E"&amp;_xlfn.XMATCH(K$2,'Platform review'!$A$1:$A$127)+19),
_xlpm._original_keywords, _xlfn._xlws.FILTER(CLASSIFICATION[[Keyword]:[Keyword]], ($E94=CLASSIFICATION[[Keyword Aggr]:[Keyword Aggr]])*($D94=CLASSIFICATION[[Functional Scope Aggr]:[Functional Scope Aggr]])),
_xlpm._platform_keywords, _xlfn.TEXTSPLIT(SUBSTITUTE(SUBSTITUTE(VLOOKUP($D94,_xlpm._platform_range,3,FALSE),"+"&amp;CHAR(34),"+"),CHAR(34),""),", "),
_xlpm._exists, SUMPRODUCT(--ISNUMBER(MATCH(_xlpm._platform_keywords,_xlpm._original_keywords,0)))&gt;0,
_xlfn.IFS(AND(_xlpm._exists,LEFT($E94,1)="+"),"+",_xlpm._exists,"*",NOT(_xlpm._exists),"")
)</f>
        <v/>
      </c>
      <c r="L94" s="33" t="str" cm="1">
        <f t="array" aca="1" ref="L94" ca="1">_xlfn.LET(
_xlpm._platform_range, INDIRECT("'Platform review'!$C"&amp;_xlfn.XMATCH(L$2,'Platform review'!$A$1:$A$127)&amp;":$E"&amp;_xlfn.XMATCH(L$2,'Platform review'!$A$1:$A$127)+19),
_xlpm._original_keywords, _xlfn._xlws.FILTER(CLASSIFICATION[[Keyword]:[Keyword]], ($E94=CLASSIFICATION[[Keyword Aggr]:[Keyword Aggr]])*($D94=CLASSIFICATION[[Functional Scope Aggr]:[Functional Scope Aggr]])),
_xlpm._platform_keywords, _xlfn.TEXTSPLIT(SUBSTITUTE(SUBSTITUTE(VLOOKUP($D94,_xlpm._platform_range,3,FALSE),"+"&amp;CHAR(34),"+"),CHAR(34),""),", "),
_xlpm._exists, SUMPRODUCT(--ISNUMBER(MATCH(_xlpm._platform_keywords,_xlpm._original_keywords,0)))&gt;0,
_xlfn.IFS(AND(_xlpm._exists,LEFT($E94,1)="+"),"+",_xlpm._exists,"*",NOT(_xlpm._exists),"")
)</f>
        <v/>
      </c>
      <c r="M94" s="33" t="str" cm="1">
        <f t="array" aca="1" ref="M94" ca="1">_xlfn.LET(
_xlpm._platform_range, INDIRECT("'Platform review'!$C"&amp;_xlfn.XMATCH(M$2,'Platform review'!$A$1:$A$127)&amp;":$E"&amp;_xlfn.XMATCH(M$2,'Platform review'!$A$1:$A$127)+19),
_xlpm._original_keywords, _xlfn._xlws.FILTER(CLASSIFICATION[[Keyword]:[Keyword]], ($E94=CLASSIFICATION[[Keyword Aggr]:[Keyword Aggr]])*($D94=CLASSIFICATION[[Functional Scope Aggr]:[Functional Scope Aggr]])),
_xlpm._platform_keywords, _xlfn.TEXTSPLIT(SUBSTITUTE(SUBSTITUTE(VLOOKUP($D94,_xlpm._platform_range,3,FALSE),"+"&amp;CHAR(34),"+"),CHAR(34),""),", "),
_xlpm._exists, SUMPRODUCT(--ISNUMBER(MATCH(_xlpm._platform_keywords,_xlpm._original_keywords,0)))&gt;0,
_xlfn.IFS(AND(_xlpm._exists,LEFT($E94,1)="+"),"+",_xlpm._exists,"*",NOT(_xlpm._exists),"")
)</f>
        <v/>
      </c>
      <c r="N94" s="33" t="str" cm="1">
        <f t="array" aca="1" ref="N94" ca="1">_xlfn.LET(
_xlpm._platform_range, INDIRECT("'Platform review'!$C"&amp;_xlfn.XMATCH(N$2,'Platform review'!$A$1:$A$127)&amp;":$E"&amp;_xlfn.XMATCH(N$2,'Platform review'!$A$1:$A$127)+19),
_xlpm._original_keywords, _xlfn._xlws.FILTER(CLASSIFICATION[[Keyword]:[Keyword]], ($E94=CLASSIFICATION[[Keyword Aggr]:[Keyword Aggr]])*($D94=CLASSIFICATION[[Functional Scope Aggr]:[Functional Scope Aggr]])),
_xlpm._platform_keywords, _xlfn.TEXTSPLIT(SUBSTITUTE(SUBSTITUTE(VLOOKUP($D94,_xlpm._platform_range,3,FALSE),"+"&amp;CHAR(34),"+"),CHAR(34),""),", "),
_xlpm._exists, SUMPRODUCT(--ISNUMBER(MATCH(_xlpm._platform_keywords,_xlpm._original_keywords,0)))&gt;0,
_xlfn.IFS(AND(_xlpm._exists,LEFT($E94,1)="+"),"+",_xlpm._exists,"*",NOT(_xlpm._exists),"")
)</f>
        <v/>
      </c>
      <c r="O94" s="33" t="str" cm="1">
        <f t="array" aca="1" ref="O94" ca="1">_xlfn.LET(
_xlpm._platform_range, INDIRECT("'Platform review'!$C"&amp;_xlfn.XMATCH(O$2,'Platform review'!$A$1:$A$127)&amp;":$E"&amp;_xlfn.XMATCH(O$2,'Platform review'!$A$1:$A$127)+19),
_xlpm._original_keywords, _xlfn._xlws.FILTER(CLASSIFICATION[[Keyword]:[Keyword]], ($E94=CLASSIFICATION[[Keyword Aggr]:[Keyword Aggr]])*($D94=CLASSIFICATION[[Functional Scope Aggr]:[Functional Scope Aggr]])),
_xlpm._platform_keywords, _xlfn.TEXTSPLIT(SUBSTITUTE(SUBSTITUTE(VLOOKUP($D94,_xlpm._platform_range,3,FALSE),"+"&amp;CHAR(34),"+"),CHAR(34),""),", "),
_xlpm._exists, SUMPRODUCT(--ISNUMBER(MATCH(_xlpm._platform_keywords,_xlpm._original_keywords,0)))&gt;0,
_xlfn.IFS(AND(_xlpm._exists,LEFT($E94,1)="+"),"+",_xlpm._exists,"*",NOT(_xlpm._exists),"")
)</f>
        <v/>
      </c>
      <c r="Q94" s="33">
        <f t="shared" ca="1" si="15"/>
        <v>0</v>
      </c>
      <c r="R94" s="33">
        <f t="shared" ca="1" si="16"/>
        <v>0</v>
      </c>
      <c r="S94" s="33">
        <f t="shared" ca="1" si="17"/>
        <v>0</v>
      </c>
      <c r="T94" s="33">
        <f t="shared" ca="1" si="18"/>
        <v>0</v>
      </c>
      <c r="U94" s="33">
        <f t="shared" ca="1" si="19"/>
        <v>0</v>
      </c>
      <c r="V94" s="33">
        <f t="shared" ca="1" si="20"/>
        <v>0</v>
      </c>
    </row>
    <row r="95" spans="1:22" x14ac:dyDescent="0.25">
      <c r="A95" s="19"/>
      <c r="B95" t="s">
        <v>377</v>
      </c>
      <c r="C95" s="19" t="e" cm="1">
        <f t="array" ref="C95">_xlfn.TEXTSPLIT(A95,",")</f>
        <v>#VALUE!</v>
      </c>
      <c r="D95" s="19"/>
      <c r="E95" s="19"/>
      <c r="F95" s="36" t="e" cm="1" vm="1">
        <f t="array" ref="F95">_xlfn.TEXTJOIN(",",TRUE,_xlfn._xlws.FILTER(CLASSIFICATION[Keyword], ($E95=CLASSIFICATION[Keyword Aggr])*($D95=CLASSIFICATION[Functional Scope Aggr])))</f>
        <v>#VALUE!</v>
      </c>
      <c r="G95" s="32" t="e">
        <f t="shared" si="14"/>
        <v>#VALUE!</v>
      </c>
      <c r="H95" s="32" t="str">
        <f t="shared" si="14"/>
        <v/>
      </c>
      <c r="I95" s="32">
        <f t="shared" si="21"/>
        <v>0</v>
      </c>
      <c r="J95" s="33" t="str" cm="1">
        <f t="array" aca="1" ref="J95" ca="1">_xlfn.LET(
_xlpm._platform_range, INDIRECT("'Platform review'!$C"&amp;_xlfn.XMATCH(J$2,'Platform review'!$A$1:$A$127)&amp;":$E"&amp;_xlfn.XMATCH(J$2,'Platform review'!$A$1:$A$127)+19),
_xlpm._original_keywords, _xlfn._xlws.FILTER(CLASSIFICATION[[Keyword]:[Keyword]], ($E95=CLASSIFICATION[[Keyword Aggr]:[Keyword Aggr]])*($D95=CLASSIFICATION[[Functional Scope Aggr]:[Functional Scope Aggr]])),
_xlpm._platform_keywords, _xlfn.TEXTSPLIT(SUBSTITUTE(SUBSTITUTE(VLOOKUP($D95,_xlpm._platform_range,3,FALSE),"+"&amp;CHAR(34),"+"),CHAR(34),""),", "),
_xlpm._exists, SUMPRODUCT(--ISNUMBER(MATCH(_xlpm._platform_keywords,_xlpm._original_keywords,0)))&gt;0,
_xlfn.IFS(AND(_xlpm._exists,LEFT($E95,1)="+"),"+",_xlpm._exists,"*",NOT(_xlpm._exists),"")
)</f>
        <v/>
      </c>
      <c r="K95" s="33" t="str" cm="1">
        <f t="array" aca="1" ref="K95" ca="1">_xlfn.LET(
_xlpm._platform_range, INDIRECT("'Platform review'!$C"&amp;_xlfn.XMATCH(K$2,'Platform review'!$A$1:$A$127)&amp;":$E"&amp;_xlfn.XMATCH(K$2,'Platform review'!$A$1:$A$127)+19),
_xlpm._original_keywords, _xlfn._xlws.FILTER(CLASSIFICATION[[Keyword]:[Keyword]], ($E95=CLASSIFICATION[[Keyword Aggr]:[Keyword Aggr]])*($D95=CLASSIFICATION[[Functional Scope Aggr]:[Functional Scope Aggr]])),
_xlpm._platform_keywords, _xlfn.TEXTSPLIT(SUBSTITUTE(SUBSTITUTE(VLOOKUP($D95,_xlpm._platform_range,3,FALSE),"+"&amp;CHAR(34),"+"),CHAR(34),""),", "),
_xlpm._exists, SUMPRODUCT(--ISNUMBER(MATCH(_xlpm._platform_keywords,_xlpm._original_keywords,0)))&gt;0,
_xlfn.IFS(AND(_xlpm._exists,LEFT($E95,1)="+"),"+",_xlpm._exists,"*",NOT(_xlpm._exists),"")
)</f>
        <v/>
      </c>
      <c r="L95" s="33" t="str" cm="1">
        <f t="array" aca="1" ref="L95" ca="1">_xlfn.LET(
_xlpm._platform_range, INDIRECT("'Platform review'!$C"&amp;_xlfn.XMATCH(L$2,'Platform review'!$A$1:$A$127)&amp;":$E"&amp;_xlfn.XMATCH(L$2,'Platform review'!$A$1:$A$127)+19),
_xlpm._original_keywords, _xlfn._xlws.FILTER(CLASSIFICATION[[Keyword]:[Keyword]], ($E95=CLASSIFICATION[[Keyword Aggr]:[Keyword Aggr]])*($D95=CLASSIFICATION[[Functional Scope Aggr]:[Functional Scope Aggr]])),
_xlpm._platform_keywords, _xlfn.TEXTSPLIT(SUBSTITUTE(SUBSTITUTE(VLOOKUP($D95,_xlpm._platform_range,3,FALSE),"+"&amp;CHAR(34),"+"),CHAR(34),""),", "),
_xlpm._exists, SUMPRODUCT(--ISNUMBER(MATCH(_xlpm._platform_keywords,_xlpm._original_keywords,0)))&gt;0,
_xlfn.IFS(AND(_xlpm._exists,LEFT($E95,1)="+"),"+",_xlpm._exists,"*",NOT(_xlpm._exists),"")
)</f>
        <v/>
      </c>
      <c r="M95" s="33" t="str" cm="1">
        <f t="array" aca="1" ref="M95" ca="1">_xlfn.LET(
_xlpm._platform_range, INDIRECT("'Platform review'!$C"&amp;_xlfn.XMATCH(M$2,'Platform review'!$A$1:$A$127)&amp;":$E"&amp;_xlfn.XMATCH(M$2,'Platform review'!$A$1:$A$127)+19),
_xlpm._original_keywords, _xlfn._xlws.FILTER(CLASSIFICATION[[Keyword]:[Keyword]], ($E95=CLASSIFICATION[[Keyword Aggr]:[Keyword Aggr]])*($D95=CLASSIFICATION[[Functional Scope Aggr]:[Functional Scope Aggr]])),
_xlpm._platform_keywords, _xlfn.TEXTSPLIT(SUBSTITUTE(SUBSTITUTE(VLOOKUP($D95,_xlpm._platform_range,3,FALSE),"+"&amp;CHAR(34),"+"),CHAR(34),""),", "),
_xlpm._exists, SUMPRODUCT(--ISNUMBER(MATCH(_xlpm._platform_keywords,_xlpm._original_keywords,0)))&gt;0,
_xlfn.IFS(AND(_xlpm._exists,LEFT($E95,1)="+"),"+",_xlpm._exists,"*",NOT(_xlpm._exists),"")
)</f>
        <v/>
      </c>
      <c r="N95" s="33" t="str" cm="1">
        <f t="array" aca="1" ref="N95" ca="1">_xlfn.LET(
_xlpm._platform_range, INDIRECT("'Platform review'!$C"&amp;_xlfn.XMATCH(N$2,'Platform review'!$A$1:$A$127)&amp;":$E"&amp;_xlfn.XMATCH(N$2,'Platform review'!$A$1:$A$127)+19),
_xlpm._original_keywords, _xlfn._xlws.FILTER(CLASSIFICATION[[Keyword]:[Keyword]], ($E95=CLASSIFICATION[[Keyword Aggr]:[Keyword Aggr]])*($D95=CLASSIFICATION[[Functional Scope Aggr]:[Functional Scope Aggr]])),
_xlpm._platform_keywords, _xlfn.TEXTSPLIT(SUBSTITUTE(SUBSTITUTE(VLOOKUP($D95,_xlpm._platform_range,3,FALSE),"+"&amp;CHAR(34),"+"),CHAR(34),""),", "),
_xlpm._exists, SUMPRODUCT(--ISNUMBER(MATCH(_xlpm._platform_keywords,_xlpm._original_keywords,0)))&gt;0,
_xlfn.IFS(AND(_xlpm._exists,LEFT($E95,1)="+"),"+",_xlpm._exists,"*",NOT(_xlpm._exists),"")
)</f>
        <v/>
      </c>
      <c r="O95" s="33" t="str" cm="1">
        <f t="array" aca="1" ref="O95" ca="1">_xlfn.LET(
_xlpm._platform_range, INDIRECT("'Platform review'!$C"&amp;_xlfn.XMATCH(O$2,'Platform review'!$A$1:$A$127)&amp;":$E"&amp;_xlfn.XMATCH(O$2,'Platform review'!$A$1:$A$127)+19),
_xlpm._original_keywords, _xlfn._xlws.FILTER(CLASSIFICATION[[Keyword]:[Keyword]], ($E95=CLASSIFICATION[[Keyword Aggr]:[Keyword Aggr]])*($D95=CLASSIFICATION[[Functional Scope Aggr]:[Functional Scope Aggr]])),
_xlpm._platform_keywords, _xlfn.TEXTSPLIT(SUBSTITUTE(SUBSTITUTE(VLOOKUP($D95,_xlpm._platform_range,3,FALSE),"+"&amp;CHAR(34),"+"),CHAR(34),""),", "),
_xlpm._exists, SUMPRODUCT(--ISNUMBER(MATCH(_xlpm._platform_keywords,_xlpm._original_keywords,0)))&gt;0,
_xlfn.IFS(AND(_xlpm._exists,LEFT($E95,1)="+"),"+",_xlpm._exists,"*",NOT(_xlpm._exists),"")
)</f>
        <v/>
      </c>
      <c r="Q95" s="33" t="str">
        <f t="shared" si="15"/>
        <v/>
      </c>
      <c r="R95" s="33" t="str">
        <f t="shared" si="16"/>
        <v/>
      </c>
      <c r="S95" s="33" t="str">
        <f t="shared" si="17"/>
        <v/>
      </c>
      <c r="T95" s="33" t="str">
        <f t="shared" si="18"/>
        <v/>
      </c>
      <c r="U95" s="33" t="str">
        <f t="shared" si="19"/>
        <v/>
      </c>
      <c r="V95" s="33" t="str">
        <f t="shared" si="20"/>
        <v/>
      </c>
    </row>
    <row r="96" spans="1:22" x14ac:dyDescent="0.25">
      <c r="A96" s="19"/>
      <c r="B96" t="s">
        <v>377</v>
      </c>
      <c r="C96" s="19" t="e" cm="1">
        <f t="array" ref="C96">_xlfn.TEXTSPLIT(A96,",")</f>
        <v>#VALUE!</v>
      </c>
      <c r="D96" s="19"/>
      <c r="E96" s="19"/>
      <c r="F96" s="36" t="e" cm="1" vm="1">
        <f t="array" ref="F96">_xlfn.TEXTJOIN(",",TRUE,_xlfn._xlws.FILTER(CLASSIFICATION[Keyword], ($E96=CLASSIFICATION[Keyword Aggr])*($D96=CLASSIFICATION[Functional Scope Aggr])))</f>
        <v>#VALUE!</v>
      </c>
      <c r="G96" s="32" t="e">
        <f t="shared" si="14"/>
        <v>#VALUE!</v>
      </c>
      <c r="H96" s="32" t="str">
        <f t="shared" si="14"/>
        <v/>
      </c>
      <c r="I96" s="32">
        <f t="shared" si="21"/>
        <v>0</v>
      </c>
      <c r="J96" s="33" t="str" cm="1">
        <f t="array" aca="1" ref="J96" ca="1">_xlfn.LET(
_xlpm._platform_range, INDIRECT("'Platform review'!$C"&amp;_xlfn.XMATCH(J$2,'Platform review'!$A$1:$A$127)&amp;":$E"&amp;_xlfn.XMATCH(J$2,'Platform review'!$A$1:$A$127)+19),
_xlpm._original_keywords, _xlfn._xlws.FILTER(CLASSIFICATION[[Keyword]:[Keyword]], ($E96=CLASSIFICATION[[Keyword Aggr]:[Keyword Aggr]])*($D96=CLASSIFICATION[[Functional Scope Aggr]:[Functional Scope Aggr]])),
_xlpm._platform_keywords, _xlfn.TEXTSPLIT(SUBSTITUTE(SUBSTITUTE(VLOOKUP($D96,_xlpm._platform_range,3,FALSE),"+"&amp;CHAR(34),"+"),CHAR(34),""),", "),
_xlpm._exists, SUMPRODUCT(--ISNUMBER(MATCH(_xlpm._platform_keywords,_xlpm._original_keywords,0)))&gt;0,
_xlfn.IFS(AND(_xlpm._exists,LEFT($E96,1)="+"),"+",_xlpm._exists,"*",NOT(_xlpm._exists),"")
)</f>
        <v/>
      </c>
      <c r="K96" s="33" t="str" cm="1">
        <f t="array" aca="1" ref="K96" ca="1">_xlfn.LET(
_xlpm._platform_range, INDIRECT("'Platform review'!$C"&amp;_xlfn.XMATCH(K$2,'Platform review'!$A$1:$A$127)&amp;":$E"&amp;_xlfn.XMATCH(K$2,'Platform review'!$A$1:$A$127)+19),
_xlpm._original_keywords, _xlfn._xlws.FILTER(CLASSIFICATION[[Keyword]:[Keyword]], ($E96=CLASSIFICATION[[Keyword Aggr]:[Keyword Aggr]])*($D96=CLASSIFICATION[[Functional Scope Aggr]:[Functional Scope Aggr]])),
_xlpm._platform_keywords, _xlfn.TEXTSPLIT(SUBSTITUTE(SUBSTITUTE(VLOOKUP($D96,_xlpm._platform_range,3,FALSE),"+"&amp;CHAR(34),"+"),CHAR(34),""),", "),
_xlpm._exists, SUMPRODUCT(--ISNUMBER(MATCH(_xlpm._platform_keywords,_xlpm._original_keywords,0)))&gt;0,
_xlfn.IFS(AND(_xlpm._exists,LEFT($E96,1)="+"),"+",_xlpm._exists,"*",NOT(_xlpm._exists),"")
)</f>
        <v/>
      </c>
      <c r="L96" s="33" t="str" cm="1">
        <f t="array" aca="1" ref="L96" ca="1">_xlfn.LET(
_xlpm._platform_range, INDIRECT("'Platform review'!$C"&amp;_xlfn.XMATCH(L$2,'Platform review'!$A$1:$A$127)&amp;":$E"&amp;_xlfn.XMATCH(L$2,'Platform review'!$A$1:$A$127)+19),
_xlpm._original_keywords, _xlfn._xlws.FILTER(CLASSIFICATION[[Keyword]:[Keyword]], ($E96=CLASSIFICATION[[Keyword Aggr]:[Keyword Aggr]])*($D96=CLASSIFICATION[[Functional Scope Aggr]:[Functional Scope Aggr]])),
_xlpm._platform_keywords, _xlfn.TEXTSPLIT(SUBSTITUTE(SUBSTITUTE(VLOOKUP($D96,_xlpm._platform_range,3,FALSE),"+"&amp;CHAR(34),"+"),CHAR(34),""),", "),
_xlpm._exists, SUMPRODUCT(--ISNUMBER(MATCH(_xlpm._platform_keywords,_xlpm._original_keywords,0)))&gt;0,
_xlfn.IFS(AND(_xlpm._exists,LEFT($E96,1)="+"),"+",_xlpm._exists,"*",NOT(_xlpm._exists),"")
)</f>
        <v/>
      </c>
      <c r="M96" s="33" t="str" cm="1">
        <f t="array" aca="1" ref="M96" ca="1">_xlfn.LET(
_xlpm._platform_range, INDIRECT("'Platform review'!$C"&amp;_xlfn.XMATCH(M$2,'Platform review'!$A$1:$A$127)&amp;":$E"&amp;_xlfn.XMATCH(M$2,'Platform review'!$A$1:$A$127)+19),
_xlpm._original_keywords, _xlfn._xlws.FILTER(CLASSIFICATION[[Keyword]:[Keyword]], ($E96=CLASSIFICATION[[Keyword Aggr]:[Keyword Aggr]])*($D96=CLASSIFICATION[[Functional Scope Aggr]:[Functional Scope Aggr]])),
_xlpm._platform_keywords, _xlfn.TEXTSPLIT(SUBSTITUTE(SUBSTITUTE(VLOOKUP($D96,_xlpm._platform_range,3,FALSE),"+"&amp;CHAR(34),"+"),CHAR(34),""),", "),
_xlpm._exists, SUMPRODUCT(--ISNUMBER(MATCH(_xlpm._platform_keywords,_xlpm._original_keywords,0)))&gt;0,
_xlfn.IFS(AND(_xlpm._exists,LEFT($E96,1)="+"),"+",_xlpm._exists,"*",NOT(_xlpm._exists),"")
)</f>
        <v/>
      </c>
      <c r="N96" s="33" t="str" cm="1">
        <f t="array" aca="1" ref="N96" ca="1">_xlfn.LET(
_xlpm._platform_range, INDIRECT("'Platform review'!$C"&amp;_xlfn.XMATCH(N$2,'Platform review'!$A$1:$A$127)&amp;":$E"&amp;_xlfn.XMATCH(N$2,'Platform review'!$A$1:$A$127)+19),
_xlpm._original_keywords, _xlfn._xlws.FILTER(CLASSIFICATION[[Keyword]:[Keyword]], ($E96=CLASSIFICATION[[Keyword Aggr]:[Keyword Aggr]])*($D96=CLASSIFICATION[[Functional Scope Aggr]:[Functional Scope Aggr]])),
_xlpm._platform_keywords, _xlfn.TEXTSPLIT(SUBSTITUTE(SUBSTITUTE(VLOOKUP($D96,_xlpm._platform_range,3,FALSE),"+"&amp;CHAR(34),"+"),CHAR(34),""),", "),
_xlpm._exists, SUMPRODUCT(--ISNUMBER(MATCH(_xlpm._platform_keywords,_xlpm._original_keywords,0)))&gt;0,
_xlfn.IFS(AND(_xlpm._exists,LEFT($E96,1)="+"),"+",_xlpm._exists,"*",NOT(_xlpm._exists),"")
)</f>
        <v/>
      </c>
      <c r="O96" s="33" t="str" cm="1">
        <f t="array" aca="1" ref="O96" ca="1">_xlfn.LET(
_xlpm._platform_range, INDIRECT("'Platform review'!$C"&amp;_xlfn.XMATCH(O$2,'Platform review'!$A$1:$A$127)&amp;":$E"&amp;_xlfn.XMATCH(O$2,'Platform review'!$A$1:$A$127)+19),
_xlpm._original_keywords, _xlfn._xlws.FILTER(CLASSIFICATION[[Keyword]:[Keyword]], ($E96=CLASSIFICATION[[Keyword Aggr]:[Keyword Aggr]])*($D96=CLASSIFICATION[[Functional Scope Aggr]:[Functional Scope Aggr]])),
_xlpm._platform_keywords, _xlfn.TEXTSPLIT(SUBSTITUTE(SUBSTITUTE(VLOOKUP($D96,_xlpm._platform_range,3,FALSE),"+"&amp;CHAR(34),"+"),CHAR(34),""),", "),
_xlpm._exists, SUMPRODUCT(--ISNUMBER(MATCH(_xlpm._platform_keywords,_xlpm._original_keywords,0)))&gt;0,
_xlfn.IFS(AND(_xlpm._exists,LEFT($E96,1)="+"),"+",_xlpm._exists,"*",NOT(_xlpm._exists),"")
)</f>
        <v/>
      </c>
      <c r="Q96" s="33" t="str">
        <f t="shared" si="15"/>
        <v/>
      </c>
      <c r="R96" s="33" t="str">
        <f t="shared" si="16"/>
        <v/>
      </c>
      <c r="S96" s="33" t="str">
        <f t="shared" si="17"/>
        <v/>
      </c>
      <c r="T96" s="33" t="str">
        <f t="shared" si="18"/>
        <v/>
      </c>
      <c r="U96" s="33" t="str">
        <f t="shared" si="19"/>
        <v/>
      </c>
      <c r="V96" s="33" t="str">
        <f t="shared" si="20"/>
        <v/>
      </c>
    </row>
    <row r="97" spans="1:22" x14ac:dyDescent="0.25">
      <c r="A97" s="19"/>
      <c r="B97" t="s">
        <v>377</v>
      </c>
      <c r="C97" s="19" t="e" cm="1">
        <f t="array" ref="C97">_xlfn.TEXTSPLIT(A97,",")</f>
        <v>#VALUE!</v>
      </c>
      <c r="D97" s="19"/>
      <c r="E97" s="19"/>
      <c r="F97" s="36" t="e" cm="1" vm="1">
        <f t="array" ref="F97">_xlfn.TEXTJOIN(",",TRUE,_xlfn._xlws.FILTER(CLASSIFICATION[Keyword], ($E97=CLASSIFICATION[Keyword Aggr])*($D97=CLASSIFICATION[Functional Scope Aggr])))</f>
        <v>#VALUE!</v>
      </c>
      <c r="G97" s="32" t="e">
        <f t="shared" si="14"/>
        <v>#VALUE!</v>
      </c>
      <c r="H97" s="32" t="str">
        <f t="shared" si="14"/>
        <v/>
      </c>
      <c r="I97" s="32">
        <f t="shared" si="21"/>
        <v>0</v>
      </c>
      <c r="J97" s="33" t="str" cm="1">
        <f t="array" aca="1" ref="J97" ca="1">_xlfn.LET(
_xlpm._platform_range, INDIRECT("'Platform review'!$C"&amp;_xlfn.XMATCH(J$2,'Platform review'!$A$1:$A$127)&amp;":$E"&amp;_xlfn.XMATCH(J$2,'Platform review'!$A$1:$A$127)+19),
_xlpm._original_keywords, _xlfn._xlws.FILTER(CLASSIFICATION[[Keyword]:[Keyword]], ($E97=CLASSIFICATION[[Keyword Aggr]:[Keyword Aggr]])*($D97=CLASSIFICATION[[Functional Scope Aggr]:[Functional Scope Aggr]])),
_xlpm._platform_keywords, _xlfn.TEXTSPLIT(SUBSTITUTE(SUBSTITUTE(VLOOKUP($D97,_xlpm._platform_range,3,FALSE),"+"&amp;CHAR(34),"+"),CHAR(34),""),", "),
_xlpm._exists, SUMPRODUCT(--ISNUMBER(MATCH(_xlpm._platform_keywords,_xlpm._original_keywords,0)))&gt;0,
_xlfn.IFS(AND(_xlpm._exists,LEFT($E97,1)="+"),"+",_xlpm._exists,"*",NOT(_xlpm._exists),"")
)</f>
        <v/>
      </c>
      <c r="K97" s="33" t="str" cm="1">
        <f t="array" aca="1" ref="K97" ca="1">_xlfn.LET(
_xlpm._platform_range, INDIRECT("'Platform review'!$C"&amp;_xlfn.XMATCH(K$2,'Platform review'!$A$1:$A$127)&amp;":$E"&amp;_xlfn.XMATCH(K$2,'Platform review'!$A$1:$A$127)+19),
_xlpm._original_keywords, _xlfn._xlws.FILTER(CLASSIFICATION[[Keyword]:[Keyword]], ($E97=CLASSIFICATION[[Keyword Aggr]:[Keyword Aggr]])*($D97=CLASSIFICATION[[Functional Scope Aggr]:[Functional Scope Aggr]])),
_xlpm._platform_keywords, _xlfn.TEXTSPLIT(SUBSTITUTE(SUBSTITUTE(VLOOKUP($D97,_xlpm._platform_range,3,FALSE),"+"&amp;CHAR(34),"+"),CHAR(34),""),", "),
_xlpm._exists, SUMPRODUCT(--ISNUMBER(MATCH(_xlpm._platform_keywords,_xlpm._original_keywords,0)))&gt;0,
_xlfn.IFS(AND(_xlpm._exists,LEFT($E97,1)="+"),"+",_xlpm._exists,"*",NOT(_xlpm._exists),"")
)</f>
        <v/>
      </c>
      <c r="L97" s="33" t="str" cm="1">
        <f t="array" aca="1" ref="L97" ca="1">_xlfn.LET(
_xlpm._platform_range, INDIRECT("'Platform review'!$C"&amp;_xlfn.XMATCH(L$2,'Platform review'!$A$1:$A$127)&amp;":$E"&amp;_xlfn.XMATCH(L$2,'Platform review'!$A$1:$A$127)+19),
_xlpm._original_keywords, _xlfn._xlws.FILTER(CLASSIFICATION[[Keyword]:[Keyword]], ($E97=CLASSIFICATION[[Keyword Aggr]:[Keyword Aggr]])*($D97=CLASSIFICATION[[Functional Scope Aggr]:[Functional Scope Aggr]])),
_xlpm._platform_keywords, _xlfn.TEXTSPLIT(SUBSTITUTE(SUBSTITUTE(VLOOKUP($D97,_xlpm._platform_range,3,FALSE),"+"&amp;CHAR(34),"+"),CHAR(34),""),", "),
_xlpm._exists, SUMPRODUCT(--ISNUMBER(MATCH(_xlpm._platform_keywords,_xlpm._original_keywords,0)))&gt;0,
_xlfn.IFS(AND(_xlpm._exists,LEFT($E97,1)="+"),"+",_xlpm._exists,"*",NOT(_xlpm._exists),"")
)</f>
        <v/>
      </c>
      <c r="M97" s="33" t="str" cm="1">
        <f t="array" aca="1" ref="M97" ca="1">_xlfn.LET(
_xlpm._platform_range, INDIRECT("'Platform review'!$C"&amp;_xlfn.XMATCH(M$2,'Platform review'!$A$1:$A$127)&amp;":$E"&amp;_xlfn.XMATCH(M$2,'Platform review'!$A$1:$A$127)+19),
_xlpm._original_keywords, _xlfn._xlws.FILTER(CLASSIFICATION[[Keyword]:[Keyword]], ($E97=CLASSIFICATION[[Keyword Aggr]:[Keyword Aggr]])*($D97=CLASSIFICATION[[Functional Scope Aggr]:[Functional Scope Aggr]])),
_xlpm._platform_keywords, _xlfn.TEXTSPLIT(SUBSTITUTE(SUBSTITUTE(VLOOKUP($D97,_xlpm._platform_range,3,FALSE),"+"&amp;CHAR(34),"+"),CHAR(34),""),", "),
_xlpm._exists, SUMPRODUCT(--ISNUMBER(MATCH(_xlpm._platform_keywords,_xlpm._original_keywords,0)))&gt;0,
_xlfn.IFS(AND(_xlpm._exists,LEFT($E97,1)="+"),"+",_xlpm._exists,"*",NOT(_xlpm._exists),"")
)</f>
        <v/>
      </c>
      <c r="N97" s="33" t="str" cm="1">
        <f t="array" aca="1" ref="N97" ca="1">_xlfn.LET(
_xlpm._platform_range, INDIRECT("'Platform review'!$C"&amp;_xlfn.XMATCH(N$2,'Platform review'!$A$1:$A$127)&amp;":$E"&amp;_xlfn.XMATCH(N$2,'Platform review'!$A$1:$A$127)+19),
_xlpm._original_keywords, _xlfn._xlws.FILTER(CLASSIFICATION[[Keyword]:[Keyword]], ($E97=CLASSIFICATION[[Keyword Aggr]:[Keyword Aggr]])*($D97=CLASSIFICATION[[Functional Scope Aggr]:[Functional Scope Aggr]])),
_xlpm._platform_keywords, _xlfn.TEXTSPLIT(SUBSTITUTE(SUBSTITUTE(VLOOKUP($D97,_xlpm._platform_range,3,FALSE),"+"&amp;CHAR(34),"+"),CHAR(34),""),", "),
_xlpm._exists, SUMPRODUCT(--ISNUMBER(MATCH(_xlpm._platform_keywords,_xlpm._original_keywords,0)))&gt;0,
_xlfn.IFS(AND(_xlpm._exists,LEFT($E97,1)="+"),"+",_xlpm._exists,"*",NOT(_xlpm._exists),"")
)</f>
        <v/>
      </c>
      <c r="O97" s="33" t="str" cm="1">
        <f t="array" aca="1" ref="O97" ca="1">_xlfn.LET(
_xlpm._platform_range, INDIRECT("'Platform review'!$C"&amp;_xlfn.XMATCH(O$2,'Platform review'!$A$1:$A$127)&amp;":$E"&amp;_xlfn.XMATCH(O$2,'Platform review'!$A$1:$A$127)+19),
_xlpm._original_keywords, _xlfn._xlws.FILTER(CLASSIFICATION[[Keyword]:[Keyword]], ($E97=CLASSIFICATION[[Keyword Aggr]:[Keyword Aggr]])*($D97=CLASSIFICATION[[Functional Scope Aggr]:[Functional Scope Aggr]])),
_xlpm._platform_keywords, _xlfn.TEXTSPLIT(SUBSTITUTE(SUBSTITUTE(VLOOKUP($D97,_xlpm._platform_range,3,FALSE),"+"&amp;CHAR(34),"+"),CHAR(34),""),", "),
_xlpm._exists, SUMPRODUCT(--ISNUMBER(MATCH(_xlpm._platform_keywords,_xlpm._original_keywords,0)))&gt;0,
_xlfn.IFS(AND(_xlpm._exists,LEFT($E97,1)="+"),"+",_xlpm._exists,"*",NOT(_xlpm._exists),"")
)</f>
        <v/>
      </c>
      <c r="Q97" s="33" t="str">
        <f t="shared" si="15"/>
        <v/>
      </c>
      <c r="R97" s="33" t="str">
        <f t="shared" si="16"/>
        <v/>
      </c>
      <c r="S97" s="33" t="str">
        <f t="shared" si="17"/>
        <v/>
      </c>
      <c r="T97" s="33" t="str">
        <f t="shared" si="18"/>
        <v/>
      </c>
      <c r="U97" s="33" t="str">
        <f t="shared" si="19"/>
        <v/>
      </c>
      <c r="V97" s="33" t="str">
        <f t="shared" si="20"/>
        <v/>
      </c>
    </row>
    <row r="98" spans="1:22" x14ac:dyDescent="0.25">
      <c r="A98" s="19"/>
      <c r="B98" t="s">
        <v>377</v>
      </c>
      <c r="C98" s="19" t="e" cm="1">
        <f t="array" ref="C98">_xlfn.TEXTSPLIT(A98,",")</f>
        <v>#VALUE!</v>
      </c>
      <c r="D98" s="19"/>
      <c r="E98" s="19"/>
      <c r="F98" s="36" t="e" cm="1" vm="1">
        <f t="array" ref="F98">_xlfn.TEXTJOIN(",",TRUE,_xlfn._xlws.FILTER(CLASSIFICATION[Keyword], ($E98=CLASSIFICATION[Keyword Aggr])*($D98=CLASSIFICATION[Functional Scope Aggr])))</f>
        <v>#VALUE!</v>
      </c>
      <c r="G98" s="32" t="e">
        <f t="shared" si="14"/>
        <v>#VALUE!</v>
      </c>
      <c r="H98" s="32" t="str">
        <f t="shared" si="14"/>
        <v/>
      </c>
      <c r="I98" s="32">
        <f t="shared" si="21"/>
        <v>0</v>
      </c>
      <c r="J98" s="33" t="str" cm="1">
        <f t="array" aca="1" ref="J98" ca="1">_xlfn.LET(
_xlpm._platform_range, INDIRECT("'Platform review'!$C"&amp;_xlfn.XMATCH(J$2,'Platform review'!$A$1:$A$127)&amp;":$E"&amp;_xlfn.XMATCH(J$2,'Platform review'!$A$1:$A$127)+19),
_xlpm._original_keywords, _xlfn._xlws.FILTER(CLASSIFICATION[[Keyword]:[Keyword]], ($E98=CLASSIFICATION[[Keyword Aggr]:[Keyword Aggr]])*($D98=CLASSIFICATION[[Functional Scope Aggr]:[Functional Scope Aggr]])),
_xlpm._platform_keywords, _xlfn.TEXTSPLIT(SUBSTITUTE(SUBSTITUTE(VLOOKUP($D98,_xlpm._platform_range,3,FALSE),"+"&amp;CHAR(34),"+"),CHAR(34),""),", "),
_xlpm._exists, SUMPRODUCT(--ISNUMBER(MATCH(_xlpm._platform_keywords,_xlpm._original_keywords,0)))&gt;0,
_xlfn.IFS(AND(_xlpm._exists,LEFT($E98,1)="+"),"+",_xlpm._exists,"*",NOT(_xlpm._exists),"")
)</f>
        <v/>
      </c>
      <c r="K98" s="33" t="str" cm="1">
        <f t="array" aca="1" ref="K98" ca="1">_xlfn.LET(
_xlpm._platform_range, INDIRECT("'Platform review'!$C"&amp;_xlfn.XMATCH(K$2,'Platform review'!$A$1:$A$127)&amp;":$E"&amp;_xlfn.XMATCH(K$2,'Platform review'!$A$1:$A$127)+19),
_xlpm._original_keywords, _xlfn._xlws.FILTER(CLASSIFICATION[[Keyword]:[Keyword]], ($E98=CLASSIFICATION[[Keyword Aggr]:[Keyword Aggr]])*($D98=CLASSIFICATION[[Functional Scope Aggr]:[Functional Scope Aggr]])),
_xlpm._platform_keywords, _xlfn.TEXTSPLIT(SUBSTITUTE(SUBSTITUTE(VLOOKUP($D98,_xlpm._platform_range,3,FALSE),"+"&amp;CHAR(34),"+"),CHAR(34),""),", "),
_xlpm._exists, SUMPRODUCT(--ISNUMBER(MATCH(_xlpm._platform_keywords,_xlpm._original_keywords,0)))&gt;0,
_xlfn.IFS(AND(_xlpm._exists,LEFT($E98,1)="+"),"+",_xlpm._exists,"*",NOT(_xlpm._exists),"")
)</f>
        <v/>
      </c>
      <c r="L98" s="33" t="str" cm="1">
        <f t="array" aca="1" ref="L98" ca="1">_xlfn.LET(
_xlpm._platform_range, INDIRECT("'Platform review'!$C"&amp;_xlfn.XMATCH(L$2,'Platform review'!$A$1:$A$127)&amp;":$E"&amp;_xlfn.XMATCH(L$2,'Platform review'!$A$1:$A$127)+19),
_xlpm._original_keywords, _xlfn._xlws.FILTER(CLASSIFICATION[[Keyword]:[Keyword]], ($E98=CLASSIFICATION[[Keyword Aggr]:[Keyword Aggr]])*($D98=CLASSIFICATION[[Functional Scope Aggr]:[Functional Scope Aggr]])),
_xlpm._platform_keywords, _xlfn.TEXTSPLIT(SUBSTITUTE(SUBSTITUTE(VLOOKUP($D98,_xlpm._platform_range,3,FALSE),"+"&amp;CHAR(34),"+"),CHAR(34),""),", "),
_xlpm._exists, SUMPRODUCT(--ISNUMBER(MATCH(_xlpm._platform_keywords,_xlpm._original_keywords,0)))&gt;0,
_xlfn.IFS(AND(_xlpm._exists,LEFT($E98,1)="+"),"+",_xlpm._exists,"*",NOT(_xlpm._exists),"")
)</f>
        <v/>
      </c>
      <c r="M98" s="33" t="str" cm="1">
        <f t="array" aca="1" ref="M98" ca="1">_xlfn.LET(
_xlpm._platform_range, INDIRECT("'Platform review'!$C"&amp;_xlfn.XMATCH(M$2,'Platform review'!$A$1:$A$127)&amp;":$E"&amp;_xlfn.XMATCH(M$2,'Platform review'!$A$1:$A$127)+19),
_xlpm._original_keywords, _xlfn._xlws.FILTER(CLASSIFICATION[[Keyword]:[Keyword]], ($E98=CLASSIFICATION[[Keyword Aggr]:[Keyword Aggr]])*($D98=CLASSIFICATION[[Functional Scope Aggr]:[Functional Scope Aggr]])),
_xlpm._platform_keywords, _xlfn.TEXTSPLIT(SUBSTITUTE(SUBSTITUTE(VLOOKUP($D98,_xlpm._platform_range,3,FALSE),"+"&amp;CHAR(34),"+"),CHAR(34),""),", "),
_xlpm._exists, SUMPRODUCT(--ISNUMBER(MATCH(_xlpm._platform_keywords,_xlpm._original_keywords,0)))&gt;0,
_xlfn.IFS(AND(_xlpm._exists,LEFT($E98,1)="+"),"+",_xlpm._exists,"*",NOT(_xlpm._exists),"")
)</f>
        <v/>
      </c>
      <c r="N98" s="33" t="str" cm="1">
        <f t="array" aca="1" ref="N98" ca="1">_xlfn.LET(
_xlpm._platform_range, INDIRECT("'Platform review'!$C"&amp;_xlfn.XMATCH(N$2,'Platform review'!$A$1:$A$127)&amp;":$E"&amp;_xlfn.XMATCH(N$2,'Platform review'!$A$1:$A$127)+19),
_xlpm._original_keywords, _xlfn._xlws.FILTER(CLASSIFICATION[[Keyword]:[Keyword]], ($E98=CLASSIFICATION[[Keyword Aggr]:[Keyword Aggr]])*($D98=CLASSIFICATION[[Functional Scope Aggr]:[Functional Scope Aggr]])),
_xlpm._platform_keywords, _xlfn.TEXTSPLIT(SUBSTITUTE(SUBSTITUTE(VLOOKUP($D98,_xlpm._platform_range,3,FALSE),"+"&amp;CHAR(34),"+"),CHAR(34),""),", "),
_xlpm._exists, SUMPRODUCT(--ISNUMBER(MATCH(_xlpm._platform_keywords,_xlpm._original_keywords,0)))&gt;0,
_xlfn.IFS(AND(_xlpm._exists,LEFT($E98,1)="+"),"+",_xlpm._exists,"*",NOT(_xlpm._exists),"")
)</f>
        <v/>
      </c>
      <c r="O98" s="33" t="str" cm="1">
        <f t="array" aca="1" ref="O98" ca="1">_xlfn.LET(
_xlpm._platform_range, INDIRECT("'Platform review'!$C"&amp;_xlfn.XMATCH(O$2,'Platform review'!$A$1:$A$127)&amp;":$E"&amp;_xlfn.XMATCH(O$2,'Platform review'!$A$1:$A$127)+19),
_xlpm._original_keywords, _xlfn._xlws.FILTER(CLASSIFICATION[[Keyword]:[Keyword]], ($E98=CLASSIFICATION[[Keyword Aggr]:[Keyword Aggr]])*($D98=CLASSIFICATION[[Functional Scope Aggr]:[Functional Scope Aggr]])),
_xlpm._platform_keywords, _xlfn.TEXTSPLIT(SUBSTITUTE(SUBSTITUTE(VLOOKUP($D98,_xlpm._platform_range,3,FALSE),"+"&amp;CHAR(34),"+"),CHAR(34),""),", "),
_xlpm._exists, SUMPRODUCT(--ISNUMBER(MATCH(_xlpm._platform_keywords,_xlpm._original_keywords,0)))&gt;0,
_xlfn.IFS(AND(_xlpm._exists,LEFT($E98,1)="+"),"+",_xlpm._exists,"*",NOT(_xlpm._exists),"")
)</f>
        <v/>
      </c>
      <c r="Q98" s="33" t="str">
        <f t="shared" si="15"/>
        <v/>
      </c>
      <c r="R98" s="33" t="str">
        <f t="shared" si="16"/>
        <v/>
      </c>
      <c r="S98" s="33" t="str">
        <f t="shared" si="17"/>
        <v/>
      </c>
      <c r="T98" s="33" t="str">
        <f t="shared" si="18"/>
        <v/>
      </c>
      <c r="U98" s="33" t="str">
        <f t="shared" si="19"/>
        <v/>
      </c>
      <c r="V98" s="33" t="str">
        <f t="shared" si="20"/>
        <v/>
      </c>
    </row>
    <row r="99" spans="1:22" x14ac:dyDescent="0.25">
      <c r="A99" s="19"/>
      <c r="B99" t="s">
        <v>377</v>
      </c>
      <c r="C99" s="19" t="e" cm="1">
        <f t="array" ref="C99">_xlfn.TEXTSPLIT(A99,",")</f>
        <v>#VALUE!</v>
      </c>
      <c r="D99" s="19"/>
      <c r="E99" s="19"/>
      <c r="F99" s="36" t="e" cm="1" vm="1">
        <f t="array" ref="F99">_xlfn.TEXTJOIN(",",TRUE,_xlfn._xlws.FILTER(CLASSIFICATION[Keyword], ($E99=CLASSIFICATION[Keyword Aggr])*($D99=CLASSIFICATION[Functional Scope Aggr])))</f>
        <v>#VALUE!</v>
      </c>
      <c r="G99" s="32" t="e">
        <f t="shared" si="14"/>
        <v>#VALUE!</v>
      </c>
      <c r="H99" s="32" t="str">
        <f t="shared" si="14"/>
        <v/>
      </c>
      <c r="I99" s="32">
        <f t="shared" si="21"/>
        <v>0</v>
      </c>
      <c r="J99" s="33" t="str" cm="1">
        <f t="array" aca="1" ref="J99" ca="1">_xlfn.LET(
_xlpm._platform_range, INDIRECT("'Platform review'!$C"&amp;_xlfn.XMATCH(J$2,'Platform review'!$A$1:$A$127)&amp;":$E"&amp;_xlfn.XMATCH(J$2,'Platform review'!$A$1:$A$127)+19),
_xlpm._original_keywords, _xlfn._xlws.FILTER(CLASSIFICATION[[Keyword]:[Keyword]], ($E99=CLASSIFICATION[[Keyword Aggr]:[Keyword Aggr]])*($D99=CLASSIFICATION[[Functional Scope Aggr]:[Functional Scope Aggr]])),
_xlpm._platform_keywords, _xlfn.TEXTSPLIT(SUBSTITUTE(SUBSTITUTE(VLOOKUP($D99,_xlpm._platform_range,3,FALSE),"+"&amp;CHAR(34),"+"),CHAR(34),""),", "),
_xlpm._exists, SUMPRODUCT(--ISNUMBER(MATCH(_xlpm._platform_keywords,_xlpm._original_keywords,0)))&gt;0,
_xlfn.IFS(AND(_xlpm._exists,LEFT($E99,1)="+"),"+",_xlpm._exists,"*",NOT(_xlpm._exists),"")
)</f>
        <v/>
      </c>
      <c r="K99" s="33" t="str" cm="1">
        <f t="array" aca="1" ref="K99" ca="1">_xlfn.LET(
_xlpm._platform_range, INDIRECT("'Platform review'!$C"&amp;_xlfn.XMATCH(K$2,'Platform review'!$A$1:$A$127)&amp;":$E"&amp;_xlfn.XMATCH(K$2,'Platform review'!$A$1:$A$127)+19),
_xlpm._original_keywords, _xlfn._xlws.FILTER(CLASSIFICATION[[Keyword]:[Keyword]], ($E99=CLASSIFICATION[[Keyword Aggr]:[Keyword Aggr]])*($D99=CLASSIFICATION[[Functional Scope Aggr]:[Functional Scope Aggr]])),
_xlpm._platform_keywords, _xlfn.TEXTSPLIT(SUBSTITUTE(SUBSTITUTE(VLOOKUP($D99,_xlpm._platform_range,3,FALSE),"+"&amp;CHAR(34),"+"),CHAR(34),""),", "),
_xlpm._exists, SUMPRODUCT(--ISNUMBER(MATCH(_xlpm._platform_keywords,_xlpm._original_keywords,0)))&gt;0,
_xlfn.IFS(AND(_xlpm._exists,LEFT($E99,1)="+"),"+",_xlpm._exists,"*",NOT(_xlpm._exists),"")
)</f>
        <v/>
      </c>
      <c r="L99" s="33" t="str" cm="1">
        <f t="array" aca="1" ref="L99" ca="1">_xlfn.LET(
_xlpm._platform_range, INDIRECT("'Platform review'!$C"&amp;_xlfn.XMATCH(L$2,'Platform review'!$A$1:$A$127)&amp;":$E"&amp;_xlfn.XMATCH(L$2,'Platform review'!$A$1:$A$127)+19),
_xlpm._original_keywords, _xlfn._xlws.FILTER(CLASSIFICATION[[Keyword]:[Keyword]], ($E99=CLASSIFICATION[[Keyword Aggr]:[Keyword Aggr]])*($D99=CLASSIFICATION[[Functional Scope Aggr]:[Functional Scope Aggr]])),
_xlpm._platform_keywords, _xlfn.TEXTSPLIT(SUBSTITUTE(SUBSTITUTE(VLOOKUP($D99,_xlpm._platform_range,3,FALSE),"+"&amp;CHAR(34),"+"),CHAR(34),""),", "),
_xlpm._exists, SUMPRODUCT(--ISNUMBER(MATCH(_xlpm._platform_keywords,_xlpm._original_keywords,0)))&gt;0,
_xlfn.IFS(AND(_xlpm._exists,LEFT($E99,1)="+"),"+",_xlpm._exists,"*",NOT(_xlpm._exists),"")
)</f>
        <v/>
      </c>
      <c r="M99" s="33" t="str" cm="1">
        <f t="array" aca="1" ref="M99" ca="1">_xlfn.LET(
_xlpm._platform_range, INDIRECT("'Platform review'!$C"&amp;_xlfn.XMATCH(M$2,'Platform review'!$A$1:$A$127)&amp;":$E"&amp;_xlfn.XMATCH(M$2,'Platform review'!$A$1:$A$127)+19),
_xlpm._original_keywords, _xlfn._xlws.FILTER(CLASSIFICATION[[Keyword]:[Keyword]], ($E99=CLASSIFICATION[[Keyword Aggr]:[Keyword Aggr]])*($D99=CLASSIFICATION[[Functional Scope Aggr]:[Functional Scope Aggr]])),
_xlpm._platform_keywords, _xlfn.TEXTSPLIT(SUBSTITUTE(SUBSTITUTE(VLOOKUP($D99,_xlpm._platform_range,3,FALSE),"+"&amp;CHAR(34),"+"),CHAR(34),""),", "),
_xlpm._exists, SUMPRODUCT(--ISNUMBER(MATCH(_xlpm._platform_keywords,_xlpm._original_keywords,0)))&gt;0,
_xlfn.IFS(AND(_xlpm._exists,LEFT($E99,1)="+"),"+",_xlpm._exists,"*",NOT(_xlpm._exists),"")
)</f>
        <v/>
      </c>
      <c r="N99" s="33" t="str" cm="1">
        <f t="array" aca="1" ref="N99" ca="1">_xlfn.LET(
_xlpm._platform_range, INDIRECT("'Platform review'!$C"&amp;_xlfn.XMATCH(N$2,'Platform review'!$A$1:$A$127)&amp;":$E"&amp;_xlfn.XMATCH(N$2,'Platform review'!$A$1:$A$127)+19),
_xlpm._original_keywords, _xlfn._xlws.FILTER(CLASSIFICATION[[Keyword]:[Keyword]], ($E99=CLASSIFICATION[[Keyword Aggr]:[Keyword Aggr]])*($D99=CLASSIFICATION[[Functional Scope Aggr]:[Functional Scope Aggr]])),
_xlpm._platform_keywords, _xlfn.TEXTSPLIT(SUBSTITUTE(SUBSTITUTE(VLOOKUP($D99,_xlpm._platform_range,3,FALSE),"+"&amp;CHAR(34),"+"),CHAR(34),""),", "),
_xlpm._exists, SUMPRODUCT(--ISNUMBER(MATCH(_xlpm._platform_keywords,_xlpm._original_keywords,0)))&gt;0,
_xlfn.IFS(AND(_xlpm._exists,LEFT($E99,1)="+"),"+",_xlpm._exists,"*",NOT(_xlpm._exists),"")
)</f>
        <v/>
      </c>
      <c r="O99" s="33" t="str" cm="1">
        <f t="array" aca="1" ref="O99" ca="1">_xlfn.LET(
_xlpm._platform_range, INDIRECT("'Platform review'!$C"&amp;_xlfn.XMATCH(O$2,'Platform review'!$A$1:$A$127)&amp;":$E"&amp;_xlfn.XMATCH(O$2,'Platform review'!$A$1:$A$127)+19),
_xlpm._original_keywords, _xlfn._xlws.FILTER(CLASSIFICATION[[Keyword]:[Keyword]], ($E99=CLASSIFICATION[[Keyword Aggr]:[Keyword Aggr]])*($D99=CLASSIFICATION[[Functional Scope Aggr]:[Functional Scope Aggr]])),
_xlpm._platform_keywords, _xlfn.TEXTSPLIT(SUBSTITUTE(SUBSTITUTE(VLOOKUP($D99,_xlpm._platform_range,3,FALSE),"+"&amp;CHAR(34),"+"),CHAR(34),""),", "),
_xlpm._exists, SUMPRODUCT(--ISNUMBER(MATCH(_xlpm._platform_keywords,_xlpm._original_keywords,0)))&gt;0,
_xlfn.IFS(AND(_xlpm._exists,LEFT($E99,1)="+"),"+",_xlpm._exists,"*",NOT(_xlpm._exists),"")
)</f>
        <v/>
      </c>
      <c r="Q99" s="33" t="str">
        <f t="shared" si="15"/>
        <v/>
      </c>
      <c r="R99" s="33" t="str">
        <f t="shared" si="16"/>
        <v/>
      </c>
      <c r="S99" s="33" t="str">
        <f t="shared" si="17"/>
        <v/>
      </c>
      <c r="T99" s="33" t="str">
        <f t="shared" si="18"/>
        <v/>
      </c>
      <c r="U99" s="33" t="str">
        <f t="shared" si="19"/>
        <v/>
      </c>
      <c r="V99" s="33" t="str">
        <f t="shared" si="20"/>
        <v/>
      </c>
    </row>
    <row r="100" spans="1:22" x14ac:dyDescent="0.25">
      <c r="A100" s="19"/>
      <c r="B100" t="s">
        <v>377</v>
      </c>
      <c r="C100" s="19" t="e" cm="1">
        <f t="array" ref="C100">_xlfn.TEXTSPLIT(A100,",")</f>
        <v>#VALUE!</v>
      </c>
      <c r="D100" s="19"/>
      <c r="E100" s="19"/>
      <c r="F100" s="36" t="e" cm="1" vm="1">
        <f t="array" ref="F100">_xlfn.TEXTJOIN(",",TRUE,_xlfn._xlws.FILTER(CLASSIFICATION[Keyword], ($E100=CLASSIFICATION[Keyword Aggr])*($D100=CLASSIFICATION[Functional Scope Aggr])))</f>
        <v>#VALUE!</v>
      </c>
      <c r="G100" s="32" t="e">
        <f t="shared" si="14"/>
        <v>#VALUE!</v>
      </c>
      <c r="H100" s="32" t="str">
        <f t="shared" si="14"/>
        <v/>
      </c>
      <c r="I100" s="32">
        <f t="shared" si="21"/>
        <v>0</v>
      </c>
      <c r="J100" s="33" t="str" cm="1">
        <f t="array" aca="1" ref="J100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($E100=CLASSIFICATION[[Keyword Aggr]:[Keyword Aggr]])*($D100=CLASSIFICATION[[Functional Scope Aggr]:[Functional Scope Aggr]])),
_xlpm._platform_keywords, _xlfn.TEXTSPLIT(SUBSTITUTE(SUBSTITUTE(VLOOKUP($D100,_xlpm._platform_range,3,FALSE),"+"&amp;CHAR(34),"+"),CHAR(34),""),", "),
_xlpm._exists, SUMPRODUCT(--ISNUMBER(MATCH(_xlpm._platform_keywords,_xlpm._original_keywords,0)))&gt;0,
_xlfn.IFS(AND(_xlpm._exists,LEFT($E100,1)="+"),"+",_xlpm._exists,"*",NOT(_xlpm._exists),"")
)</f>
        <v/>
      </c>
      <c r="K100" s="33" t="str" cm="1">
        <f t="array" aca="1" ref="K100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($E100=CLASSIFICATION[[Keyword Aggr]:[Keyword Aggr]])*($D100=CLASSIFICATION[[Functional Scope Aggr]:[Functional Scope Aggr]])),
_xlpm._platform_keywords, _xlfn.TEXTSPLIT(SUBSTITUTE(SUBSTITUTE(VLOOKUP($D100,_xlpm._platform_range,3,FALSE),"+"&amp;CHAR(34),"+"),CHAR(34),""),", "),
_xlpm._exists, SUMPRODUCT(--ISNUMBER(MATCH(_xlpm._platform_keywords,_xlpm._original_keywords,0)))&gt;0,
_xlfn.IFS(AND(_xlpm._exists,LEFT($E100,1)="+"),"+",_xlpm._exists,"*",NOT(_xlpm._exists),"")
)</f>
        <v/>
      </c>
      <c r="L100" s="33" t="str" cm="1">
        <f t="array" aca="1" ref="L100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($E100=CLASSIFICATION[[Keyword Aggr]:[Keyword Aggr]])*($D100=CLASSIFICATION[[Functional Scope Aggr]:[Functional Scope Aggr]])),
_xlpm._platform_keywords, _xlfn.TEXTSPLIT(SUBSTITUTE(SUBSTITUTE(VLOOKUP($D100,_xlpm._platform_range,3,FALSE),"+"&amp;CHAR(34),"+"),CHAR(34),""),", "),
_xlpm._exists, SUMPRODUCT(--ISNUMBER(MATCH(_xlpm._platform_keywords,_xlpm._original_keywords,0)))&gt;0,
_xlfn.IFS(AND(_xlpm._exists,LEFT($E100,1)="+"),"+",_xlpm._exists,"*",NOT(_xlpm._exists),"")
)</f>
        <v/>
      </c>
      <c r="M100" s="33" t="str" cm="1">
        <f t="array" aca="1" ref="M100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($E100=CLASSIFICATION[[Keyword Aggr]:[Keyword Aggr]])*($D100=CLASSIFICATION[[Functional Scope Aggr]:[Functional Scope Aggr]])),
_xlpm._platform_keywords, _xlfn.TEXTSPLIT(SUBSTITUTE(SUBSTITUTE(VLOOKUP($D100,_xlpm._platform_range,3,FALSE),"+"&amp;CHAR(34),"+"),CHAR(34),""),", "),
_xlpm._exists, SUMPRODUCT(--ISNUMBER(MATCH(_xlpm._platform_keywords,_xlpm._original_keywords,0)))&gt;0,
_xlfn.IFS(AND(_xlpm._exists,LEFT($E100,1)="+"),"+",_xlpm._exists,"*",NOT(_xlpm._exists),"")
)</f>
        <v/>
      </c>
      <c r="N100" s="33" t="str" cm="1">
        <f t="array" aca="1" ref="N100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($E100=CLASSIFICATION[[Keyword Aggr]:[Keyword Aggr]])*($D100=CLASSIFICATION[[Functional Scope Aggr]:[Functional Scope Aggr]])),
_xlpm._platform_keywords, _xlfn.TEXTSPLIT(SUBSTITUTE(SUBSTITUTE(VLOOKUP($D100,_xlpm._platform_range,3,FALSE),"+"&amp;CHAR(34),"+"),CHAR(34),""),", "),
_xlpm._exists, SUMPRODUCT(--ISNUMBER(MATCH(_xlpm._platform_keywords,_xlpm._original_keywords,0)))&gt;0,
_xlfn.IFS(AND(_xlpm._exists,LEFT($E100,1)="+"),"+",_xlpm._exists,"*",NOT(_xlpm._exists),"")
)</f>
        <v/>
      </c>
      <c r="O100" s="33" t="str" cm="1">
        <f t="array" aca="1" ref="O100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($E100=CLASSIFICATION[[Keyword Aggr]:[Keyword Aggr]])*($D100=CLASSIFICATION[[Functional Scope Aggr]:[Functional Scope Aggr]])),
_xlpm._platform_keywords, _xlfn.TEXTSPLIT(SUBSTITUTE(SUBSTITUTE(VLOOKUP($D100,_xlpm._platform_range,3,FALSE),"+"&amp;CHAR(34),"+"),CHAR(34),""),", "),
_xlpm._exists, SUMPRODUCT(--ISNUMBER(MATCH(_xlpm._platform_keywords,_xlpm._original_keywords,0)))&gt;0,
_xlfn.IFS(AND(_xlpm._exists,LEFT($E100,1)="+"),"+",_xlpm._exists,"*",NOT(_xlpm._exists),"")
)</f>
        <v/>
      </c>
      <c r="Q100" s="33" t="str">
        <f t="shared" si="15"/>
        <v/>
      </c>
      <c r="R100" s="33" t="str">
        <f t="shared" si="16"/>
        <v/>
      </c>
      <c r="S100" s="33" t="str">
        <f t="shared" si="17"/>
        <v/>
      </c>
      <c r="T100" s="33" t="str">
        <f t="shared" si="18"/>
        <v/>
      </c>
      <c r="U100" s="33" t="str">
        <f t="shared" si="19"/>
        <v/>
      </c>
      <c r="V100" s="33" t="str">
        <f t="shared" si="20"/>
        <v/>
      </c>
    </row>
    <row r="101" spans="1:22" x14ac:dyDescent="0.25">
      <c r="A101" s="19"/>
      <c r="B101" t="s">
        <v>377</v>
      </c>
      <c r="C101" s="19" t="e" cm="1">
        <f t="array" ref="C101">_xlfn.TEXTSPLIT(A101,",")</f>
        <v>#VALUE!</v>
      </c>
      <c r="D101" s="19"/>
      <c r="E101" s="19"/>
      <c r="F101" s="36" t="e" cm="1" vm="1">
        <f t="array" ref="F101">_xlfn.TEXTJOIN(",",TRUE,_xlfn._xlws.FILTER(CLASSIFICATION[Keyword], ($E101=CLASSIFICATION[Keyword Aggr])*($D101=CLASSIFICATION[Functional Scope Aggr])))</f>
        <v>#VALUE!</v>
      </c>
      <c r="G101" s="32" t="e">
        <f t="shared" si="14"/>
        <v>#VALUE!</v>
      </c>
      <c r="H101" s="32" t="str">
        <f t="shared" si="14"/>
        <v/>
      </c>
      <c r="I101" s="32">
        <f t="shared" si="21"/>
        <v>0</v>
      </c>
      <c r="J101" s="33" t="str" cm="1">
        <f t="array" aca="1" ref="J101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($E101=CLASSIFICATION[[Keyword Aggr]:[Keyword Aggr]])*($D101=CLASSIFICATION[[Functional Scope Aggr]:[Functional Scope Aggr]])),
_xlpm._platform_keywords, _xlfn.TEXTSPLIT(SUBSTITUTE(SUBSTITUTE(VLOOKUP($D101,_xlpm._platform_range,3,FALSE),"+"&amp;CHAR(34),"+"),CHAR(34),""),", "),
_xlpm._exists, SUMPRODUCT(--ISNUMBER(MATCH(_xlpm._platform_keywords,_xlpm._original_keywords,0)))&gt;0,
_xlfn.IFS(AND(_xlpm._exists,LEFT($E101,1)="+"),"+",_xlpm._exists,"*",NOT(_xlpm._exists),"")
)</f>
        <v/>
      </c>
      <c r="K101" s="33" t="str" cm="1">
        <f t="array" aca="1" ref="K101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($E101=CLASSIFICATION[[Keyword Aggr]:[Keyword Aggr]])*($D101=CLASSIFICATION[[Functional Scope Aggr]:[Functional Scope Aggr]])),
_xlpm._platform_keywords, _xlfn.TEXTSPLIT(SUBSTITUTE(SUBSTITUTE(VLOOKUP($D101,_xlpm._platform_range,3,FALSE),"+"&amp;CHAR(34),"+"),CHAR(34),""),", "),
_xlpm._exists, SUMPRODUCT(--ISNUMBER(MATCH(_xlpm._platform_keywords,_xlpm._original_keywords,0)))&gt;0,
_xlfn.IFS(AND(_xlpm._exists,LEFT($E101,1)="+"),"+",_xlpm._exists,"*",NOT(_xlpm._exists),"")
)</f>
        <v/>
      </c>
      <c r="L101" s="33" t="str" cm="1">
        <f t="array" aca="1" ref="L101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($E101=CLASSIFICATION[[Keyword Aggr]:[Keyword Aggr]])*($D101=CLASSIFICATION[[Functional Scope Aggr]:[Functional Scope Aggr]])),
_xlpm._platform_keywords, _xlfn.TEXTSPLIT(SUBSTITUTE(SUBSTITUTE(VLOOKUP($D101,_xlpm._platform_range,3,FALSE),"+"&amp;CHAR(34),"+"),CHAR(34),""),", "),
_xlpm._exists, SUMPRODUCT(--ISNUMBER(MATCH(_xlpm._platform_keywords,_xlpm._original_keywords,0)))&gt;0,
_xlfn.IFS(AND(_xlpm._exists,LEFT($E101,1)="+"),"+",_xlpm._exists,"*",NOT(_xlpm._exists),"")
)</f>
        <v/>
      </c>
      <c r="M101" s="33" t="str" cm="1">
        <f t="array" aca="1" ref="M101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($E101=CLASSIFICATION[[Keyword Aggr]:[Keyword Aggr]])*($D101=CLASSIFICATION[[Functional Scope Aggr]:[Functional Scope Aggr]])),
_xlpm._platform_keywords, _xlfn.TEXTSPLIT(SUBSTITUTE(SUBSTITUTE(VLOOKUP($D101,_xlpm._platform_range,3,FALSE),"+"&amp;CHAR(34),"+"),CHAR(34),""),", "),
_xlpm._exists, SUMPRODUCT(--ISNUMBER(MATCH(_xlpm._platform_keywords,_xlpm._original_keywords,0)))&gt;0,
_xlfn.IFS(AND(_xlpm._exists,LEFT($E101,1)="+"),"+",_xlpm._exists,"*",NOT(_xlpm._exists),"")
)</f>
        <v/>
      </c>
      <c r="N101" s="33" t="str" cm="1">
        <f t="array" aca="1" ref="N101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($E101=CLASSIFICATION[[Keyword Aggr]:[Keyword Aggr]])*($D101=CLASSIFICATION[[Functional Scope Aggr]:[Functional Scope Aggr]])),
_xlpm._platform_keywords, _xlfn.TEXTSPLIT(SUBSTITUTE(SUBSTITUTE(VLOOKUP($D101,_xlpm._platform_range,3,FALSE),"+"&amp;CHAR(34),"+"),CHAR(34),""),", "),
_xlpm._exists, SUMPRODUCT(--ISNUMBER(MATCH(_xlpm._platform_keywords,_xlpm._original_keywords,0)))&gt;0,
_xlfn.IFS(AND(_xlpm._exists,LEFT($E101,1)="+"),"+",_xlpm._exists,"*",NOT(_xlpm._exists),"")
)</f>
        <v/>
      </c>
      <c r="O101" s="33" t="str" cm="1">
        <f t="array" aca="1" ref="O101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($E101=CLASSIFICATION[[Keyword Aggr]:[Keyword Aggr]])*($D101=CLASSIFICATION[[Functional Scope Aggr]:[Functional Scope Aggr]])),
_xlpm._platform_keywords, _xlfn.TEXTSPLIT(SUBSTITUTE(SUBSTITUTE(VLOOKUP($D101,_xlpm._platform_range,3,FALSE),"+"&amp;CHAR(34),"+"),CHAR(34),""),", "),
_xlpm._exists, SUMPRODUCT(--ISNUMBER(MATCH(_xlpm._platform_keywords,_xlpm._original_keywords,0)))&gt;0,
_xlfn.IFS(AND(_xlpm._exists,LEFT($E101,1)="+"),"+",_xlpm._exists,"*",NOT(_xlpm._exists),"")
)</f>
        <v/>
      </c>
      <c r="Q101" s="33" t="str">
        <f t="shared" si="15"/>
        <v/>
      </c>
      <c r="R101" s="33" t="str">
        <f t="shared" si="16"/>
        <v/>
      </c>
      <c r="S101" s="33" t="str">
        <f t="shared" si="17"/>
        <v/>
      </c>
      <c r="T101" s="33" t="str">
        <f t="shared" si="18"/>
        <v/>
      </c>
      <c r="U101" s="33" t="str">
        <f t="shared" si="19"/>
        <v/>
      </c>
      <c r="V101" s="33" t="str">
        <f t="shared" si="20"/>
        <v/>
      </c>
    </row>
    <row r="102" spans="1:22" x14ac:dyDescent="0.25">
      <c r="A102" s="19"/>
      <c r="B102" t="s">
        <v>377</v>
      </c>
      <c r="C102" s="19" t="e" cm="1">
        <f t="array" ref="C102">_xlfn.TEXTSPLIT(A102,",")</f>
        <v>#VALUE!</v>
      </c>
      <c r="D102" s="19"/>
      <c r="E102" s="19"/>
      <c r="F102" s="36" t="e" cm="1" vm="1">
        <f t="array" ref="F102">_xlfn.TEXTJOIN(",",TRUE,_xlfn._xlws.FILTER(CLASSIFICATION[Keyword], ($E102=CLASSIFICATION[Keyword Aggr])*($D102=CLASSIFICATION[Functional Scope Aggr])))</f>
        <v>#VALUE!</v>
      </c>
      <c r="G102" s="32" t="e">
        <f t="shared" si="14"/>
        <v>#VALUE!</v>
      </c>
      <c r="H102" s="32" t="str">
        <f t="shared" si="14"/>
        <v/>
      </c>
      <c r="I102" s="32">
        <f t="shared" si="21"/>
        <v>0</v>
      </c>
      <c r="J102" s="33" t="str" cm="1">
        <f t="array" aca="1" ref="J102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($E102=CLASSIFICATION[[Keyword Aggr]:[Keyword Aggr]])*($D102=CLASSIFICATION[[Functional Scope Aggr]:[Functional Scope Aggr]])),
_xlpm._platform_keywords, _xlfn.TEXTSPLIT(SUBSTITUTE(SUBSTITUTE(VLOOKUP($D102,_xlpm._platform_range,3,FALSE),"+"&amp;CHAR(34),"+"),CHAR(34),""),", "),
_xlpm._exists, SUMPRODUCT(--ISNUMBER(MATCH(_xlpm._platform_keywords,_xlpm._original_keywords,0)))&gt;0,
_xlfn.IFS(AND(_xlpm._exists,LEFT($E102,1)="+"),"+",_xlpm._exists,"*",NOT(_xlpm._exists),"")
)</f>
        <v/>
      </c>
      <c r="K102" s="33" t="str" cm="1">
        <f t="array" aca="1" ref="K102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($E102=CLASSIFICATION[[Keyword Aggr]:[Keyword Aggr]])*($D102=CLASSIFICATION[[Functional Scope Aggr]:[Functional Scope Aggr]])),
_xlpm._platform_keywords, _xlfn.TEXTSPLIT(SUBSTITUTE(SUBSTITUTE(VLOOKUP($D102,_xlpm._platform_range,3,FALSE),"+"&amp;CHAR(34),"+"),CHAR(34),""),", "),
_xlpm._exists, SUMPRODUCT(--ISNUMBER(MATCH(_xlpm._platform_keywords,_xlpm._original_keywords,0)))&gt;0,
_xlfn.IFS(AND(_xlpm._exists,LEFT($E102,1)="+"),"+",_xlpm._exists,"*",NOT(_xlpm._exists),"")
)</f>
        <v/>
      </c>
      <c r="L102" s="33" t="str" cm="1">
        <f t="array" aca="1" ref="L102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($E102=CLASSIFICATION[[Keyword Aggr]:[Keyword Aggr]])*($D102=CLASSIFICATION[[Functional Scope Aggr]:[Functional Scope Aggr]])),
_xlpm._platform_keywords, _xlfn.TEXTSPLIT(SUBSTITUTE(SUBSTITUTE(VLOOKUP($D102,_xlpm._platform_range,3,FALSE),"+"&amp;CHAR(34),"+"),CHAR(34),""),", "),
_xlpm._exists, SUMPRODUCT(--ISNUMBER(MATCH(_xlpm._platform_keywords,_xlpm._original_keywords,0)))&gt;0,
_xlfn.IFS(AND(_xlpm._exists,LEFT($E102,1)="+"),"+",_xlpm._exists,"*",NOT(_xlpm._exists),"")
)</f>
        <v/>
      </c>
      <c r="M102" s="33" t="str" cm="1">
        <f t="array" aca="1" ref="M102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($E102=CLASSIFICATION[[Keyword Aggr]:[Keyword Aggr]])*($D102=CLASSIFICATION[[Functional Scope Aggr]:[Functional Scope Aggr]])),
_xlpm._platform_keywords, _xlfn.TEXTSPLIT(SUBSTITUTE(SUBSTITUTE(VLOOKUP($D102,_xlpm._platform_range,3,FALSE),"+"&amp;CHAR(34),"+"),CHAR(34),""),", "),
_xlpm._exists, SUMPRODUCT(--ISNUMBER(MATCH(_xlpm._platform_keywords,_xlpm._original_keywords,0)))&gt;0,
_xlfn.IFS(AND(_xlpm._exists,LEFT($E102,1)="+"),"+",_xlpm._exists,"*",NOT(_xlpm._exists),"")
)</f>
        <v/>
      </c>
      <c r="N102" s="33" t="str" cm="1">
        <f t="array" aca="1" ref="N102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($E102=CLASSIFICATION[[Keyword Aggr]:[Keyword Aggr]])*($D102=CLASSIFICATION[[Functional Scope Aggr]:[Functional Scope Aggr]])),
_xlpm._platform_keywords, _xlfn.TEXTSPLIT(SUBSTITUTE(SUBSTITUTE(VLOOKUP($D102,_xlpm._platform_range,3,FALSE),"+"&amp;CHAR(34),"+"),CHAR(34),""),", "),
_xlpm._exists, SUMPRODUCT(--ISNUMBER(MATCH(_xlpm._platform_keywords,_xlpm._original_keywords,0)))&gt;0,
_xlfn.IFS(AND(_xlpm._exists,LEFT($E102,1)="+"),"+",_xlpm._exists,"*",NOT(_xlpm._exists),"")
)</f>
        <v/>
      </c>
      <c r="O102" s="33" t="str" cm="1">
        <f t="array" aca="1" ref="O102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($E102=CLASSIFICATION[[Keyword Aggr]:[Keyword Aggr]])*($D102=CLASSIFICATION[[Functional Scope Aggr]:[Functional Scope Aggr]])),
_xlpm._platform_keywords, _xlfn.TEXTSPLIT(SUBSTITUTE(SUBSTITUTE(VLOOKUP($D102,_xlpm._platform_range,3,FALSE),"+"&amp;CHAR(34),"+"),CHAR(34),""),", "),
_xlpm._exists, SUMPRODUCT(--ISNUMBER(MATCH(_xlpm._platform_keywords,_xlpm._original_keywords,0)))&gt;0,
_xlfn.IFS(AND(_xlpm._exists,LEFT($E102,1)="+"),"+",_xlpm._exists,"*",NOT(_xlpm._exists),"")
)</f>
        <v/>
      </c>
      <c r="Q102" s="33" t="str">
        <f t="shared" si="15"/>
        <v/>
      </c>
      <c r="R102" s="33" t="str">
        <f t="shared" si="16"/>
        <v/>
      </c>
      <c r="S102" s="33" t="str">
        <f t="shared" si="17"/>
        <v/>
      </c>
      <c r="T102" s="33" t="str">
        <f t="shared" si="18"/>
        <v/>
      </c>
      <c r="U102" s="33" t="str">
        <f t="shared" si="19"/>
        <v/>
      </c>
      <c r="V102" s="33" t="str">
        <f t="shared" si="20"/>
        <v/>
      </c>
    </row>
    <row r="103" spans="1:22" x14ac:dyDescent="0.25">
      <c r="A103" s="19"/>
      <c r="B103" t="s">
        <v>377</v>
      </c>
      <c r="C103" s="19" t="e" cm="1">
        <f t="array" ref="C103">_xlfn.TEXTSPLIT(A103,",")</f>
        <v>#VALUE!</v>
      </c>
      <c r="D103" s="19"/>
      <c r="E103" s="19"/>
      <c r="F103" s="36" t="e" cm="1" vm="1">
        <f t="array" ref="F103">_xlfn.TEXTJOIN(",",TRUE,_xlfn._xlws.FILTER(CLASSIFICATION[Keyword], ($E103=CLASSIFICATION[Keyword Aggr])*($D103=CLASSIFICATION[Functional Scope Aggr])))</f>
        <v>#VALUE!</v>
      </c>
      <c r="G103" s="32" t="e">
        <f t="shared" si="14"/>
        <v>#VALUE!</v>
      </c>
      <c r="H103" s="32" t="str">
        <f t="shared" si="14"/>
        <v/>
      </c>
      <c r="I103" s="32">
        <f t="shared" si="21"/>
        <v>0</v>
      </c>
      <c r="J103" s="33" t="str" cm="1">
        <f t="array" aca="1" ref="J103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($E103=CLASSIFICATION[[Keyword Aggr]:[Keyword Aggr]])*($D103=CLASSIFICATION[[Functional Scope Aggr]:[Functional Scope Aggr]])),
_xlpm._platform_keywords, _xlfn.TEXTSPLIT(SUBSTITUTE(SUBSTITUTE(VLOOKUP($D103,_xlpm._platform_range,3,FALSE),"+"&amp;CHAR(34),"+"),CHAR(34),""),", "),
_xlpm._exists, SUMPRODUCT(--ISNUMBER(MATCH(_xlpm._platform_keywords,_xlpm._original_keywords,0)))&gt;0,
_xlfn.IFS(AND(_xlpm._exists,LEFT($E103,1)="+"),"+",_xlpm._exists,"*",NOT(_xlpm._exists),"")
)</f>
        <v/>
      </c>
      <c r="K103" s="33" t="str" cm="1">
        <f t="array" aca="1" ref="K103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($E103=CLASSIFICATION[[Keyword Aggr]:[Keyword Aggr]])*($D103=CLASSIFICATION[[Functional Scope Aggr]:[Functional Scope Aggr]])),
_xlpm._platform_keywords, _xlfn.TEXTSPLIT(SUBSTITUTE(SUBSTITUTE(VLOOKUP($D103,_xlpm._platform_range,3,FALSE),"+"&amp;CHAR(34),"+"),CHAR(34),""),", "),
_xlpm._exists, SUMPRODUCT(--ISNUMBER(MATCH(_xlpm._platform_keywords,_xlpm._original_keywords,0)))&gt;0,
_xlfn.IFS(AND(_xlpm._exists,LEFT($E103,1)="+"),"+",_xlpm._exists,"*",NOT(_xlpm._exists),"")
)</f>
        <v/>
      </c>
      <c r="L103" s="33" t="str" cm="1">
        <f t="array" aca="1" ref="L103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($E103=CLASSIFICATION[[Keyword Aggr]:[Keyword Aggr]])*($D103=CLASSIFICATION[[Functional Scope Aggr]:[Functional Scope Aggr]])),
_xlpm._platform_keywords, _xlfn.TEXTSPLIT(SUBSTITUTE(SUBSTITUTE(VLOOKUP($D103,_xlpm._platform_range,3,FALSE),"+"&amp;CHAR(34),"+"),CHAR(34),""),", "),
_xlpm._exists, SUMPRODUCT(--ISNUMBER(MATCH(_xlpm._platform_keywords,_xlpm._original_keywords,0)))&gt;0,
_xlfn.IFS(AND(_xlpm._exists,LEFT($E103,1)="+"),"+",_xlpm._exists,"*",NOT(_xlpm._exists),"")
)</f>
        <v/>
      </c>
      <c r="M103" s="33" t="str" cm="1">
        <f t="array" aca="1" ref="M103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($E103=CLASSIFICATION[[Keyword Aggr]:[Keyword Aggr]])*($D103=CLASSIFICATION[[Functional Scope Aggr]:[Functional Scope Aggr]])),
_xlpm._platform_keywords, _xlfn.TEXTSPLIT(SUBSTITUTE(SUBSTITUTE(VLOOKUP($D103,_xlpm._platform_range,3,FALSE),"+"&amp;CHAR(34),"+"),CHAR(34),""),", "),
_xlpm._exists, SUMPRODUCT(--ISNUMBER(MATCH(_xlpm._platform_keywords,_xlpm._original_keywords,0)))&gt;0,
_xlfn.IFS(AND(_xlpm._exists,LEFT($E103,1)="+"),"+",_xlpm._exists,"*",NOT(_xlpm._exists),"")
)</f>
        <v/>
      </c>
      <c r="N103" s="33" t="str" cm="1">
        <f t="array" aca="1" ref="N103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($E103=CLASSIFICATION[[Keyword Aggr]:[Keyword Aggr]])*($D103=CLASSIFICATION[[Functional Scope Aggr]:[Functional Scope Aggr]])),
_xlpm._platform_keywords, _xlfn.TEXTSPLIT(SUBSTITUTE(SUBSTITUTE(VLOOKUP($D103,_xlpm._platform_range,3,FALSE),"+"&amp;CHAR(34),"+"),CHAR(34),""),", "),
_xlpm._exists, SUMPRODUCT(--ISNUMBER(MATCH(_xlpm._platform_keywords,_xlpm._original_keywords,0)))&gt;0,
_xlfn.IFS(AND(_xlpm._exists,LEFT($E103,1)="+"),"+",_xlpm._exists,"*",NOT(_xlpm._exists),"")
)</f>
        <v/>
      </c>
      <c r="O103" s="33" t="str" cm="1">
        <f t="array" aca="1" ref="O103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($E103=CLASSIFICATION[[Keyword Aggr]:[Keyword Aggr]])*($D103=CLASSIFICATION[[Functional Scope Aggr]:[Functional Scope Aggr]])),
_xlpm._platform_keywords, _xlfn.TEXTSPLIT(SUBSTITUTE(SUBSTITUTE(VLOOKUP($D103,_xlpm._platform_range,3,FALSE),"+"&amp;CHAR(34),"+"),CHAR(34),""),", "),
_xlpm._exists, SUMPRODUCT(--ISNUMBER(MATCH(_xlpm._platform_keywords,_xlpm._original_keywords,0)))&gt;0,
_xlfn.IFS(AND(_xlpm._exists,LEFT($E103,1)="+"),"+",_xlpm._exists,"*",NOT(_xlpm._exists),"")
)</f>
        <v/>
      </c>
      <c r="Q103" s="33" t="str">
        <f t="shared" si="15"/>
        <v/>
      </c>
      <c r="R103" s="33" t="str">
        <f t="shared" si="16"/>
        <v/>
      </c>
      <c r="S103" s="33" t="str">
        <f t="shared" si="17"/>
        <v/>
      </c>
      <c r="T103" s="33" t="str">
        <f t="shared" si="18"/>
        <v/>
      </c>
      <c r="U103" s="33" t="str">
        <f t="shared" si="19"/>
        <v/>
      </c>
      <c r="V103" s="33" t="str">
        <f t="shared" si="20"/>
        <v/>
      </c>
    </row>
    <row r="104" spans="1:22" x14ac:dyDescent="0.25">
      <c r="A104" s="19"/>
      <c r="B104" t="s">
        <v>377</v>
      </c>
      <c r="C104" s="19" t="e" cm="1">
        <f t="array" ref="C104">_xlfn.TEXTSPLIT(A104,",")</f>
        <v>#VALUE!</v>
      </c>
      <c r="D104" s="19"/>
      <c r="E104" s="19"/>
      <c r="F104" s="36" t="e" cm="1" vm="1">
        <f t="array" ref="F104">_xlfn.TEXTJOIN(",",TRUE,_xlfn._xlws.FILTER(CLASSIFICATION[Keyword], ($E104=CLASSIFICATION[Keyword Aggr])*($D104=CLASSIFICATION[Functional Scope Aggr])))</f>
        <v>#VALUE!</v>
      </c>
      <c r="G104" s="32" t="e">
        <f t="shared" si="14"/>
        <v>#VALUE!</v>
      </c>
      <c r="H104" s="32" t="str">
        <f t="shared" si="14"/>
        <v/>
      </c>
      <c r="I104" s="32">
        <f t="shared" si="21"/>
        <v>0</v>
      </c>
      <c r="J104" s="33" t="str" cm="1">
        <f t="array" aca="1" ref="J104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($E104=CLASSIFICATION[[Keyword Aggr]:[Keyword Aggr]])*($D104=CLASSIFICATION[[Functional Scope Aggr]:[Functional Scope Aggr]])),
_xlpm._platform_keywords, _xlfn.TEXTSPLIT(SUBSTITUTE(SUBSTITUTE(VLOOKUP($D104,_xlpm._platform_range,3,FALSE),"+"&amp;CHAR(34),"+"),CHAR(34),""),", "),
_xlpm._exists, SUMPRODUCT(--ISNUMBER(MATCH(_xlpm._platform_keywords,_xlpm._original_keywords,0)))&gt;0,
_xlfn.IFS(AND(_xlpm._exists,LEFT($E104,1)="+"),"+",_xlpm._exists,"*",NOT(_xlpm._exists),"")
)</f>
        <v/>
      </c>
      <c r="K104" s="33" t="str" cm="1">
        <f t="array" aca="1" ref="K104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($E104=CLASSIFICATION[[Keyword Aggr]:[Keyword Aggr]])*($D104=CLASSIFICATION[[Functional Scope Aggr]:[Functional Scope Aggr]])),
_xlpm._platform_keywords, _xlfn.TEXTSPLIT(SUBSTITUTE(SUBSTITUTE(VLOOKUP($D104,_xlpm._platform_range,3,FALSE),"+"&amp;CHAR(34),"+"),CHAR(34),""),", "),
_xlpm._exists, SUMPRODUCT(--ISNUMBER(MATCH(_xlpm._platform_keywords,_xlpm._original_keywords,0)))&gt;0,
_xlfn.IFS(AND(_xlpm._exists,LEFT($E104,1)="+"),"+",_xlpm._exists,"*",NOT(_xlpm._exists),"")
)</f>
        <v/>
      </c>
      <c r="L104" s="33" t="str" cm="1">
        <f t="array" aca="1" ref="L104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($E104=CLASSIFICATION[[Keyword Aggr]:[Keyword Aggr]])*($D104=CLASSIFICATION[[Functional Scope Aggr]:[Functional Scope Aggr]])),
_xlpm._platform_keywords, _xlfn.TEXTSPLIT(SUBSTITUTE(SUBSTITUTE(VLOOKUP($D104,_xlpm._platform_range,3,FALSE),"+"&amp;CHAR(34),"+"),CHAR(34),""),", "),
_xlpm._exists, SUMPRODUCT(--ISNUMBER(MATCH(_xlpm._platform_keywords,_xlpm._original_keywords,0)))&gt;0,
_xlfn.IFS(AND(_xlpm._exists,LEFT($E104,1)="+"),"+",_xlpm._exists,"*",NOT(_xlpm._exists),"")
)</f>
        <v/>
      </c>
      <c r="M104" s="33" t="str" cm="1">
        <f t="array" aca="1" ref="M104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($E104=CLASSIFICATION[[Keyword Aggr]:[Keyword Aggr]])*($D104=CLASSIFICATION[[Functional Scope Aggr]:[Functional Scope Aggr]])),
_xlpm._platform_keywords, _xlfn.TEXTSPLIT(SUBSTITUTE(SUBSTITUTE(VLOOKUP($D104,_xlpm._platform_range,3,FALSE),"+"&amp;CHAR(34),"+"),CHAR(34),""),", "),
_xlpm._exists, SUMPRODUCT(--ISNUMBER(MATCH(_xlpm._platform_keywords,_xlpm._original_keywords,0)))&gt;0,
_xlfn.IFS(AND(_xlpm._exists,LEFT($E104,1)="+"),"+",_xlpm._exists,"*",NOT(_xlpm._exists),"")
)</f>
        <v/>
      </c>
      <c r="N104" s="33" t="str" cm="1">
        <f t="array" aca="1" ref="N104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($E104=CLASSIFICATION[[Keyword Aggr]:[Keyword Aggr]])*($D104=CLASSIFICATION[[Functional Scope Aggr]:[Functional Scope Aggr]])),
_xlpm._platform_keywords, _xlfn.TEXTSPLIT(SUBSTITUTE(SUBSTITUTE(VLOOKUP($D104,_xlpm._platform_range,3,FALSE),"+"&amp;CHAR(34),"+"),CHAR(34),""),", "),
_xlpm._exists, SUMPRODUCT(--ISNUMBER(MATCH(_xlpm._platform_keywords,_xlpm._original_keywords,0)))&gt;0,
_xlfn.IFS(AND(_xlpm._exists,LEFT($E104,1)="+"),"+",_xlpm._exists,"*",NOT(_xlpm._exists),"")
)</f>
        <v/>
      </c>
      <c r="O104" s="33" t="str" cm="1">
        <f t="array" aca="1" ref="O104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($E104=CLASSIFICATION[[Keyword Aggr]:[Keyword Aggr]])*($D104=CLASSIFICATION[[Functional Scope Aggr]:[Functional Scope Aggr]])),
_xlpm._platform_keywords, _xlfn.TEXTSPLIT(SUBSTITUTE(SUBSTITUTE(VLOOKUP($D104,_xlpm._platform_range,3,FALSE),"+"&amp;CHAR(34),"+"),CHAR(34),""),", "),
_xlpm._exists, SUMPRODUCT(--ISNUMBER(MATCH(_xlpm._platform_keywords,_xlpm._original_keywords,0)))&gt;0,
_xlfn.IFS(AND(_xlpm._exists,LEFT($E104,1)="+"),"+",_xlpm._exists,"*",NOT(_xlpm._exists),"")
)</f>
        <v/>
      </c>
      <c r="Q104" s="33" t="str">
        <f t="shared" si="15"/>
        <v/>
      </c>
      <c r="R104" s="33" t="str">
        <f t="shared" si="16"/>
        <v/>
      </c>
      <c r="S104" s="33" t="str">
        <f t="shared" si="17"/>
        <v/>
      </c>
      <c r="T104" s="33" t="str">
        <f t="shared" si="18"/>
        <v/>
      </c>
      <c r="U104" s="33" t="str">
        <f t="shared" si="19"/>
        <v/>
      </c>
      <c r="V104" s="33" t="str">
        <f t="shared" si="20"/>
        <v/>
      </c>
    </row>
    <row r="105" spans="1:22" x14ac:dyDescent="0.25">
      <c r="A105" s="19"/>
      <c r="B105" t="s">
        <v>377</v>
      </c>
      <c r="C105" s="19" t="e" cm="1">
        <f t="array" ref="C105">_xlfn.TEXTSPLIT(A105,",")</f>
        <v>#VALUE!</v>
      </c>
      <c r="D105" s="19"/>
      <c r="E105" s="19"/>
      <c r="F105" s="36" t="e" cm="1" vm="1">
        <f t="array" ref="F105">_xlfn.TEXTJOIN(",",TRUE,_xlfn._xlws.FILTER(CLASSIFICATION[Keyword], ($E105=CLASSIFICATION[Keyword Aggr])*($D105=CLASSIFICATION[Functional Scope Aggr])))</f>
        <v>#VALUE!</v>
      </c>
      <c r="G105" s="32" t="e">
        <f t="shared" si="14"/>
        <v>#VALUE!</v>
      </c>
      <c r="H105" s="32" t="str">
        <f t="shared" si="14"/>
        <v/>
      </c>
      <c r="I105" s="32">
        <f t="shared" si="21"/>
        <v>0</v>
      </c>
      <c r="J105" s="33" t="str" cm="1">
        <f t="array" aca="1" ref="J105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($E105=CLASSIFICATION[[Keyword Aggr]:[Keyword Aggr]])*($D105=CLASSIFICATION[[Functional Scope Aggr]:[Functional Scope Aggr]])),
_xlpm._platform_keywords, _xlfn.TEXTSPLIT(SUBSTITUTE(SUBSTITUTE(VLOOKUP($D105,_xlpm._platform_range,3,FALSE),"+"&amp;CHAR(34),"+"),CHAR(34),""),", "),
_xlpm._exists, SUMPRODUCT(--ISNUMBER(MATCH(_xlpm._platform_keywords,_xlpm._original_keywords,0)))&gt;0,
_xlfn.IFS(AND(_xlpm._exists,LEFT($E105,1)="+"),"+",_xlpm._exists,"*",NOT(_xlpm._exists),"")
)</f>
        <v/>
      </c>
      <c r="K105" s="33" t="str" cm="1">
        <f t="array" aca="1" ref="K105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($E105=CLASSIFICATION[[Keyword Aggr]:[Keyword Aggr]])*($D105=CLASSIFICATION[[Functional Scope Aggr]:[Functional Scope Aggr]])),
_xlpm._platform_keywords, _xlfn.TEXTSPLIT(SUBSTITUTE(SUBSTITUTE(VLOOKUP($D105,_xlpm._platform_range,3,FALSE),"+"&amp;CHAR(34),"+"),CHAR(34),""),", "),
_xlpm._exists, SUMPRODUCT(--ISNUMBER(MATCH(_xlpm._platform_keywords,_xlpm._original_keywords,0)))&gt;0,
_xlfn.IFS(AND(_xlpm._exists,LEFT($E105,1)="+"),"+",_xlpm._exists,"*",NOT(_xlpm._exists),"")
)</f>
        <v/>
      </c>
      <c r="L105" s="33" t="str" cm="1">
        <f t="array" aca="1" ref="L105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($E105=CLASSIFICATION[[Keyword Aggr]:[Keyword Aggr]])*($D105=CLASSIFICATION[[Functional Scope Aggr]:[Functional Scope Aggr]])),
_xlpm._platform_keywords, _xlfn.TEXTSPLIT(SUBSTITUTE(SUBSTITUTE(VLOOKUP($D105,_xlpm._platform_range,3,FALSE),"+"&amp;CHAR(34),"+"),CHAR(34),""),", "),
_xlpm._exists, SUMPRODUCT(--ISNUMBER(MATCH(_xlpm._platform_keywords,_xlpm._original_keywords,0)))&gt;0,
_xlfn.IFS(AND(_xlpm._exists,LEFT($E105,1)="+"),"+",_xlpm._exists,"*",NOT(_xlpm._exists),"")
)</f>
        <v/>
      </c>
      <c r="M105" s="33" t="str" cm="1">
        <f t="array" aca="1" ref="M105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($E105=CLASSIFICATION[[Keyword Aggr]:[Keyword Aggr]])*($D105=CLASSIFICATION[[Functional Scope Aggr]:[Functional Scope Aggr]])),
_xlpm._platform_keywords, _xlfn.TEXTSPLIT(SUBSTITUTE(SUBSTITUTE(VLOOKUP($D105,_xlpm._platform_range,3,FALSE),"+"&amp;CHAR(34),"+"),CHAR(34),""),", "),
_xlpm._exists, SUMPRODUCT(--ISNUMBER(MATCH(_xlpm._platform_keywords,_xlpm._original_keywords,0)))&gt;0,
_xlfn.IFS(AND(_xlpm._exists,LEFT($E105,1)="+"),"+",_xlpm._exists,"*",NOT(_xlpm._exists),"")
)</f>
        <v/>
      </c>
      <c r="N105" s="33" t="str" cm="1">
        <f t="array" aca="1" ref="N105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($E105=CLASSIFICATION[[Keyword Aggr]:[Keyword Aggr]])*($D105=CLASSIFICATION[[Functional Scope Aggr]:[Functional Scope Aggr]])),
_xlpm._platform_keywords, _xlfn.TEXTSPLIT(SUBSTITUTE(SUBSTITUTE(VLOOKUP($D105,_xlpm._platform_range,3,FALSE),"+"&amp;CHAR(34),"+"),CHAR(34),""),", "),
_xlpm._exists, SUMPRODUCT(--ISNUMBER(MATCH(_xlpm._platform_keywords,_xlpm._original_keywords,0)))&gt;0,
_xlfn.IFS(AND(_xlpm._exists,LEFT($E105,1)="+"),"+",_xlpm._exists,"*",NOT(_xlpm._exists),"")
)</f>
        <v/>
      </c>
      <c r="O105" s="33" t="str" cm="1">
        <f t="array" aca="1" ref="O105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($E105=CLASSIFICATION[[Keyword Aggr]:[Keyword Aggr]])*($D105=CLASSIFICATION[[Functional Scope Aggr]:[Functional Scope Aggr]])),
_xlpm._platform_keywords, _xlfn.TEXTSPLIT(SUBSTITUTE(SUBSTITUTE(VLOOKUP($D105,_xlpm._platform_range,3,FALSE),"+"&amp;CHAR(34),"+"),CHAR(34),""),", "),
_xlpm._exists, SUMPRODUCT(--ISNUMBER(MATCH(_xlpm._platform_keywords,_xlpm._original_keywords,0)))&gt;0,
_xlfn.IFS(AND(_xlpm._exists,LEFT($E105,1)="+"),"+",_xlpm._exists,"*",NOT(_xlpm._exists),"")
)</f>
        <v/>
      </c>
      <c r="Q105" s="33" t="str">
        <f t="shared" si="15"/>
        <v/>
      </c>
      <c r="R105" s="33" t="str">
        <f t="shared" si="16"/>
        <v/>
      </c>
      <c r="S105" s="33" t="str">
        <f t="shared" si="17"/>
        <v/>
      </c>
      <c r="T105" s="33" t="str">
        <f t="shared" si="18"/>
        <v/>
      </c>
      <c r="U105" s="33" t="str">
        <f t="shared" si="19"/>
        <v/>
      </c>
      <c r="V105" s="33" t="str">
        <f t="shared" si="20"/>
        <v/>
      </c>
    </row>
    <row r="106" spans="1:22" x14ac:dyDescent="0.25">
      <c r="A106" s="19"/>
      <c r="B106" t="s">
        <v>377</v>
      </c>
      <c r="C106" s="19" t="e" cm="1">
        <f t="array" ref="C106">_xlfn.TEXTSPLIT(A106,",")</f>
        <v>#VALUE!</v>
      </c>
      <c r="D106" s="19"/>
      <c r="E106" s="19"/>
      <c r="F106" s="36" t="e" cm="1" vm="1">
        <f t="array" ref="F106">_xlfn.TEXTJOIN(",",TRUE,_xlfn._xlws.FILTER(CLASSIFICATION[Keyword], ($E106=CLASSIFICATION[Keyword Aggr])*($D106=CLASSIFICATION[Functional Scope Aggr])))</f>
        <v>#VALUE!</v>
      </c>
      <c r="G106" s="32" t="e">
        <f t="shared" si="14"/>
        <v>#VALUE!</v>
      </c>
      <c r="H106" s="32" t="str">
        <f t="shared" si="14"/>
        <v/>
      </c>
      <c r="I106" s="32">
        <f t="shared" si="21"/>
        <v>0</v>
      </c>
      <c r="J106" s="33" t="str" cm="1">
        <f t="array" aca="1" ref="J106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($E106=CLASSIFICATION[[Keyword Aggr]:[Keyword Aggr]])*($D106=CLASSIFICATION[[Functional Scope Aggr]:[Functional Scope Aggr]])),
_xlpm._platform_keywords, _xlfn.TEXTSPLIT(SUBSTITUTE(SUBSTITUTE(VLOOKUP($D106,_xlpm._platform_range,3,FALSE),"+"&amp;CHAR(34),"+"),CHAR(34),""),", "),
_xlpm._exists, SUMPRODUCT(--ISNUMBER(MATCH(_xlpm._platform_keywords,_xlpm._original_keywords,0)))&gt;0,
_xlfn.IFS(AND(_xlpm._exists,LEFT($E106,1)="+"),"+",_xlpm._exists,"*",NOT(_xlpm._exists),"")
)</f>
        <v/>
      </c>
      <c r="K106" s="33" t="str" cm="1">
        <f t="array" aca="1" ref="K106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($E106=CLASSIFICATION[[Keyword Aggr]:[Keyword Aggr]])*($D106=CLASSIFICATION[[Functional Scope Aggr]:[Functional Scope Aggr]])),
_xlpm._platform_keywords, _xlfn.TEXTSPLIT(SUBSTITUTE(SUBSTITUTE(VLOOKUP($D106,_xlpm._platform_range,3,FALSE),"+"&amp;CHAR(34),"+"),CHAR(34),""),", "),
_xlpm._exists, SUMPRODUCT(--ISNUMBER(MATCH(_xlpm._platform_keywords,_xlpm._original_keywords,0)))&gt;0,
_xlfn.IFS(AND(_xlpm._exists,LEFT($E106,1)="+"),"+",_xlpm._exists,"*",NOT(_xlpm._exists),"")
)</f>
        <v/>
      </c>
      <c r="L106" s="33" t="str" cm="1">
        <f t="array" aca="1" ref="L106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($E106=CLASSIFICATION[[Keyword Aggr]:[Keyword Aggr]])*($D106=CLASSIFICATION[[Functional Scope Aggr]:[Functional Scope Aggr]])),
_xlpm._platform_keywords, _xlfn.TEXTSPLIT(SUBSTITUTE(SUBSTITUTE(VLOOKUP($D106,_xlpm._platform_range,3,FALSE),"+"&amp;CHAR(34),"+"),CHAR(34),""),", "),
_xlpm._exists, SUMPRODUCT(--ISNUMBER(MATCH(_xlpm._platform_keywords,_xlpm._original_keywords,0)))&gt;0,
_xlfn.IFS(AND(_xlpm._exists,LEFT($E106,1)="+"),"+",_xlpm._exists,"*",NOT(_xlpm._exists),"")
)</f>
        <v/>
      </c>
      <c r="M106" s="33" t="str" cm="1">
        <f t="array" aca="1" ref="M106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($E106=CLASSIFICATION[[Keyword Aggr]:[Keyword Aggr]])*($D106=CLASSIFICATION[[Functional Scope Aggr]:[Functional Scope Aggr]])),
_xlpm._platform_keywords, _xlfn.TEXTSPLIT(SUBSTITUTE(SUBSTITUTE(VLOOKUP($D106,_xlpm._platform_range,3,FALSE),"+"&amp;CHAR(34),"+"),CHAR(34),""),", "),
_xlpm._exists, SUMPRODUCT(--ISNUMBER(MATCH(_xlpm._platform_keywords,_xlpm._original_keywords,0)))&gt;0,
_xlfn.IFS(AND(_xlpm._exists,LEFT($E106,1)="+"),"+",_xlpm._exists,"*",NOT(_xlpm._exists),"")
)</f>
        <v/>
      </c>
      <c r="N106" s="33" t="str" cm="1">
        <f t="array" aca="1" ref="N106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($E106=CLASSIFICATION[[Keyword Aggr]:[Keyword Aggr]])*($D106=CLASSIFICATION[[Functional Scope Aggr]:[Functional Scope Aggr]])),
_xlpm._platform_keywords, _xlfn.TEXTSPLIT(SUBSTITUTE(SUBSTITUTE(VLOOKUP($D106,_xlpm._platform_range,3,FALSE),"+"&amp;CHAR(34),"+"),CHAR(34),""),", "),
_xlpm._exists, SUMPRODUCT(--ISNUMBER(MATCH(_xlpm._platform_keywords,_xlpm._original_keywords,0)))&gt;0,
_xlfn.IFS(AND(_xlpm._exists,LEFT($E106,1)="+"),"+",_xlpm._exists,"*",NOT(_xlpm._exists),"")
)</f>
        <v/>
      </c>
      <c r="O106" s="33" t="str" cm="1">
        <f t="array" aca="1" ref="O106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($E106=CLASSIFICATION[[Keyword Aggr]:[Keyword Aggr]])*($D106=CLASSIFICATION[[Functional Scope Aggr]:[Functional Scope Aggr]])),
_xlpm._platform_keywords, _xlfn.TEXTSPLIT(SUBSTITUTE(SUBSTITUTE(VLOOKUP($D106,_xlpm._platform_range,3,FALSE),"+"&amp;CHAR(34),"+"),CHAR(34),""),", "),
_xlpm._exists, SUMPRODUCT(--ISNUMBER(MATCH(_xlpm._platform_keywords,_xlpm._original_keywords,0)))&gt;0,
_xlfn.IFS(AND(_xlpm._exists,LEFT($E106,1)="+"),"+",_xlpm._exists,"*",NOT(_xlpm._exists),"")
)</f>
        <v/>
      </c>
      <c r="Q106" s="33" t="str">
        <f t="shared" si="15"/>
        <v/>
      </c>
      <c r="R106" s="33" t="str">
        <f t="shared" si="16"/>
        <v/>
      </c>
      <c r="S106" s="33" t="str">
        <f t="shared" si="17"/>
        <v/>
      </c>
      <c r="T106" s="33" t="str">
        <f t="shared" si="18"/>
        <v/>
      </c>
      <c r="U106" s="33" t="str">
        <f t="shared" si="19"/>
        <v/>
      </c>
      <c r="V106" s="33" t="str">
        <f t="shared" si="20"/>
        <v/>
      </c>
    </row>
    <row r="107" spans="1:22" x14ac:dyDescent="0.25">
      <c r="A107" s="19"/>
      <c r="B107" t="s">
        <v>377</v>
      </c>
      <c r="C107" s="19" t="e" cm="1">
        <f t="array" ref="C107">_xlfn.TEXTSPLIT(A107,",")</f>
        <v>#VALUE!</v>
      </c>
      <c r="D107" s="19"/>
      <c r="E107" s="19"/>
      <c r="F107" s="36" t="e" cm="1" vm="1">
        <f t="array" ref="F107">_xlfn.TEXTJOIN(",",TRUE,_xlfn._xlws.FILTER(CLASSIFICATION[Keyword], ($E107=CLASSIFICATION[Keyword Aggr])*($D107=CLASSIFICATION[Functional Scope Aggr])))</f>
        <v>#VALUE!</v>
      </c>
      <c r="G107" s="32" t="e">
        <f t="shared" si="14"/>
        <v>#VALUE!</v>
      </c>
      <c r="H107" s="32" t="str">
        <f t="shared" si="14"/>
        <v/>
      </c>
      <c r="I107" s="32">
        <f t="shared" si="21"/>
        <v>0</v>
      </c>
      <c r="J107" s="33" t="str" cm="1">
        <f t="array" aca="1" ref="J107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($E107=CLASSIFICATION[[Keyword Aggr]:[Keyword Aggr]])*($D107=CLASSIFICATION[[Functional Scope Aggr]:[Functional Scope Aggr]])),
_xlpm._platform_keywords, _xlfn.TEXTSPLIT(SUBSTITUTE(SUBSTITUTE(VLOOKUP($D107,_xlpm._platform_range,3,FALSE),"+"&amp;CHAR(34),"+"),CHAR(34),""),", "),
_xlpm._exists, SUMPRODUCT(--ISNUMBER(MATCH(_xlpm._platform_keywords,_xlpm._original_keywords,0)))&gt;0,
_xlfn.IFS(AND(_xlpm._exists,LEFT($E107,1)="+"),"+",_xlpm._exists,"*",NOT(_xlpm._exists),"")
)</f>
        <v/>
      </c>
      <c r="K107" s="33" t="str" cm="1">
        <f t="array" aca="1" ref="K107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($E107=CLASSIFICATION[[Keyword Aggr]:[Keyword Aggr]])*($D107=CLASSIFICATION[[Functional Scope Aggr]:[Functional Scope Aggr]])),
_xlpm._platform_keywords, _xlfn.TEXTSPLIT(SUBSTITUTE(SUBSTITUTE(VLOOKUP($D107,_xlpm._platform_range,3,FALSE),"+"&amp;CHAR(34),"+"),CHAR(34),""),", "),
_xlpm._exists, SUMPRODUCT(--ISNUMBER(MATCH(_xlpm._platform_keywords,_xlpm._original_keywords,0)))&gt;0,
_xlfn.IFS(AND(_xlpm._exists,LEFT($E107,1)="+"),"+",_xlpm._exists,"*",NOT(_xlpm._exists),"")
)</f>
        <v/>
      </c>
      <c r="L107" s="33" t="str" cm="1">
        <f t="array" aca="1" ref="L107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($E107=CLASSIFICATION[[Keyword Aggr]:[Keyword Aggr]])*($D107=CLASSIFICATION[[Functional Scope Aggr]:[Functional Scope Aggr]])),
_xlpm._platform_keywords, _xlfn.TEXTSPLIT(SUBSTITUTE(SUBSTITUTE(VLOOKUP($D107,_xlpm._platform_range,3,FALSE),"+"&amp;CHAR(34),"+"),CHAR(34),""),", "),
_xlpm._exists, SUMPRODUCT(--ISNUMBER(MATCH(_xlpm._platform_keywords,_xlpm._original_keywords,0)))&gt;0,
_xlfn.IFS(AND(_xlpm._exists,LEFT($E107,1)="+"),"+",_xlpm._exists,"*",NOT(_xlpm._exists),"")
)</f>
        <v/>
      </c>
      <c r="M107" s="33" t="str" cm="1">
        <f t="array" aca="1" ref="M107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($E107=CLASSIFICATION[[Keyword Aggr]:[Keyword Aggr]])*($D107=CLASSIFICATION[[Functional Scope Aggr]:[Functional Scope Aggr]])),
_xlpm._platform_keywords, _xlfn.TEXTSPLIT(SUBSTITUTE(SUBSTITUTE(VLOOKUP($D107,_xlpm._platform_range,3,FALSE),"+"&amp;CHAR(34),"+"),CHAR(34),""),", "),
_xlpm._exists, SUMPRODUCT(--ISNUMBER(MATCH(_xlpm._platform_keywords,_xlpm._original_keywords,0)))&gt;0,
_xlfn.IFS(AND(_xlpm._exists,LEFT($E107,1)="+"),"+",_xlpm._exists,"*",NOT(_xlpm._exists),"")
)</f>
        <v/>
      </c>
      <c r="N107" s="33" t="str" cm="1">
        <f t="array" aca="1" ref="N107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($E107=CLASSIFICATION[[Keyword Aggr]:[Keyword Aggr]])*($D107=CLASSIFICATION[[Functional Scope Aggr]:[Functional Scope Aggr]])),
_xlpm._platform_keywords, _xlfn.TEXTSPLIT(SUBSTITUTE(SUBSTITUTE(VLOOKUP($D107,_xlpm._platform_range,3,FALSE),"+"&amp;CHAR(34),"+"),CHAR(34),""),", "),
_xlpm._exists, SUMPRODUCT(--ISNUMBER(MATCH(_xlpm._platform_keywords,_xlpm._original_keywords,0)))&gt;0,
_xlfn.IFS(AND(_xlpm._exists,LEFT($E107,1)="+"),"+",_xlpm._exists,"*",NOT(_xlpm._exists),"")
)</f>
        <v/>
      </c>
      <c r="O107" s="33" t="str" cm="1">
        <f t="array" aca="1" ref="O107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($E107=CLASSIFICATION[[Keyword Aggr]:[Keyword Aggr]])*($D107=CLASSIFICATION[[Functional Scope Aggr]:[Functional Scope Aggr]])),
_xlpm._platform_keywords, _xlfn.TEXTSPLIT(SUBSTITUTE(SUBSTITUTE(VLOOKUP($D107,_xlpm._platform_range,3,FALSE),"+"&amp;CHAR(34),"+"),CHAR(34),""),", "),
_xlpm._exists, SUMPRODUCT(--ISNUMBER(MATCH(_xlpm._platform_keywords,_xlpm._original_keywords,0)))&gt;0,
_xlfn.IFS(AND(_xlpm._exists,LEFT($E107,1)="+"),"+",_xlpm._exists,"*",NOT(_xlpm._exists),"")
)</f>
        <v/>
      </c>
      <c r="Q107" s="33" t="str">
        <f t="shared" si="15"/>
        <v/>
      </c>
      <c r="R107" s="33" t="str">
        <f t="shared" si="16"/>
        <v/>
      </c>
      <c r="S107" s="33" t="str">
        <f t="shared" si="17"/>
        <v/>
      </c>
      <c r="T107" s="33" t="str">
        <f t="shared" si="18"/>
        <v/>
      </c>
      <c r="U107" s="33" t="str">
        <f t="shared" si="19"/>
        <v/>
      </c>
      <c r="V107" s="33" t="str">
        <f t="shared" si="20"/>
        <v/>
      </c>
    </row>
    <row r="108" spans="1:22" x14ac:dyDescent="0.25">
      <c r="A108" s="19"/>
      <c r="B108" t="s">
        <v>377</v>
      </c>
      <c r="C108" s="19" t="e" cm="1">
        <f t="array" ref="C108">_xlfn.TEXTSPLIT(A108,",")</f>
        <v>#VALUE!</v>
      </c>
      <c r="D108" s="19"/>
      <c r="E108" s="19"/>
      <c r="F108" s="36" t="e" cm="1" vm="1">
        <f t="array" ref="F108">_xlfn.TEXTJOIN(",",TRUE,_xlfn._xlws.FILTER(CLASSIFICATION[Keyword], ($E108=CLASSIFICATION[Keyword Aggr])*($D108=CLASSIFICATION[Functional Scope Aggr])))</f>
        <v>#VALUE!</v>
      </c>
      <c r="G108" s="32" t="e">
        <f t="shared" si="14"/>
        <v>#VALUE!</v>
      </c>
      <c r="H108" s="32" t="str">
        <f t="shared" si="14"/>
        <v/>
      </c>
      <c r="I108" s="32">
        <f t="shared" si="21"/>
        <v>0</v>
      </c>
      <c r="J108" s="33" t="str" cm="1">
        <f t="array" aca="1" ref="J108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($E108=CLASSIFICATION[[Keyword Aggr]:[Keyword Aggr]])*($D108=CLASSIFICATION[[Functional Scope Aggr]:[Functional Scope Aggr]])),
_xlpm._platform_keywords, _xlfn.TEXTSPLIT(SUBSTITUTE(SUBSTITUTE(VLOOKUP($D108,_xlpm._platform_range,3,FALSE),"+"&amp;CHAR(34),"+"),CHAR(34),""),", "),
_xlpm._exists, SUMPRODUCT(--ISNUMBER(MATCH(_xlpm._platform_keywords,_xlpm._original_keywords,0)))&gt;0,
_xlfn.IFS(AND(_xlpm._exists,LEFT($E108,1)="+"),"+",_xlpm._exists,"*",NOT(_xlpm._exists),"")
)</f>
        <v/>
      </c>
      <c r="K108" s="33" t="str" cm="1">
        <f t="array" aca="1" ref="K108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($E108=CLASSIFICATION[[Keyword Aggr]:[Keyword Aggr]])*($D108=CLASSIFICATION[[Functional Scope Aggr]:[Functional Scope Aggr]])),
_xlpm._platform_keywords, _xlfn.TEXTSPLIT(SUBSTITUTE(SUBSTITUTE(VLOOKUP($D108,_xlpm._platform_range,3,FALSE),"+"&amp;CHAR(34),"+"),CHAR(34),""),", "),
_xlpm._exists, SUMPRODUCT(--ISNUMBER(MATCH(_xlpm._platform_keywords,_xlpm._original_keywords,0)))&gt;0,
_xlfn.IFS(AND(_xlpm._exists,LEFT($E108,1)="+"),"+",_xlpm._exists,"*",NOT(_xlpm._exists),"")
)</f>
        <v/>
      </c>
      <c r="L108" s="33" t="str" cm="1">
        <f t="array" aca="1" ref="L108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($E108=CLASSIFICATION[[Keyword Aggr]:[Keyword Aggr]])*($D108=CLASSIFICATION[[Functional Scope Aggr]:[Functional Scope Aggr]])),
_xlpm._platform_keywords, _xlfn.TEXTSPLIT(SUBSTITUTE(SUBSTITUTE(VLOOKUP($D108,_xlpm._platform_range,3,FALSE),"+"&amp;CHAR(34),"+"),CHAR(34),""),", "),
_xlpm._exists, SUMPRODUCT(--ISNUMBER(MATCH(_xlpm._platform_keywords,_xlpm._original_keywords,0)))&gt;0,
_xlfn.IFS(AND(_xlpm._exists,LEFT($E108,1)="+"),"+",_xlpm._exists,"*",NOT(_xlpm._exists),"")
)</f>
        <v/>
      </c>
      <c r="M108" s="33" t="str" cm="1">
        <f t="array" aca="1" ref="M108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($E108=CLASSIFICATION[[Keyword Aggr]:[Keyword Aggr]])*($D108=CLASSIFICATION[[Functional Scope Aggr]:[Functional Scope Aggr]])),
_xlpm._platform_keywords, _xlfn.TEXTSPLIT(SUBSTITUTE(SUBSTITUTE(VLOOKUP($D108,_xlpm._platform_range,3,FALSE),"+"&amp;CHAR(34),"+"),CHAR(34),""),", "),
_xlpm._exists, SUMPRODUCT(--ISNUMBER(MATCH(_xlpm._platform_keywords,_xlpm._original_keywords,0)))&gt;0,
_xlfn.IFS(AND(_xlpm._exists,LEFT($E108,1)="+"),"+",_xlpm._exists,"*",NOT(_xlpm._exists),"")
)</f>
        <v/>
      </c>
      <c r="N108" s="33" t="str" cm="1">
        <f t="array" aca="1" ref="N108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($E108=CLASSIFICATION[[Keyword Aggr]:[Keyword Aggr]])*($D108=CLASSIFICATION[[Functional Scope Aggr]:[Functional Scope Aggr]])),
_xlpm._platform_keywords, _xlfn.TEXTSPLIT(SUBSTITUTE(SUBSTITUTE(VLOOKUP($D108,_xlpm._platform_range,3,FALSE),"+"&amp;CHAR(34),"+"),CHAR(34),""),", "),
_xlpm._exists, SUMPRODUCT(--ISNUMBER(MATCH(_xlpm._platform_keywords,_xlpm._original_keywords,0)))&gt;0,
_xlfn.IFS(AND(_xlpm._exists,LEFT($E108,1)="+"),"+",_xlpm._exists,"*",NOT(_xlpm._exists),"")
)</f>
        <v/>
      </c>
      <c r="O108" s="33" t="str" cm="1">
        <f t="array" aca="1" ref="O108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($E108=CLASSIFICATION[[Keyword Aggr]:[Keyword Aggr]])*($D108=CLASSIFICATION[[Functional Scope Aggr]:[Functional Scope Aggr]])),
_xlpm._platform_keywords, _xlfn.TEXTSPLIT(SUBSTITUTE(SUBSTITUTE(VLOOKUP($D108,_xlpm._platform_range,3,FALSE),"+"&amp;CHAR(34),"+"),CHAR(34),""),", "),
_xlpm._exists, SUMPRODUCT(--ISNUMBER(MATCH(_xlpm._platform_keywords,_xlpm._original_keywords,0)))&gt;0,
_xlfn.IFS(AND(_xlpm._exists,LEFT($E108,1)="+"),"+",_xlpm._exists,"*",NOT(_xlpm._exists),"")
)</f>
        <v/>
      </c>
      <c r="Q108" s="33" t="str">
        <f t="shared" si="15"/>
        <v/>
      </c>
      <c r="R108" s="33" t="str">
        <f t="shared" si="16"/>
        <v/>
      </c>
      <c r="S108" s="33" t="str">
        <f t="shared" si="17"/>
        <v/>
      </c>
      <c r="T108" s="33" t="str">
        <f t="shared" si="18"/>
        <v/>
      </c>
      <c r="U108" s="33" t="str">
        <f t="shared" si="19"/>
        <v/>
      </c>
      <c r="V108" s="33" t="str">
        <f t="shared" si="20"/>
        <v/>
      </c>
    </row>
    <row r="109" spans="1:22" x14ac:dyDescent="0.25">
      <c r="A109" s="19"/>
      <c r="B109" t="s">
        <v>377</v>
      </c>
      <c r="C109" s="19" t="e" cm="1">
        <f t="array" ref="C109">_xlfn.TEXTSPLIT(A109,",")</f>
        <v>#VALUE!</v>
      </c>
      <c r="D109" s="19"/>
      <c r="E109" s="19"/>
      <c r="F109" s="36" t="e" cm="1" vm="1">
        <f t="array" ref="F109">_xlfn.TEXTJOIN(",",TRUE,_xlfn._xlws.FILTER(CLASSIFICATION[Keyword], ($E109=CLASSIFICATION[Keyword Aggr])*($D109=CLASSIFICATION[Functional Scope Aggr])))</f>
        <v>#VALUE!</v>
      </c>
      <c r="G109" s="32" t="e">
        <f t="shared" si="14"/>
        <v>#VALUE!</v>
      </c>
      <c r="H109" s="32" t="str">
        <f t="shared" si="14"/>
        <v/>
      </c>
      <c r="I109" s="32">
        <f t="shared" si="21"/>
        <v>0</v>
      </c>
      <c r="J109" s="33" t="str" cm="1">
        <f t="array" aca="1" ref="J109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($E109=CLASSIFICATION[[Keyword Aggr]:[Keyword Aggr]])*($D109=CLASSIFICATION[[Functional Scope Aggr]:[Functional Scope Aggr]])),
_xlpm._platform_keywords, _xlfn.TEXTSPLIT(SUBSTITUTE(SUBSTITUTE(VLOOKUP($D109,_xlpm._platform_range,3,FALSE),"+"&amp;CHAR(34),"+"),CHAR(34),""),", "),
_xlpm._exists, SUMPRODUCT(--ISNUMBER(MATCH(_xlpm._platform_keywords,_xlpm._original_keywords,0)))&gt;0,
_xlfn.IFS(AND(_xlpm._exists,LEFT($E109,1)="+"),"+",_xlpm._exists,"*",NOT(_xlpm._exists),"")
)</f>
        <v/>
      </c>
      <c r="K109" s="33" t="str" cm="1">
        <f t="array" aca="1" ref="K109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($E109=CLASSIFICATION[[Keyword Aggr]:[Keyword Aggr]])*($D109=CLASSIFICATION[[Functional Scope Aggr]:[Functional Scope Aggr]])),
_xlpm._platform_keywords, _xlfn.TEXTSPLIT(SUBSTITUTE(SUBSTITUTE(VLOOKUP($D109,_xlpm._platform_range,3,FALSE),"+"&amp;CHAR(34),"+"),CHAR(34),""),", "),
_xlpm._exists, SUMPRODUCT(--ISNUMBER(MATCH(_xlpm._platform_keywords,_xlpm._original_keywords,0)))&gt;0,
_xlfn.IFS(AND(_xlpm._exists,LEFT($E109,1)="+"),"+",_xlpm._exists,"*",NOT(_xlpm._exists),"")
)</f>
        <v/>
      </c>
      <c r="L109" s="33" t="str" cm="1">
        <f t="array" aca="1" ref="L109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($E109=CLASSIFICATION[[Keyword Aggr]:[Keyword Aggr]])*($D109=CLASSIFICATION[[Functional Scope Aggr]:[Functional Scope Aggr]])),
_xlpm._platform_keywords, _xlfn.TEXTSPLIT(SUBSTITUTE(SUBSTITUTE(VLOOKUP($D109,_xlpm._platform_range,3,FALSE),"+"&amp;CHAR(34),"+"),CHAR(34),""),", "),
_xlpm._exists, SUMPRODUCT(--ISNUMBER(MATCH(_xlpm._platform_keywords,_xlpm._original_keywords,0)))&gt;0,
_xlfn.IFS(AND(_xlpm._exists,LEFT($E109,1)="+"),"+",_xlpm._exists,"*",NOT(_xlpm._exists),"")
)</f>
        <v/>
      </c>
      <c r="M109" s="33" t="str" cm="1">
        <f t="array" aca="1" ref="M109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($E109=CLASSIFICATION[[Keyword Aggr]:[Keyword Aggr]])*($D109=CLASSIFICATION[[Functional Scope Aggr]:[Functional Scope Aggr]])),
_xlpm._platform_keywords, _xlfn.TEXTSPLIT(SUBSTITUTE(SUBSTITUTE(VLOOKUP($D109,_xlpm._platform_range,3,FALSE),"+"&amp;CHAR(34),"+"),CHAR(34),""),", "),
_xlpm._exists, SUMPRODUCT(--ISNUMBER(MATCH(_xlpm._platform_keywords,_xlpm._original_keywords,0)))&gt;0,
_xlfn.IFS(AND(_xlpm._exists,LEFT($E109,1)="+"),"+",_xlpm._exists,"*",NOT(_xlpm._exists),"")
)</f>
        <v/>
      </c>
      <c r="N109" s="33" t="str" cm="1">
        <f t="array" aca="1" ref="N109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($E109=CLASSIFICATION[[Keyword Aggr]:[Keyword Aggr]])*($D109=CLASSIFICATION[[Functional Scope Aggr]:[Functional Scope Aggr]])),
_xlpm._platform_keywords, _xlfn.TEXTSPLIT(SUBSTITUTE(SUBSTITUTE(VLOOKUP($D109,_xlpm._platform_range,3,FALSE),"+"&amp;CHAR(34),"+"),CHAR(34),""),", "),
_xlpm._exists, SUMPRODUCT(--ISNUMBER(MATCH(_xlpm._platform_keywords,_xlpm._original_keywords,0)))&gt;0,
_xlfn.IFS(AND(_xlpm._exists,LEFT($E109,1)="+"),"+",_xlpm._exists,"*",NOT(_xlpm._exists),"")
)</f>
        <v/>
      </c>
      <c r="O109" s="33" t="str" cm="1">
        <f t="array" aca="1" ref="O109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($E109=CLASSIFICATION[[Keyword Aggr]:[Keyword Aggr]])*($D109=CLASSIFICATION[[Functional Scope Aggr]:[Functional Scope Aggr]])),
_xlpm._platform_keywords, _xlfn.TEXTSPLIT(SUBSTITUTE(SUBSTITUTE(VLOOKUP($D109,_xlpm._platform_range,3,FALSE),"+"&amp;CHAR(34),"+"),CHAR(34),""),", "),
_xlpm._exists, SUMPRODUCT(--ISNUMBER(MATCH(_xlpm._platform_keywords,_xlpm._original_keywords,0)))&gt;0,
_xlfn.IFS(AND(_xlpm._exists,LEFT($E109,1)="+"),"+",_xlpm._exists,"*",NOT(_xlpm._exists),"")
)</f>
        <v/>
      </c>
      <c r="Q109" s="33" t="str">
        <f t="shared" si="15"/>
        <v/>
      </c>
      <c r="R109" s="33" t="str">
        <f t="shared" si="16"/>
        <v/>
      </c>
      <c r="S109" s="33" t="str">
        <f t="shared" si="17"/>
        <v/>
      </c>
      <c r="T109" s="33" t="str">
        <f t="shared" si="18"/>
        <v/>
      </c>
      <c r="U109" s="33" t="str">
        <f t="shared" si="19"/>
        <v/>
      </c>
      <c r="V109" s="33" t="str">
        <f t="shared" si="20"/>
        <v/>
      </c>
    </row>
    <row r="110" spans="1:22" x14ac:dyDescent="0.25">
      <c r="A110" s="19"/>
      <c r="B110" t="s">
        <v>377</v>
      </c>
      <c r="C110" s="19" t="e" cm="1">
        <f t="array" ref="C110">_xlfn.TEXTSPLIT(A110,",")</f>
        <v>#VALUE!</v>
      </c>
      <c r="D110" s="19"/>
      <c r="E110" s="19"/>
      <c r="F110" s="36" t="e" cm="1" vm="1">
        <f t="array" ref="F110">_xlfn.TEXTJOIN(",",TRUE,_xlfn._xlws.FILTER(CLASSIFICATION[Keyword], ($E110=CLASSIFICATION[Keyword Aggr])*($D110=CLASSIFICATION[Functional Scope Aggr])))</f>
        <v>#VALUE!</v>
      </c>
      <c r="G110" s="32" t="e">
        <f t="shared" si="14"/>
        <v>#VALUE!</v>
      </c>
      <c r="H110" s="32" t="str">
        <f t="shared" si="14"/>
        <v/>
      </c>
      <c r="I110" s="32">
        <f t="shared" si="21"/>
        <v>0</v>
      </c>
      <c r="J110" s="33" t="str" cm="1">
        <f t="array" aca="1" ref="J110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($E110=CLASSIFICATION[[Keyword Aggr]:[Keyword Aggr]])*($D110=CLASSIFICATION[[Functional Scope Aggr]:[Functional Scope Aggr]])),
_xlpm._platform_keywords, _xlfn.TEXTSPLIT(SUBSTITUTE(SUBSTITUTE(VLOOKUP($D110,_xlpm._platform_range,3,FALSE),"+"&amp;CHAR(34),"+"),CHAR(34),""),", "),
_xlpm._exists, SUMPRODUCT(--ISNUMBER(MATCH(_xlpm._platform_keywords,_xlpm._original_keywords,0)))&gt;0,
_xlfn.IFS(AND(_xlpm._exists,LEFT($E110,1)="+"),"+",_xlpm._exists,"*",NOT(_xlpm._exists),"")
)</f>
        <v/>
      </c>
      <c r="K110" s="33" t="str" cm="1">
        <f t="array" aca="1" ref="K110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($E110=CLASSIFICATION[[Keyword Aggr]:[Keyword Aggr]])*($D110=CLASSIFICATION[[Functional Scope Aggr]:[Functional Scope Aggr]])),
_xlpm._platform_keywords, _xlfn.TEXTSPLIT(SUBSTITUTE(SUBSTITUTE(VLOOKUP($D110,_xlpm._platform_range,3,FALSE),"+"&amp;CHAR(34),"+"),CHAR(34),""),", "),
_xlpm._exists, SUMPRODUCT(--ISNUMBER(MATCH(_xlpm._platform_keywords,_xlpm._original_keywords,0)))&gt;0,
_xlfn.IFS(AND(_xlpm._exists,LEFT($E110,1)="+"),"+",_xlpm._exists,"*",NOT(_xlpm._exists),"")
)</f>
        <v/>
      </c>
      <c r="L110" s="33" t="str" cm="1">
        <f t="array" aca="1" ref="L110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($E110=CLASSIFICATION[[Keyword Aggr]:[Keyword Aggr]])*($D110=CLASSIFICATION[[Functional Scope Aggr]:[Functional Scope Aggr]])),
_xlpm._platform_keywords, _xlfn.TEXTSPLIT(SUBSTITUTE(SUBSTITUTE(VLOOKUP($D110,_xlpm._platform_range,3,FALSE),"+"&amp;CHAR(34),"+"),CHAR(34),""),", "),
_xlpm._exists, SUMPRODUCT(--ISNUMBER(MATCH(_xlpm._platform_keywords,_xlpm._original_keywords,0)))&gt;0,
_xlfn.IFS(AND(_xlpm._exists,LEFT($E110,1)="+"),"+",_xlpm._exists,"*",NOT(_xlpm._exists),"")
)</f>
        <v/>
      </c>
      <c r="M110" s="33" t="str" cm="1">
        <f t="array" aca="1" ref="M110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($E110=CLASSIFICATION[[Keyword Aggr]:[Keyword Aggr]])*($D110=CLASSIFICATION[[Functional Scope Aggr]:[Functional Scope Aggr]])),
_xlpm._platform_keywords, _xlfn.TEXTSPLIT(SUBSTITUTE(SUBSTITUTE(VLOOKUP($D110,_xlpm._platform_range,3,FALSE),"+"&amp;CHAR(34),"+"),CHAR(34),""),", "),
_xlpm._exists, SUMPRODUCT(--ISNUMBER(MATCH(_xlpm._platform_keywords,_xlpm._original_keywords,0)))&gt;0,
_xlfn.IFS(AND(_xlpm._exists,LEFT($E110,1)="+"),"+",_xlpm._exists,"*",NOT(_xlpm._exists),"")
)</f>
        <v/>
      </c>
      <c r="N110" s="33" t="str" cm="1">
        <f t="array" aca="1" ref="N110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($E110=CLASSIFICATION[[Keyword Aggr]:[Keyword Aggr]])*($D110=CLASSIFICATION[[Functional Scope Aggr]:[Functional Scope Aggr]])),
_xlpm._platform_keywords, _xlfn.TEXTSPLIT(SUBSTITUTE(SUBSTITUTE(VLOOKUP($D110,_xlpm._platform_range,3,FALSE),"+"&amp;CHAR(34),"+"),CHAR(34),""),", "),
_xlpm._exists, SUMPRODUCT(--ISNUMBER(MATCH(_xlpm._platform_keywords,_xlpm._original_keywords,0)))&gt;0,
_xlfn.IFS(AND(_xlpm._exists,LEFT($E110,1)="+"),"+",_xlpm._exists,"*",NOT(_xlpm._exists),"")
)</f>
        <v/>
      </c>
      <c r="O110" s="33" t="str" cm="1">
        <f t="array" aca="1" ref="O110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($E110=CLASSIFICATION[[Keyword Aggr]:[Keyword Aggr]])*($D110=CLASSIFICATION[[Functional Scope Aggr]:[Functional Scope Aggr]])),
_xlpm._platform_keywords, _xlfn.TEXTSPLIT(SUBSTITUTE(SUBSTITUTE(VLOOKUP($D110,_xlpm._platform_range,3,FALSE),"+"&amp;CHAR(34),"+"),CHAR(34),""),", "),
_xlpm._exists, SUMPRODUCT(--ISNUMBER(MATCH(_xlpm._platform_keywords,_xlpm._original_keywords,0)))&gt;0,
_xlfn.IFS(AND(_xlpm._exists,LEFT($E110,1)="+"),"+",_xlpm._exists,"*",NOT(_xlpm._exists),"")
)</f>
        <v/>
      </c>
      <c r="Q110" s="33" t="str">
        <f t="shared" si="15"/>
        <v/>
      </c>
      <c r="R110" s="33" t="str">
        <f t="shared" si="16"/>
        <v/>
      </c>
      <c r="S110" s="33" t="str">
        <f t="shared" si="17"/>
        <v/>
      </c>
      <c r="T110" s="33" t="str">
        <f t="shared" si="18"/>
        <v/>
      </c>
      <c r="U110" s="33" t="str">
        <f t="shared" si="19"/>
        <v/>
      </c>
      <c r="V110" s="33" t="str">
        <f t="shared" si="20"/>
        <v/>
      </c>
    </row>
    <row r="111" spans="1:22" x14ac:dyDescent="0.25">
      <c r="A111" s="19"/>
      <c r="B111" t="s">
        <v>377</v>
      </c>
      <c r="C111" s="19" t="e" cm="1">
        <f t="array" ref="C111">_xlfn.TEXTSPLIT(A111,",")</f>
        <v>#VALUE!</v>
      </c>
      <c r="D111" s="19"/>
      <c r="E111" s="19"/>
      <c r="F111" s="36" t="e" cm="1" vm="1">
        <f t="array" ref="F111">_xlfn.TEXTJOIN(",",TRUE,_xlfn._xlws.FILTER(CLASSIFICATION[Keyword], ($E111=CLASSIFICATION[Keyword Aggr])*($D111=CLASSIFICATION[Functional Scope Aggr])))</f>
        <v>#VALUE!</v>
      </c>
      <c r="G111" s="32" t="e">
        <f t="shared" si="14"/>
        <v>#VALUE!</v>
      </c>
      <c r="H111" s="32" t="str">
        <f t="shared" si="14"/>
        <v/>
      </c>
      <c r="I111" s="32">
        <f t="shared" si="21"/>
        <v>0</v>
      </c>
      <c r="J111" s="33" t="str" cm="1">
        <f t="array" aca="1" ref="J111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($E111=CLASSIFICATION[[Keyword Aggr]:[Keyword Aggr]])*($D111=CLASSIFICATION[[Functional Scope Aggr]:[Functional Scope Aggr]])),
_xlpm._platform_keywords, _xlfn.TEXTSPLIT(SUBSTITUTE(SUBSTITUTE(VLOOKUP($D111,_xlpm._platform_range,3,FALSE),"+"&amp;CHAR(34),"+"),CHAR(34),""),", "),
_xlpm._exists, SUMPRODUCT(--ISNUMBER(MATCH(_xlpm._platform_keywords,_xlpm._original_keywords,0)))&gt;0,
_xlfn.IFS(AND(_xlpm._exists,LEFT($E111,1)="+"),"+",_xlpm._exists,"*",NOT(_xlpm._exists),"")
)</f>
        <v/>
      </c>
      <c r="K111" s="33" t="str" cm="1">
        <f t="array" aca="1" ref="K111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($E111=CLASSIFICATION[[Keyword Aggr]:[Keyword Aggr]])*($D111=CLASSIFICATION[[Functional Scope Aggr]:[Functional Scope Aggr]])),
_xlpm._platform_keywords, _xlfn.TEXTSPLIT(SUBSTITUTE(SUBSTITUTE(VLOOKUP($D111,_xlpm._platform_range,3,FALSE),"+"&amp;CHAR(34),"+"),CHAR(34),""),", "),
_xlpm._exists, SUMPRODUCT(--ISNUMBER(MATCH(_xlpm._platform_keywords,_xlpm._original_keywords,0)))&gt;0,
_xlfn.IFS(AND(_xlpm._exists,LEFT($E111,1)="+"),"+",_xlpm._exists,"*",NOT(_xlpm._exists),"")
)</f>
        <v/>
      </c>
      <c r="L111" s="33" t="str" cm="1">
        <f t="array" aca="1" ref="L111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($E111=CLASSIFICATION[[Keyword Aggr]:[Keyword Aggr]])*($D111=CLASSIFICATION[[Functional Scope Aggr]:[Functional Scope Aggr]])),
_xlpm._platform_keywords, _xlfn.TEXTSPLIT(SUBSTITUTE(SUBSTITUTE(VLOOKUP($D111,_xlpm._platform_range,3,FALSE),"+"&amp;CHAR(34),"+"),CHAR(34),""),", "),
_xlpm._exists, SUMPRODUCT(--ISNUMBER(MATCH(_xlpm._platform_keywords,_xlpm._original_keywords,0)))&gt;0,
_xlfn.IFS(AND(_xlpm._exists,LEFT($E111,1)="+"),"+",_xlpm._exists,"*",NOT(_xlpm._exists),"")
)</f>
        <v/>
      </c>
      <c r="M111" s="33" t="str" cm="1">
        <f t="array" aca="1" ref="M111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($E111=CLASSIFICATION[[Keyword Aggr]:[Keyword Aggr]])*($D111=CLASSIFICATION[[Functional Scope Aggr]:[Functional Scope Aggr]])),
_xlpm._platform_keywords, _xlfn.TEXTSPLIT(SUBSTITUTE(SUBSTITUTE(VLOOKUP($D111,_xlpm._platform_range,3,FALSE),"+"&amp;CHAR(34),"+"),CHAR(34),""),", "),
_xlpm._exists, SUMPRODUCT(--ISNUMBER(MATCH(_xlpm._platform_keywords,_xlpm._original_keywords,0)))&gt;0,
_xlfn.IFS(AND(_xlpm._exists,LEFT($E111,1)="+"),"+",_xlpm._exists,"*",NOT(_xlpm._exists),"")
)</f>
        <v/>
      </c>
      <c r="N111" s="33" t="str" cm="1">
        <f t="array" aca="1" ref="N111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($E111=CLASSIFICATION[[Keyword Aggr]:[Keyword Aggr]])*($D111=CLASSIFICATION[[Functional Scope Aggr]:[Functional Scope Aggr]])),
_xlpm._platform_keywords, _xlfn.TEXTSPLIT(SUBSTITUTE(SUBSTITUTE(VLOOKUP($D111,_xlpm._platform_range,3,FALSE),"+"&amp;CHAR(34),"+"),CHAR(34),""),", "),
_xlpm._exists, SUMPRODUCT(--ISNUMBER(MATCH(_xlpm._platform_keywords,_xlpm._original_keywords,0)))&gt;0,
_xlfn.IFS(AND(_xlpm._exists,LEFT($E111,1)="+"),"+",_xlpm._exists,"*",NOT(_xlpm._exists),"")
)</f>
        <v/>
      </c>
      <c r="O111" s="33" t="str" cm="1">
        <f t="array" aca="1" ref="O111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($E111=CLASSIFICATION[[Keyword Aggr]:[Keyword Aggr]])*($D111=CLASSIFICATION[[Functional Scope Aggr]:[Functional Scope Aggr]])),
_xlpm._platform_keywords, _xlfn.TEXTSPLIT(SUBSTITUTE(SUBSTITUTE(VLOOKUP($D111,_xlpm._platform_range,3,FALSE),"+"&amp;CHAR(34),"+"),CHAR(34),""),", "),
_xlpm._exists, SUMPRODUCT(--ISNUMBER(MATCH(_xlpm._platform_keywords,_xlpm._original_keywords,0)))&gt;0,
_xlfn.IFS(AND(_xlpm._exists,LEFT($E111,1)="+"),"+",_xlpm._exists,"*",NOT(_xlpm._exists),"")
)</f>
        <v/>
      </c>
      <c r="Q111" s="33" t="str">
        <f t="shared" si="15"/>
        <v/>
      </c>
      <c r="R111" s="33" t="str">
        <f t="shared" si="16"/>
        <v/>
      </c>
      <c r="S111" s="33" t="str">
        <f t="shared" si="17"/>
        <v/>
      </c>
      <c r="T111" s="33" t="str">
        <f t="shared" si="18"/>
        <v/>
      </c>
      <c r="U111" s="33" t="str">
        <f t="shared" si="19"/>
        <v/>
      </c>
      <c r="V111" s="33" t="str">
        <f t="shared" si="20"/>
        <v/>
      </c>
    </row>
    <row r="112" spans="1:22" x14ac:dyDescent="0.25">
      <c r="A112" s="19"/>
      <c r="B112" t="s">
        <v>377</v>
      </c>
      <c r="C112" s="19" t="e" cm="1">
        <f t="array" ref="C112">_xlfn.TEXTSPLIT(A112,",")</f>
        <v>#VALUE!</v>
      </c>
      <c r="D112" s="19"/>
      <c r="E112" s="19"/>
      <c r="F112" s="36" t="e" cm="1" vm="1">
        <f t="array" ref="F112">_xlfn.TEXTJOIN(",",TRUE,_xlfn._xlws.FILTER(CLASSIFICATION[Keyword], ($E112=CLASSIFICATION[Keyword Aggr])*($D112=CLASSIFICATION[Functional Scope Aggr])))</f>
        <v>#VALUE!</v>
      </c>
      <c r="G112" s="32" t="e">
        <f t="shared" si="14"/>
        <v>#VALUE!</v>
      </c>
      <c r="H112" s="32" t="str">
        <f t="shared" si="14"/>
        <v/>
      </c>
      <c r="I112" s="32">
        <f t="shared" si="21"/>
        <v>0</v>
      </c>
      <c r="J112" s="33" t="str" cm="1">
        <f t="array" aca="1" ref="J112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($E112=CLASSIFICATION[[Keyword Aggr]:[Keyword Aggr]])*($D112=CLASSIFICATION[[Functional Scope Aggr]:[Functional Scope Aggr]])),
_xlpm._platform_keywords, _xlfn.TEXTSPLIT(SUBSTITUTE(SUBSTITUTE(VLOOKUP($D112,_xlpm._platform_range,3,FALSE),"+"&amp;CHAR(34),"+"),CHAR(34),""),", "),
_xlpm._exists, SUMPRODUCT(--ISNUMBER(MATCH(_xlpm._platform_keywords,_xlpm._original_keywords,0)))&gt;0,
_xlfn.IFS(AND(_xlpm._exists,LEFT($E112,1)="+"),"+",_xlpm._exists,"*",NOT(_xlpm._exists),"")
)</f>
        <v/>
      </c>
      <c r="K112" s="33" t="str" cm="1">
        <f t="array" aca="1" ref="K112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($E112=CLASSIFICATION[[Keyword Aggr]:[Keyword Aggr]])*($D112=CLASSIFICATION[[Functional Scope Aggr]:[Functional Scope Aggr]])),
_xlpm._platform_keywords, _xlfn.TEXTSPLIT(SUBSTITUTE(SUBSTITUTE(VLOOKUP($D112,_xlpm._platform_range,3,FALSE),"+"&amp;CHAR(34),"+"),CHAR(34),""),", "),
_xlpm._exists, SUMPRODUCT(--ISNUMBER(MATCH(_xlpm._platform_keywords,_xlpm._original_keywords,0)))&gt;0,
_xlfn.IFS(AND(_xlpm._exists,LEFT($E112,1)="+"),"+",_xlpm._exists,"*",NOT(_xlpm._exists),"")
)</f>
        <v/>
      </c>
      <c r="L112" s="33" t="str" cm="1">
        <f t="array" aca="1" ref="L112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($E112=CLASSIFICATION[[Keyword Aggr]:[Keyword Aggr]])*($D112=CLASSIFICATION[[Functional Scope Aggr]:[Functional Scope Aggr]])),
_xlpm._platform_keywords, _xlfn.TEXTSPLIT(SUBSTITUTE(SUBSTITUTE(VLOOKUP($D112,_xlpm._platform_range,3,FALSE),"+"&amp;CHAR(34),"+"),CHAR(34),""),", "),
_xlpm._exists, SUMPRODUCT(--ISNUMBER(MATCH(_xlpm._platform_keywords,_xlpm._original_keywords,0)))&gt;0,
_xlfn.IFS(AND(_xlpm._exists,LEFT($E112,1)="+"),"+",_xlpm._exists,"*",NOT(_xlpm._exists),"")
)</f>
        <v/>
      </c>
      <c r="M112" s="33" t="str" cm="1">
        <f t="array" aca="1" ref="M112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($E112=CLASSIFICATION[[Keyword Aggr]:[Keyword Aggr]])*($D112=CLASSIFICATION[[Functional Scope Aggr]:[Functional Scope Aggr]])),
_xlpm._platform_keywords, _xlfn.TEXTSPLIT(SUBSTITUTE(SUBSTITUTE(VLOOKUP($D112,_xlpm._platform_range,3,FALSE),"+"&amp;CHAR(34),"+"),CHAR(34),""),", "),
_xlpm._exists, SUMPRODUCT(--ISNUMBER(MATCH(_xlpm._platform_keywords,_xlpm._original_keywords,0)))&gt;0,
_xlfn.IFS(AND(_xlpm._exists,LEFT($E112,1)="+"),"+",_xlpm._exists,"*",NOT(_xlpm._exists),"")
)</f>
        <v/>
      </c>
      <c r="N112" s="33" t="str" cm="1">
        <f t="array" aca="1" ref="N112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($E112=CLASSIFICATION[[Keyword Aggr]:[Keyword Aggr]])*($D112=CLASSIFICATION[[Functional Scope Aggr]:[Functional Scope Aggr]])),
_xlpm._platform_keywords, _xlfn.TEXTSPLIT(SUBSTITUTE(SUBSTITUTE(VLOOKUP($D112,_xlpm._platform_range,3,FALSE),"+"&amp;CHAR(34),"+"),CHAR(34),""),", "),
_xlpm._exists, SUMPRODUCT(--ISNUMBER(MATCH(_xlpm._platform_keywords,_xlpm._original_keywords,0)))&gt;0,
_xlfn.IFS(AND(_xlpm._exists,LEFT($E112,1)="+"),"+",_xlpm._exists,"*",NOT(_xlpm._exists),"")
)</f>
        <v/>
      </c>
      <c r="O112" s="33" t="str" cm="1">
        <f t="array" aca="1" ref="O112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($E112=CLASSIFICATION[[Keyword Aggr]:[Keyword Aggr]])*($D112=CLASSIFICATION[[Functional Scope Aggr]:[Functional Scope Aggr]])),
_xlpm._platform_keywords, _xlfn.TEXTSPLIT(SUBSTITUTE(SUBSTITUTE(VLOOKUP($D112,_xlpm._platform_range,3,FALSE),"+"&amp;CHAR(34),"+"),CHAR(34),""),", "),
_xlpm._exists, SUMPRODUCT(--ISNUMBER(MATCH(_xlpm._platform_keywords,_xlpm._original_keywords,0)))&gt;0,
_xlfn.IFS(AND(_xlpm._exists,LEFT($E112,1)="+"),"+",_xlpm._exists,"*",NOT(_xlpm._exists),"")
)</f>
        <v/>
      </c>
      <c r="Q112" s="33" t="str">
        <f t="shared" si="15"/>
        <v/>
      </c>
      <c r="R112" s="33" t="str">
        <f t="shared" si="16"/>
        <v/>
      </c>
      <c r="S112" s="33" t="str">
        <f t="shared" si="17"/>
        <v/>
      </c>
      <c r="T112" s="33" t="str">
        <f t="shared" si="18"/>
        <v/>
      </c>
      <c r="U112" s="33" t="str">
        <f t="shared" si="19"/>
        <v/>
      </c>
      <c r="V112" s="33" t="str">
        <f t="shared" si="20"/>
        <v/>
      </c>
    </row>
    <row r="113" spans="1:22" x14ac:dyDescent="0.25">
      <c r="A113" s="19"/>
      <c r="B113" t="s">
        <v>377</v>
      </c>
      <c r="C113" s="19" t="e" cm="1">
        <f t="array" ref="C113">_xlfn.TEXTSPLIT(A113,",")</f>
        <v>#VALUE!</v>
      </c>
      <c r="D113" s="19"/>
      <c r="E113" s="19"/>
      <c r="F113" s="36" t="e" cm="1" vm="1">
        <f t="array" ref="F113">_xlfn.TEXTJOIN(",",TRUE,_xlfn._xlws.FILTER(CLASSIFICATION[Keyword], ($E113=CLASSIFICATION[Keyword Aggr])*($D113=CLASSIFICATION[Functional Scope Aggr])))</f>
        <v>#VALUE!</v>
      </c>
      <c r="G113" s="32" t="e">
        <f t="shared" si="14"/>
        <v>#VALUE!</v>
      </c>
      <c r="H113" s="32" t="str">
        <f t="shared" si="14"/>
        <v/>
      </c>
      <c r="I113" s="32">
        <f t="shared" si="21"/>
        <v>0</v>
      </c>
      <c r="J113" s="33" t="str" cm="1">
        <f t="array" aca="1" ref="J113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($E113=CLASSIFICATION[[Keyword Aggr]:[Keyword Aggr]])*($D113=CLASSIFICATION[[Functional Scope Aggr]:[Functional Scope Aggr]])),
_xlpm._platform_keywords, _xlfn.TEXTSPLIT(SUBSTITUTE(SUBSTITUTE(VLOOKUP($D113,_xlpm._platform_range,3,FALSE),"+"&amp;CHAR(34),"+"),CHAR(34),""),", "),
_xlpm._exists, SUMPRODUCT(--ISNUMBER(MATCH(_xlpm._platform_keywords,_xlpm._original_keywords,0)))&gt;0,
_xlfn.IFS(AND(_xlpm._exists,LEFT($E113,1)="+"),"+",_xlpm._exists,"*",NOT(_xlpm._exists),"")
)</f>
        <v/>
      </c>
      <c r="K113" s="33" t="str" cm="1">
        <f t="array" aca="1" ref="K113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($E113=CLASSIFICATION[[Keyword Aggr]:[Keyword Aggr]])*($D113=CLASSIFICATION[[Functional Scope Aggr]:[Functional Scope Aggr]])),
_xlpm._platform_keywords, _xlfn.TEXTSPLIT(SUBSTITUTE(SUBSTITUTE(VLOOKUP($D113,_xlpm._platform_range,3,FALSE),"+"&amp;CHAR(34),"+"),CHAR(34),""),", "),
_xlpm._exists, SUMPRODUCT(--ISNUMBER(MATCH(_xlpm._platform_keywords,_xlpm._original_keywords,0)))&gt;0,
_xlfn.IFS(AND(_xlpm._exists,LEFT($E113,1)="+"),"+",_xlpm._exists,"*",NOT(_xlpm._exists),"")
)</f>
        <v/>
      </c>
      <c r="L113" s="33" t="str" cm="1">
        <f t="array" aca="1" ref="L113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($E113=CLASSIFICATION[[Keyword Aggr]:[Keyword Aggr]])*($D113=CLASSIFICATION[[Functional Scope Aggr]:[Functional Scope Aggr]])),
_xlpm._platform_keywords, _xlfn.TEXTSPLIT(SUBSTITUTE(SUBSTITUTE(VLOOKUP($D113,_xlpm._platform_range,3,FALSE),"+"&amp;CHAR(34),"+"),CHAR(34),""),", "),
_xlpm._exists, SUMPRODUCT(--ISNUMBER(MATCH(_xlpm._platform_keywords,_xlpm._original_keywords,0)))&gt;0,
_xlfn.IFS(AND(_xlpm._exists,LEFT($E113,1)="+"),"+",_xlpm._exists,"*",NOT(_xlpm._exists),"")
)</f>
        <v/>
      </c>
      <c r="M113" s="33" t="str" cm="1">
        <f t="array" aca="1" ref="M113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($E113=CLASSIFICATION[[Keyword Aggr]:[Keyword Aggr]])*($D113=CLASSIFICATION[[Functional Scope Aggr]:[Functional Scope Aggr]])),
_xlpm._platform_keywords, _xlfn.TEXTSPLIT(SUBSTITUTE(SUBSTITUTE(VLOOKUP($D113,_xlpm._platform_range,3,FALSE),"+"&amp;CHAR(34),"+"),CHAR(34),""),", "),
_xlpm._exists, SUMPRODUCT(--ISNUMBER(MATCH(_xlpm._platform_keywords,_xlpm._original_keywords,0)))&gt;0,
_xlfn.IFS(AND(_xlpm._exists,LEFT($E113,1)="+"),"+",_xlpm._exists,"*",NOT(_xlpm._exists),"")
)</f>
        <v/>
      </c>
      <c r="N113" s="33" t="str" cm="1">
        <f t="array" aca="1" ref="N113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($E113=CLASSIFICATION[[Keyword Aggr]:[Keyword Aggr]])*($D113=CLASSIFICATION[[Functional Scope Aggr]:[Functional Scope Aggr]])),
_xlpm._platform_keywords, _xlfn.TEXTSPLIT(SUBSTITUTE(SUBSTITUTE(VLOOKUP($D113,_xlpm._platform_range,3,FALSE),"+"&amp;CHAR(34),"+"),CHAR(34),""),", "),
_xlpm._exists, SUMPRODUCT(--ISNUMBER(MATCH(_xlpm._platform_keywords,_xlpm._original_keywords,0)))&gt;0,
_xlfn.IFS(AND(_xlpm._exists,LEFT($E113,1)="+"),"+",_xlpm._exists,"*",NOT(_xlpm._exists),"")
)</f>
        <v/>
      </c>
      <c r="O113" s="33" t="str" cm="1">
        <f t="array" aca="1" ref="O113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($E113=CLASSIFICATION[[Keyword Aggr]:[Keyword Aggr]])*($D113=CLASSIFICATION[[Functional Scope Aggr]:[Functional Scope Aggr]])),
_xlpm._platform_keywords, _xlfn.TEXTSPLIT(SUBSTITUTE(SUBSTITUTE(VLOOKUP($D113,_xlpm._platform_range,3,FALSE),"+"&amp;CHAR(34),"+"),CHAR(34),""),", "),
_xlpm._exists, SUMPRODUCT(--ISNUMBER(MATCH(_xlpm._platform_keywords,_xlpm._original_keywords,0)))&gt;0,
_xlfn.IFS(AND(_xlpm._exists,LEFT($E113,1)="+"),"+",_xlpm._exists,"*",NOT(_xlpm._exists),"")
)</f>
        <v/>
      </c>
      <c r="Q113" s="33" t="str">
        <f t="shared" si="15"/>
        <v/>
      </c>
      <c r="R113" s="33" t="str">
        <f t="shared" si="16"/>
        <v/>
      </c>
      <c r="S113" s="33" t="str">
        <f t="shared" si="17"/>
        <v/>
      </c>
      <c r="T113" s="33" t="str">
        <f t="shared" si="18"/>
        <v/>
      </c>
      <c r="U113" s="33" t="str">
        <f t="shared" si="19"/>
        <v/>
      </c>
      <c r="V113" s="33" t="str">
        <f t="shared" si="20"/>
        <v/>
      </c>
    </row>
    <row r="114" spans="1:22" x14ac:dyDescent="0.25">
      <c r="A114" s="19"/>
      <c r="B114" t="s">
        <v>377</v>
      </c>
      <c r="C114" s="19" t="e" cm="1">
        <f t="array" ref="C114">_xlfn.TEXTSPLIT(A114,",")</f>
        <v>#VALUE!</v>
      </c>
      <c r="D114" s="19"/>
      <c r="E114" s="19"/>
      <c r="F114" s="36" t="e" cm="1" vm="1">
        <f t="array" ref="F114">_xlfn.TEXTJOIN(",",TRUE,_xlfn._xlws.FILTER(CLASSIFICATION[Keyword], ($E114=CLASSIFICATION[Keyword Aggr])*($D114=CLASSIFICATION[Functional Scope Aggr])))</f>
        <v>#VALUE!</v>
      </c>
      <c r="G114" s="32" t="e">
        <f t="shared" si="14"/>
        <v>#VALUE!</v>
      </c>
      <c r="H114" s="32" t="str">
        <f t="shared" si="14"/>
        <v/>
      </c>
      <c r="I114" s="32">
        <f t="shared" si="21"/>
        <v>0</v>
      </c>
      <c r="J114" s="33" t="str" cm="1">
        <f t="array" aca="1" ref="J114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($E114=CLASSIFICATION[[Keyword Aggr]:[Keyword Aggr]])*($D114=CLASSIFICATION[[Functional Scope Aggr]:[Functional Scope Aggr]])),
_xlpm._platform_keywords, _xlfn.TEXTSPLIT(SUBSTITUTE(SUBSTITUTE(VLOOKUP($D114,_xlpm._platform_range,3,FALSE),"+"&amp;CHAR(34),"+"),CHAR(34),""),", "),
_xlpm._exists, SUMPRODUCT(--ISNUMBER(MATCH(_xlpm._platform_keywords,_xlpm._original_keywords,0)))&gt;0,
_xlfn.IFS(AND(_xlpm._exists,LEFT($E114,1)="+"),"+",_xlpm._exists,"*",NOT(_xlpm._exists),"")
)</f>
        <v/>
      </c>
      <c r="K114" s="33" t="str" cm="1">
        <f t="array" aca="1" ref="K114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($E114=CLASSIFICATION[[Keyword Aggr]:[Keyword Aggr]])*($D114=CLASSIFICATION[[Functional Scope Aggr]:[Functional Scope Aggr]])),
_xlpm._platform_keywords, _xlfn.TEXTSPLIT(SUBSTITUTE(SUBSTITUTE(VLOOKUP($D114,_xlpm._platform_range,3,FALSE),"+"&amp;CHAR(34),"+"),CHAR(34),""),", "),
_xlpm._exists, SUMPRODUCT(--ISNUMBER(MATCH(_xlpm._platform_keywords,_xlpm._original_keywords,0)))&gt;0,
_xlfn.IFS(AND(_xlpm._exists,LEFT($E114,1)="+"),"+",_xlpm._exists,"*",NOT(_xlpm._exists),"")
)</f>
        <v/>
      </c>
      <c r="L114" s="33" t="str" cm="1">
        <f t="array" aca="1" ref="L114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($E114=CLASSIFICATION[[Keyword Aggr]:[Keyword Aggr]])*($D114=CLASSIFICATION[[Functional Scope Aggr]:[Functional Scope Aggr]])),
_xlpm._platform_keywords, _xlfn.TEXTSPLIT(SUBSTITUTE(SUBSTITUTE(VLOOKUP($D114,_xlpm._platform_range,3,FALSE),"+"&amp;CHAR(34),"+"),CHAR(34),""),", "),
_xlpm._exists, SUMPRODUCT(--ISNUMBER(MATCH(_xlpm._platform_keywords,_xlpm._original_keywords,0)))&gt;0,
_xlfn.IFS(AND(_xlpm._exists,LEFT($E114,1)="+"),"+",_xlpm._exists,"*",NOT(_xlpm._exists),"")
)</f>
        <v/>
      </c>
      <c r="M114" s="33" t="str" cm="1">
        <f t="array" aca="1" ref="M114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($E114=CLASSIFICATION[[Keyword Aggr]:[Keyword Aggr]])*($D114=CLASSIFICATION[[Functional Scope Aggr]:[Functional Scope Aggr]])),
_xlpm._platform_keywords, _xlfn.TEXTSPLIT(SUBSTITUTE(SUBSTITUTE(VLOOKUP($D114,_xlpm._platform_range,3,FALSE),"+"&amp;CHAR(34),"+"),CHAR(34),""),", "),
_xlpm._exists, SUMPRODUCT(--ISNUMBER(MATCH(_xlpm._platform_keywords,_xlpm._original_keywords,0)))&gt;0,
_xlfn.IFS(AND(_xlpm._exists,LEFT($E114,1)="+"),"+",_xlpm._exists,"*",NOT(_xlpm._exists),"")
)</f>
        <v/>
      </c>
      <c r="N114" s="33" t="str" cm="1">
        <f t="array" aca="1" ref="N114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($E114=CLASSIFICATION[[Keyword Aggr]:[Keyword Aggr]])*($D114=CLASSIFICATION[[Functional Scope Aggr]:[Functional Scope Aggr]])),
_xlpm._platform_keywords, _xlfn.TEXTSPLIT(SUBSTITUTE(SUBSTITUTE(VLOOKUP($D114,_xlpm._platform_range,3,FALSE),"+"&amp;CHAR(34),"+"),CHAR(34),""),", "),
_xlpm._exists, SUMPRODUCT(--ISNUMBER(MATCH(_xlpm._platform_keywords,_xlpm._original_keywords,0)))&gt;0,
_xlfn.IFS(AND(_xlpm._exists,LEFT($E114,1)="+"),"+",_xlpm._exists,"*",NOT(_xlpm._exists),"")
)</f>
        <v/>
      </c>
      <c r="O114" s="33" t="str" cm="1">
        <f t="array" aca="1" ref="O114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($E114=CLASSIFICATION[[Keyword Aggr]:[Keyword Aggr]])*($D114=CLASSIFICATION[[Functional Scope Aggr]:[Functional Scope Aggr]])),
_xlpm._platform_keywords, _xlfn.TEXTSPLIT(SUBSTITUTE(SUBSTITUTE(VLOOKUP($D114,_xlpm._platform_range,3,FALSE),"+"&amp;CHAR(34),"+"),CHAR(34),""),", "),
_xlpm._exists, SUMPRODUCT(--ISNUMBER(MATCH(_xlpm._platform_keywords,_xlpm._original_keywords,0)))&gt;0,
_xlfn.IFS(AND(_xlpm._exists,LEFT($E114,1)="+"),"+",_xlpm._exists,"*",NOT(_xlpm._exists),"")
)</f>
        <v/>
      </c>
      <c r="Q114" s="33" t="str">
        <f t="shared" si="15"/>
        <v/>
      </c>
      <c r="R114" s="33" t="str">
        <f t="shared" si="16"/>
        <v/>
      </c>
      <c r="S114" s="33" t="str">
        <f t="shared" si="17"/>
        <v/>
      </c>
      <c r="T114" s="33" t="str">
        <f t="shared" si="18"/>
        <v/>
      </c>
      <c r="U114" s="33" t="str">
        <f t="shared" si="19"/>
        <v/>
      </c>
      <c r="V114" s="33" t="str">
        <f t="shared" si="20"/>
        <v/>
      </c>
    </row>
    <row r="115" spans="1:22" x14ac:dyDescent="0.25">
      <c r="A115" s="19"/>
      <c r="B115" t="s">
        <v>377</v>
      </c>
      <c r="C115" s="19" t="e" cm="1">
        <f t="array" ref="C115">_xlfn.TEXTSPLIT(A115,",")</f>
        <v>#VALUE!</v>
      </c>
      <c r="D115" s="19"/>
      <c r="E115" s="19"/>
      <c r="F115" s="36" t="e" cm="1" vm="1">
        <f t="array" ref="F115">_xlfn.TEXTJOIN(",",TRUE,_xlfn._xlws.FILTER(CLASSIFICATION[Keyword], ($E115=CLASSIFICATION[Keyword Aggr])*($D115=CLASSIFICATION[Functional Scope Aggr])))</f>
        <v>#VALUE!</v>
      </c>
      <c r="G115" s="32" t="e">
        <f t="shared" si="14"/>
        <v>#VALUE!</v>
      </c>
      <c r="H115" s="32" t="str">
        <f t="shared" si="14"/>
        <v/>
      </c>
      <c r="I115" s="32">
        <f t="shared" si="21"/>
        <v>0</v>
      </c>
      <c r="J115" s="33" t="str" cm="1">
        <f t="array" aca="1" ref="J115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($E115=CLASSIFICATION[[Keyword Aggr]:[Keyword Aggr]])*($D115=CLASSIFICATION[[Functional Scope Aggr]:[Functional Scope Aggr]])),
_xlpm._platform_keywords, _xlfn.TEXTSPLIT(SUBSTITUTE(SUBSTITUTE(VLOOKUP($D115,_xlpm._platform_range,3,FALSE),"+"&amp;CHAR(34),"+"),CHAR(34),""),", "),
_xlpm._exists, SUMPRODUCT(--ISNUMBER(MATCH(_xlpm._platform_keywords,_xlpm._original_keywords,0)))&gt;0,
_xlfn.IFS(AND(_xlpm._exists,LEFT($E115,1)="+"),"+",_xlpm._exists,"*",NOT(_xlpm._exists),"")
)</f>
        <v/>
      </c>
      <c r="K115" s="33" t="str" cm="1">
        <f t="array" aca="1" ref="K115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($E115=CLASSIFICATION[[Keyword Aggr]:[Keyword Aggr]])*($D115=CLASSIFICATION[[Functional Scope Aggr]:[Functional Scope Aggr]])),
_xlpm._platform_keywords, _xlfn.TEXTSPLIT(SUBSTITUTE(SUBSTITUTE(VLOOKUP($D115,_xlpm._platform_range,3,FALSE),"+"&amp;CHAR(34),"+"),CHAR(34),""),", "),
_xlpm._exists, SUMPRODUCT(--ISNUMBER(MATCH(_xlpm._platform_keywords,_xlpm._original_keywords,0)))&gt;0,
_xlfn.IFS(AND(_xlpm._exists,LEFT($E115,1)="+"),"+",_xlpm._exists,"*",NOT(_xlpm._exists),"")
)</f>
        <v/>
      </c>
      <c r="L115" s="33" t="str" cm="1">
        <f t="array" aca="1" ref="L115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($E115=CLASSIFICATION[[Keyword Aggr]:[Keyword Aggr]])*($D115=CLASSIFICATION[[Functional Scope Aggr]:[Functional Scope Aggr]])),
_xlpm._platform_keywords, _xlfn.TEXTSPLIT(SUBSTITUTE(SUBSTITUTE(VLOOKUP($D115,_xlpm._platform_range,3,FALSE),"+"&amp;CHAR(34),"+"),CHAR(34),""),", "),
_xlpm._exists, SUMPRODUCT(--ISNUMBER(MATCH(_xlpm._platform_keywords,_xlpm._original_keywords,0)))&gt;0,
_xlfn.IFS(AND(_xlpm._exists,LEFT($E115,1)="+"),"+",_xlpm._exists,"*",NOT(_xlpm._exists),"")
)</f>
        <v/>
      </c>
      <c r="M115" s="33" t="str" cm="1">
        <f t="array" aca="1" ref="M115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($E115=CLASSIFICATION[[Keyword Aggr]:[Keyword Aggr]])*($D115=CLASSIFICATION[[Functional Scope Aggr]:[Functional Scope Aggr]])),
_xlpm._platform_keywords, _xlfn.TEXTSPLIT(SUBSTITUTE(SUBSTITUTE(VLOOKUP($D115,_xlpm._platform_range,3,FALSE),"+"&amp;CHAR(34),"+"),CHAR(34),""),", "),
_xlpm._exists, SUMPRODUCT(--ISNUMBER(MATCH(_xlpm._platform_keywords,_xlpm._original_keywords,0)))&gt;0,
_xlfn.IFS(AND(_xlpm._exists,LEFT($E115,1)="+"),"+",_xlpm._exists,"*",NOT(_xlpm._exists),"")
)</f>
        <v/>
      </c>
      <c r="N115" s="33" t="str" cm="1">
        <f t="array" aca="1" ref="N115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($E115=CLASSIFICATION[[Keyword Aggr]:[Keyword Aggr]])*($D115=CLASSIFICATION[[Functional Scope Aggr]:[Functional Scope Aggr]])),
_xlpm._platform_keywords, _xlfn.TEXTSPLIT(SUBSTITUTE(SUBSTITUTE(VLOOKUP($D115,_xlpm._platform_range,3,FALSE),"+"&amp;CHAR(34),"+"),CHAR(34),""),", "),
_xlpm._exists, SUMPRODUCT(--ISNUMBER(MATCH(_xlpm._platform_keywords,_xlpm._original_keywords,0)))&gt;0,
_xlfn.IFS(AND(_xlpm._exists,LEFT($E115,1)="+"),"+",_xlpm._exists,"*",NOT(_xlpm._exists),"")
)</f>
        <v/>
      </c>
      <c r="O115" s="33" t="str" cm="1">
        <f t="array" aca="1" ref="O115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($E115=CLASSIFICATION[[Keyword Aggr]:[Keyword Aggr]])*($D115=CLASSIFICATION[[Functional Scope Aggr]:[Functional Scope Aggr]])),
_xlpm._platform_keywords, _xlfn.TEXTSPLIT(SUBSTITUTE(SUBSTITUTE(VLOOKUP($D115,_xlpm._platform_range,3,FALSE),"+"&amp;CHAR(34),"+"),CHAR(34),""),", "),
_xlpm._exists, SUMPRODUCT(--ISNUMBER(MATCH(_xlpm._platform_keywords,_xlpm._original_keywords,0)))&gt;0,
_xlfn.IFS(AND(_xlpm._exists,LEFT($E115,1)="+"),"+",_xlpm._exists,"*",NOT(_xlpm._exists),"")
)</f>
        <v/>
      </c>
      <c r="Q115" s="33" t="str">
        <f t="shared" si="15"/>
        <v/>
      </c>
      <c r="R115" s="33" t="str">
        <f t="shared" si="16"/>
        <v/>
      </c>
      <c r="S115" s="33" t="str">
        <f t="shared" si="17"/>
        <v/>
      </c>
      <c r="T115" s="33" t="str">
        <f t="shared" si="18"/>
        <v/>
      </c>
      <c r="U115" s="33" t="str">
        <f t="shared" si="19"/>
        <v/>
      </c>
      <c r="V115" s="33" t="str">
        <f t="shared" si="20"/>
        <v/>
      </c>
    </row>
    <row r="116" spans="1:22" x14ac:dyDescent="0.25">
      <c r="A116" s="19"/>
      <c r="B116" t="s">
        <v>377</v>
      </c>
      <c r="C116" s="19" t="e" cm="1">
        <f t="array" ref="C116">_xlfn.TEXTSPLIT(A116,",")</f>
        <v>#VALUE!</v>
      </c>
      <c r="D116" s="19"/>
      <c r="E116" s="19"/>
      <c r="F116" s="36" t="e" cm="1" vm="1">
        <f t="array" ref="F116">_xlfn.TEXTJOIN(",",TRUE,_xlfn._xlws.FILTER(CLASSIFICATION[Keyword], ($E116=CLASSIFICATION[Keyword Aggr])*($D116=CLASSIFICATION[Functional Scope Aggr])))</f>
        <v>#VALUE!</v>
      </c>
      <c r="G116" s="32" t="e">
        <f t="shared" si="14"/>
        <v>#VALUE!</v>
      </c>
      <c r="H116" s="32" t="str">
        <f t="shared" si="14"/>
        <v/>
      </c>
      <c r="I116" s="32">
        <f t="shared" si="21"/>
        <v>0</v>
      </c>
      <c r="J116" s="33" t="str" cm="1">
        <f t="array" aca="1" ref="J116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($E116=CLASSIFICATION[[Keyword Aggr]:[Keyword Aggr]])*($D116=CLASSIFICATION[[Functional Scope Aggr]:[Functional Scope Aggr]])),
_xlpm._platform_keywords, _xlfn.TEXTSPLIT(SUBSTITUTE(SUBSTITUTE(VLOOKUP($D116,_xlpm._platform_range,3,FALSE),"+"&amp;CHAR(34),"+"),CHAR(34),""),", "),
_xlpm._exists, SUMPRODUCT(--ISNUMBER(MATCH(_xlpm._platform_keywords,_xlpm._original_keywords,0)))&gt;0,
_xlfn.IFS(AND(_xlpm._exists,LEFT($E116,1)="+"),"+",_xlpm._exists,"*",NOT(_xlpm._exists),"")
)</f>
        <v/>
      </c>
      <c r="K116" s="33" t="str" cm="1">
        <f t="array" aca="1" ref="K116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($E116=CLASSIFICATION[[Keyword Aggr]:[Keyword Aggr]])*($D116=CLASSIFICATION[[Functional Scope Aggr]:[Functional Scope Aggr]])),
_xlpm._platform_keywords, _xlfn.TEXTSPLIT(SUBSTITUTE(SUBSTITUTE(VLOOKUP($D116,_xlpm._platform_range,3,FALSE),"+"&amp;CHAR(34),"+"),CHAR(34),""),", "),
_xlpm._exists, SUMPRODUCT(--ISNUMBER(MATCH(_xlpm._platform_keywords,_xlpm._original_keywords,0)))&gt;0,
_xlfn.IFS(AND(_xlpm._exists,LEFT($E116,1)="+"),"+",_xlpm._exists,"*",NOT(_xlpm._exists),"")
)</f>
        <v/>
      </c>
      <c r="L116" s="33" t="str" cm="1">
        <f t="array" aca="1" ref="L116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($E116=CLASSIFICATION[[Keyword Aggr]:[Keyword Aggr]])*($D116=CLASSIFICATION[[Functional Scope Aggr]:[Functional Scope Aggr]])),
_xlpm._platform_keywords, _xlfn.TEXTSPLIT(SUBSTITUTE(SUBSTITUTE(VLOOKUP($D116,_xlpm._platform_range,3,FALSE),"+"&amp;CHAR(34),"+"),CHAR(34),""),", "),
_xlpm._exists, SUMPRODUCT(--ISNUMBER(MATCH(_xlpm._platform_keywords,_xlpm._original_keywords,0)))&gt;0,
_xlfn.IFS(AND(_xlpm._exists,LEFT($E116,1)="+"),"+",_xlpm._exists,"*",NOT(_xlpm._exists),"")
)</f>
        <v/>
      </c>
      <c r="M116" s="33" t="str" cm="1">
        <f t="array" aca="1" ref="M116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($E116=CLASSIFICATION[[Keyword Aggr]:[Keyword Aggr]])*($D116=CLASSIFICATION[[Functional Scope Aggr]:[Functional Scope Aggr]])),
_xlpm._platform_keywords, _xlfn.TEXTSPLIT(SUBSTITUTE(SUBSTITUTE(VLOOKUP($D116,_xlpm._platform_range,3,FALSE),"+"&amp;CHAR(34),"+"),CHAR(34),""),", "),
_xlpm._exists, SUMPRODUCT(--ISNUMBER(MATCH(_xlpm._platform_keywords,_xlpm._original_keywords,0)))&gt;0,
_xlfn.IFS(AND(_xlpm._exists,LEFT($E116,1)="+"),"+",_xlpm._exists,"*",NOT(_xlpm._exists),"")
)</f>
        <v/>
      </c>
      <c r="N116" s="33" t="str" cm="1">
        <f t="array" aca="1" ref="N116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($E116=CLASSIFICATION[[Keyword Aggr]:[Keyword Aggr]])*($D116=CLASSIFICATION[[Functional Scope Aggr]:[Functional Scope Aggr]])),
_xlpm._platform_keywords, _xlfn.TEXTSPLIT(SUBSTITUTE(SUBSTITUTE(VLOOKUP($D116,_xlpm._platform_range,3,FALSE),"+"&amp;CHAR(34),"+"),CHAR(34),""),", "),
_xlpm._exists, SUMPRODUCT(--ISNUMBER(MATCH(_xlpm._platform_keywords,_xlpm._original_keywords,0)))&gt;0,
_xlfn.IFS(AND(_xlpm._exists,LEFT($E116,1)="+"),"+",_xlpm._exists,"*",NOT(_xlpm._exists),"")
)</f>
        <v/>
      </c>
      <c r="O116" s="33" t="str" cm="1">
        <f t="array" aca="1" ref="O116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($E116=CLASSIFICATION[[Keyword Aggr]:[Keyword Aggr]])*($D116=CLASSIFICATION[[Functional Scope Aggr]:[Functional Scope Aggr]])),
_xlpm._platform_keywords, _xlfn.TEXTSPLIT(SUBSTITUTE(SUBSTITUTE(VLOOKUP($D116,_xlpm._platform_range,3,FALSE),"+"&amp;CHAR(34),"+"),CHAR(34),""),", "),
_xlpm._exists, SUMPRODUCT(--ISNUMBER(MATCH(_xlpm._platform_keywords,_xlpm._original_keywords,0)))&gt;0,
_xlfn.IFS(AND(_xlpm._exists,LEFT($E116,1)="+"),"+",_xlpm._exists,"*",NOT(_xlpm._exists),"")
)</f>
        <v/>
      </c>
      <c r="Q116" s="33" t="str">
        <f t="shared" si="15"/>
        <v/>
      </c>
      <c r="R116" s="33" t="str">
        <f t="shared" si="16"/>
        <v/>
      </c>
      <c r="S116" s="33" t="str">
        <f t="shared" si="17"/>
        <v/>
      </c>
      <c r="T116" s="33" t="str">
        <f t="shared" si="18"/>
        <v/>
      </c>
      <c r="U116" s="33" t="str">
        <f t="shared" si="19"/>
        <v/>
      </c>
      <c r="V116" s="33" t="str">
        <f t="shared" si="20"/>
        <v/>
      </c>
    </row>
    <row r="117" spans="1:22" x14ac:dyDescent="0.25">
      <c r="A117" s="19"/>
      <c r="B117" t="s">
        <v>377</v>
      </c>
      <c r="C117" s="19" t="e" cm="1">
        <f t="array" ref="C117">_xlfn.TEXTSPLIT(A117,",")</f>
        <v>#VALUE!</v>
      </c>
      <c r="D117" s="19"/>
      <c r="E117" s="19"/>
      <c r="F117" s="36" t="e" cm="1" vm="1">
        <f t="array" ref="F117">_xlfn.TEXTJOIN(",",TRUE,_xlfn._xlws.FILTER(CLASSIFICATION[Keyword], ($E117=CLASSIFICATION[Keyword Aggr])*($D117=CLASSIFICATION[Functional Scope Aggr])))</f>
        <v>#VALUE!</v>
      </c>
      <c r="G117" s="32" t="e">
        <f t="shared" si="14"/>
        <v>#VALUE!</v>
      </c>
      <c r="H117" s="32" t="str">
        <f t="shared" si="14"/>
        <v/>
      </c>
      <c r="I117" s="32">
        <f t="shared" si="21"/>
        <v>0</v>
      </c>
      <c r="J117" s="33" t="str" cm="1">
        <f t="array" aca="1" ref="J117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($E117=CLASSIFICATION[[Keyword Aggr]:[Keyword Aggr]])*($D117=CLASSIFICATION[[Functional Scope Aggr]:[Functional Scope Aggr]])),
_xlpm._platform_keywords, _xlfn.TEXTSPLIT(SUBSTITUTE(SUBSTITUTE(VLOOKUP($D117,_xlpm._platform_range,3,FALSE),"+"&amp;CHAR(34),"+"),CHAR(34),""),", "),
_xlpm._exists, SUMPRODUCT(--ISNUMBER(MATCH(_xlpm._platform_keywords,_xlpm._original_keywords,0)))&gt;0,
_xlfn.IFS(AND(_xlpm._exists,LEFT($E117,1)="+"),"+",_xlpm._exists,"*",NOT(_xlpm._exists),"")
)</f>
        <v/>
      </c>
      <c r="K117" s="33" t="str" cm="1">
        <f t="array" aca="1" ref="K117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($E117=CLASSIFICATION[[Keyword Aggr]:[Keyword Aggr]])*($D117=CLASSIFICATION[[Functional Scope Aggr]:[Functional Scope Aggr]])),
_xlpm._platform_keywords, _xlfn.TEXTSPLIT(SUBSTITUTE(SUBSTITUTE(VLOOKUP($D117,_xlpm._platform_range,3,FALSE),"+"&amp;CHAR(34),"+"),CHAR(34),""),", "),
_xlpm._exists, SUMPRODUCT(--ISNUMBER(MATCH(_xlpm._platform_keywords,_xlpm._original_keywords,0)))&gt;0,
_xlfn.IFS(AND(_xlpm._exists,LEFT($E117,1)="+"),"+",_xlpm._exists,"*",NOT(_xlpm._exists),"")
)</f>
        <v/>
      </c>
      <c r="L117" s="33" t="str" cm="1">
        <f t="array" aca="1" ref="L117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($E117=CLASSIFICATION[[Keyword Aggr]:[Keyword Aggr]])*($D117=CLASSIFICATION[[Functional Scope Aggr]:[Functional Scope Aggr]])),
_xlpm._platform_keywords, _xlfn.TEXTSPLIT(SUBSTITUTE(SUBSTITUTE(VLOOKUP($D117,_xlpm._platform_range,3,FALSE),"+"&amp;CHAR(34),"+"),CHAR(34),""),", "),
_xlpm._exists, SUMPRODUCT(--ISNUMBER(MATCH(_xlpm._platform_keywords,_xlpm._original_keywords,0)))&gt;0,
_xlfn.IFS(AND(_xlpm._exists,LEFT($E117,1)="+"),"+",_xlpm._exists,"*",NOT(_xlpm._exists),"")
)</f>
        <v/>
      </c>
      <c r="M117" s="33" t="str" cm="1">
        <f t="array" aca="1" ref="M117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($E117=CLASSIFICATION[[Keyword Aggr]:[Keyword Aggr]])*($D117=CLASSIFICATION[[Functional Scope Aggr]:[Functional Scope Aggr]])),
_xlpm._platform_keywords, _xlfn.TEXTSPLIT(SUBSTITUTE(SUBSTITUTE(VLOOKUP($D117,_xlpm._platform_range,3,FALSE),"+"&amp;CHAR(34),"+"),CHAR(34),""),", "),
_xlpm._exists, SUMPRODUCT(--ISNUMBER(MATCH(_xlpm._platform_keywords,_xlpm._original_keywords,0)))&gt;0,
_xlfn.IFS(AND(_xlpm._exists,LEFT($E117,1)="+"),"+",_xlpm._exists,"*",NOT(_xlpm._exists),"")
)</f>
        <v/>
      </c>
      <c r="N117" s="33" t="str" cm="1">
        <f t="array" aca="1" ref="N117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($E117=CLASSIFICATION[[Keyword Aggr]:[Keyword Aggr]])*($D117=CLASSIFICATION[[Functional Scope Aggr]:[Functional Scope Aggr]])),
_xlpm._platform_keywords, _xlfn.TEXTSPLIT(SUBSTITUTE(SUBSTITUTE(VLOOKUP($D117,_xlpm._platform_range,3,FALSE),"+"&amp;CHAR(34),"+"),CHAR(34),""),", "),
_xlpm._exists, SUMPRODUCT(--ISNUMBER(MATCH(_xlpm._platform_keywords,_xlpm._original_keywords,0)))&gt;0,
_xlfn.IFS(AND(_xlpm._exists,LEFT($E117,1)="+"),"+",_xlpm._exists,"*",NOT(_xlpm._exists),"")
)</f>
        <v/>
      </c>
      <c r="O117" s="33" t="str" cm="1">
        <f t="array" aca="1" ref="O117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($E117=CLASSIFICATION[[Keyword Aggr]:[Keyword Aggr]])*($D117=CLASSIFICATION[[Functional Scope Aggr]:[Functional Scope Aggr]])),
_xlpm._platform_keywords, _xlfn.TEXTSPLIT(SUBSTITUTE(SUBSTITUTE(VLOOKUP($D117,_xlpm._platform_range,3,FALSE),"+"&amp;CHAR(34),"+"),CHAR(34),""),", "),
_xlpm._exists, SUMPRODUCT(--ISNUMBER(MATCH(_xlpm._platform_keywords,_xlpm._original_keywords,0)))&gt;0,
_xlfn.IFS(AND(_xlpm._exists,LEFT($E117,1)="+"),"+",_xlpm._exists,"*",NOT(_xlpm._exists),"")
)</f>
        <v/>
      </c>
      <c r="Q117" s="33" t="str">
        <f t="shared" si="15"/>
        <v/>
      </c>
      <c r="R117" s="33" t="str">
        <f t="shared" si="16"/>
        <v/>
      </c>
      <c r="S117" s="33" t="str">
        <f t="shared" si="17"/>
        <v/>
      </c>
      <c r="T117" s="33" t="str">
        <f t="shared" si="18"/>
        <v/>
      </c>
      <c r="U117" s="33" t="str">
        <f t="shared" si="19"/>
        <v/>
      </c>
      <c r="V117" s="33" t="str">
        <f t="shared" si="20"/>
        <v/>
      </c>
    </row>
    <row r="118" spans="1:22" x14ac:dyDescent="0.25">
      <c r="A118" s="19"/>
      <c r="B118" t="s">
        <v>377</v>
      </c>
      <c r="C118" s="19" t="e" cm="1">
        <f t="array" ref="C118">_xlfn.TEXTSPLIT(A118,",")</f>
        <v>#VALUE!</v>
      </c>
      <c r="D118" s="19"/>
      <c r="E118" s="19"/>
      <c r="F118" s="36" t="e" cm="1" vm="1">
        <f t="array" ref="F118">_xlfn.TEXTJOIN(",",TRUE,_xlfn._xlws.FILTER(CLASSIFICATION[Keyword], ($E118=CLASSIFICATION[Keyword Aggr])*($D118=CLASSIFICATION[Functional Scope Aggr])))</f>
        <v>#VALUE!</v>
      </c>
      <c r="G118" s="32" t="e">
        <f t="shared" si="14"/>
        <v>#VALUE!</v>
      </c>
      <c r="H118" s="32" t="str">
        <f t="shared" si="14"/>
        <v/>
      </c>
      <c r="I118" s="32">
        <f t="shared" si="21"/>
        <v>0</v>
      </c>
      <c r="J118" s="33" t="str" cm="1">
        <f t="array" aca="1" ref="J118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($E118=CLASSIFICATION[[Keyword Aggr]:[Keyword Aggr]])*($D118=CLASSIFICATION[[Functional Scope Aggr]:[Functional Scope Aggr]])),
_xlpm._platform_keywords, _xlfn.TEXTSPLIT(SUBSTITUTE(SUBSTITUTE(VLOOKUP($D118,_xlpm._platform_range,3,FALSE),"+"&amp;CHAR(34),"+"),CHAR(34),""),", "),
_xlpm._exists, SUMPRODUCT(--ISNUMBER(MATCH(_xlpm._platform_keywords,_xlpm._original_keywords,0)))&gt;0,
_xlfn.IFS(AND(_xlpm._exists,LEFT($E118,1)="+"),"+",_xlpm._exists,"*",NOT(_xlpm._exists),"")
)</f>
        <v/>
      </c>
      <c r="K118" s="33" t="str" cm="1">
        <f t="array" aca="1" ref="K118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($E118=CLASSIFICATION[[Keyword Aggr]:[Keyword Aggr]])*($D118=CLASSIFICATION[[Functional Scope Aggr]:[Functional Scope Aggr]])),
_xlpm._platform_keywords, _xlfn.TEXTSPLIT(SUBSTITUTE(SUBSTITUTE(VLOOKUP($D118,_xlpm._platform_range,3,FALSE),"+"&amp;CHAR(34),"+"),CHAR(34),""),", "),
_xlpm._exists, SUMPRODUCT(--ISNUMBER(MATCH(_xlpm._platform_keywords,_xlpm._original_keywords,0)))&gt;0,
_xlfn.IFS(AND(_xlpm._exists,LEFT($E118,1)="+"),"+",_xlpm._exists,"*",NOT(_xlpm._exists),"")
)</f>
        <v/>
      </c>
      <c r="L118" s="33" t="str" cm="1">
        <f t="array" aca="1" ref="L118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($E118=CLASSIFICATION[[Keyword Aggr]:[Keyword Aggr]])*($D118=CLASSIFICATION[[Functional Scope Aggr]:[Functional Scope Aggr]])),
_xlpm._platform_keywords, _xlfn.TEXTSPLIT(SUBSTITUTE(SUBSTITUTE(VLOOKUP($D118,_xlpm._platform_range,3,FALSE),"+"&amp;CHAR(34),"+"),CHAR(34),""),", "),
_xlpm._exists, SUMPRODUCT(--ISNUMBER(MATCH(_xlpm._platform_keywords,_xlpm._original_keywords,0)))&gt;0,
_xlfn.IFS(AND(_xlpm._exists,LEFT($E118,1)="+"),"+",_xlpm._exists,"*",NOT(_xlpm._exists),"")
)</f>
        <v/>
      </c>
      <c r="M118" s="33" t="str" cm="1">
        <f t="array" aca="1" ref="M118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($E118=CLASSIFICATION[[Keyword Aggr]:[Keyword Aggr]])*($D118=CLASSIFICATION[[Functional Scope Aggr]:[Functional Scope Aggr]])),
_xlpm._platform_keywords, _xlfn.TEXTSPLIT(SUBSTITUTE(SUBSTITUTE(VLOOKUP($D118,_xlpm._platform_range,3,FALSE),"+"&amp;CHAR(34),"+"),CHAR(34),""),", "),
_xlpm._exists, SUMPRODUCT(--ISNUMBER(MATCH(_xlpm._platform_keywords,_xlpm._original_keywords,0)))&gt;0,
_xlfn.IFS(AND(_xlpm._exists,LEFT($E118,1)="+"),"+",_xlpm._exists,"*",NOT(_xlpm._exists),"")
)</f>
        <v/>
      </c>
      <c r="N118" s="33" t="str" cm="1">
        <f t="array" aca="1" ref="N118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($E118=CLASSIFICATION[[Keyword Aggr]:[Keyword Aggr]])*($D118=CLASSIFICATION[[Functional Scope Aggr]:[Functional Scope Aggr]])),
_xlpm._platform_keywords, _xlfn.TEXTSPLIT(SUBSTITUTE(SUBSTITUTE(VLOOKUP($D118,_xlpm._platform_range,3,FALSE),"+"&amp;CHAR(34),"+"),CHAR(34),""),", "),
_xlpm._exists, SUMPRODUCT(--ISNUMBER(MATCH(_xlpm._platform_keywords,_xlpm._original_keywords,0)))&gt;0,
_xlfn.IFS(AND(_xlpm._exists,LEFT($E118,1)="+"),"+",_xlpm._exists,"*",NOT(_xlpm._exists),"")
)</f>
        <v/>
      </c>
      <c r="O118" s="33" t="str" cm="1">
        <f t="array" aca="1" ref="O118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($E118=CLASSIFICATION[[Keyword Aggr]:[Keyword Aggr]])*($D118=CLASSIFICATION[[Functional Scope Aggr]:[Functional Scope Aggr]])),
_xlpm._platform_keywords, _xlfn.TEXTSPLIT(SUBSTITUTE(SUBSTITUTE(VLOOKUP($D118,_xlpm._platform_range,3,FALSE),"+"&amp;CHAR(34),"+"),CHAR(34),""),", "),
_xlpm._exists, SUMPRODUCT(--ISNUMBER(MATCH(_xlpm._platform_keywords,_xlpm._original_keywords,0)))&gt;0,
_xlfn.IFS(AND(_xlpm._exists,LEFT($E118,1)="+"),"+",_xlpm._exists,"*",NOT(_xlpm._exists),"")
)</f>
        <v/>
      </c>
      <c r="Q118" s="33" t="str">
        <f t="shared" si="15"/>
        <v/>
      </c>
      <c r="R118" s="33" t="str">
        <f t="shared" si="16"/>
        <v/>
      </c>
      <c r="S118" s="33" t="str">
        <f t="shared" si="17"/>
        <v/>
      </c>
      <c r="T118" s="33" t="str">
        <f t="shared" si="18"/>
        <v/>
      </c>
      <c r="U118" s="33" t="str">
        <f t="shared" si="19"/>
        <v/>
      </c>
      <c r="V118" s="33" t="str">
        <f t="shared" si="20"/>
        <v/>
      </c>
    </row>
    <row r="119" spans="1:22" x14ac:dyDescent="0.25">
      <c r="A119" s="19"/>
      <c r="B119" t="s">
        <v>377</v>
      </c>
      <c r="C119" s="19" t="e" cm="1">
        <f t="array" ref="C119">_xlfn.TEXTSPLIT(A119,",")</f>
        <v>#VALUE!</v>
      </c>
      <c r="D119" s="19"/>
      <c r="E119" s="19"/>
      <c r="F119" s="36" t="e" cm="1" vm="1">
        <f t="array" ref="F119">_xlfn.TEXTJOIN(",",TRUE,_xlfn._xlws.FILTER(CLASSIFICATION[Keyword], ($E119=CLASSIFICATION[Keyword Aggr])*($D119=CLASSIFICATION[Functional Scope Aggr])))</f>
        <v>#VALUE!</v>
      </c>
      <c r="G119" s="32" t="e">
        <f t="shared" si="14"/>
        <v>#VALUE!</v>
      </c>
      <c r="H119" s="32" t="str">
        <f t="shared" si="14"/>
        <v/>
      </c>
      <c r="I119" s="32">
        <f t="shared" si="21"/>
        <v>0</v>
      </c>
      <c r="J119" s="33" t="str" cm="1">
        <f t="array" aca="1" ref="J119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($E119=CLASSIFICATION[[Keyword Aggr]:[Keyword Aggr]])*($D119=CLASSIFICATION[[Functional Scope Aggr]:[Functional Scope Aggr]])),
_xlpm._platform_keywords, _xlfn.TEXTSPLIT(SUBSTITUTE(SUBSTITUTE(VLOOKUP($D119,_xlpm._platform_range,3,FALSE),"+"&amp;CHAR(34),"+"),CHAR(34),""),", "),
_xlpm._exists, SUMPRODUCT(--ISNUMBER(MATCH(_xlpm._platform_keywords,_xlpm._original_keywords,0)))&gt;0,
_xlfn.IFS(AND(_xlpm._exists,LEFT($E119,1)="+"),"+",_xlpm._exists,"*",NOT(_xlpm._exists),"")
)</f>
        <v/>
      </c>
      <c r="K119" s="33" t="str" cm="1">
        <f t="array" aca="1" ref="K119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($E119=CLASSIFICATION[[Keyword Aggr]:[Keyword Aggr]])*($D119=CLASSIFICATION[[Functional Scope Aggr]:[Functional Scope Aggr]])),
_xlpm._platform_keywords, _xlfn.TEXTSPLIT(SUBSTITUTE(SUBSTITUTE(VLOOKUP($D119,_xlpm._platform_range,3,FALSE),"+"&amp;CHAR(34),"+"),CHAR(34),""),", "),
_xlpm._exists, SUMPRODUCT(--ISNUMBER(MATCH(_xlpm._platform_keywords,_xlpm._original_keywords,0)))&gt;0,
_xlfn.IFS(AND(_xlpm._exists,LEFT($E119,1)="+"),"+",_xlpm._exists,"*",NOT(_xlpm._exists),"")
)</f>
        <v/>
      </c>
      <c r="L119" s="33" t="str" cm="1">
        <f t="array" aca="1" ref="L119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($E119=CLASSIFICATION[[Keyword Aggr]:[Keyword Aggr]])*($D119=CLASSIFICATION[[Functional Scope Aggr]:[Functional Scope Aggr]])),
_xlpm._platform_keywords, _xlfn.TEXTSPLIT(SUBSTITUTE(SUBSTITUTE(VLOOKUP($D119,_xlpm._platform_range,3,FALSE),"+"&amp;CHAR(34),"+"),CHAR(34),""),", "),
_xlpm._exists, SUMPRODUCT(--ISNUMBER(MATCH(_xlpm._platform_keywords,_xlpm._original_keywords,0)))&gt;0,
_xlfn.IFS(AND(_xlpm._exists,LEFT($E119,1)="+"),"+",_xlpm._exists,"*",NOT(_xlpm._exists),"")
)</f>
        <v/>
      </c>
      <c r="M119" s="33" t="str" cm="1">
        <f t="array" aca="1" ref="M119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($E119=CLASSIFICATION[[Keyword Aggr]:[Keyword Aggr]])*($D119=CLASSIFICATION[[Functional Scope Aggr]:[Functional Scope Aggr]])),
_xlpm._platform_keywords, _xlfn.TEXTSPLIT(SUBSTITUTE(SUBSTITUTE(VLOOKUP($D119,_xlpm._platform_range,3,FALSE),"+"&amp;CHAR(34),"+"),CHAR(34),""),", "),
_xlpm._exists, SUMPRODUCT(--ISNUMBER(MATCH(_xlpm._platform_keywords,_xlpm._original_keywords,0)))&gt;0,
_xlfn.IFS(AND(_xlpm._exists,LEFT($E119,1)="+"),"+",_xlpm._exists,"*",NOT(_xlpm._exists),"")
)</f>
        <v/>
      </c>
      <c r="N119" s="33" t="str" cm="1">
        <f t="array" aca="1" ref="N119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($E119=CLASSIFICATION[[Keyword Aggr]:[Keyword Aggr]])*($D119=CLASSIFICATION[[Functional Scope Aggr]:[Functional Scope Aggr]])),
_xlpm._platform_keywords, _xlfn.TEXTSPLIT(SUBSTITUTE(SUBSTITUTE(VLOOKUP($D119,_xlpm._platform_range,3,FALSE),"+"&amp;CHAR(34),"+"),CHAR(34),""),", "),
_xlpm._exists, SUMPRODUCT(--ISNUMBER(MATCH(_xlpm._platform_keywords,_xlpm._original_keywords,0)))&gt;0,
_xlfn.IFS(AND(_xlpm._exists,LEFT($E119,1)="+"),"+",_xlpm._exists,"*",NOT(_xlpm._exists),"")
)</f>
        <v/>
      </c>
      <c r="O119" s="33" t="str" cm="1">
        <f t="array" aca="1" ref="O119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($E119=CLASSIFICATION[[Keyword Aggr]:[Keyword Aggr]])*($D119=CLASSIFICATION[[Functional Scope Aggr]:[Functional Scope Aggr]])),
_xlpm._platform_keywords, _xlfn.TEXTSPLIT(SUBSTITUTE(SUBSTITUTE(VLOOKUP($D119,_xlpm._platform_range,3,FALSE),"+"&amp;CHAR(34),"+"),CHAR(34),""),", "),
_xlpm._exists, SUMPRODUCT(--ISNUMBER(MATCH(_xlpm._platform_keywords,_xlpm._original_keywords,0)))&gt;0,
_xlfn.IFS(AND(_xlpm._exists,LEFT($E119,1)="+"),"+",_xlpm._exists,"*",NOT(_xlpm._exists),"")
)</f>
        <v/>
      </c>
      <c r="Q119" s="33" t="str">
        <f t="shared" si="15"/>
        <v/>
      </c>
      <c r="R119" s="33" t="str">
        <f t="shared" si="16"/>
        <v/>
      </c>
      <c r="S119" s="33" t="str">
        <f t="shared" si="17"/>
        <v/>
      </c>
      <c r="T119" s="33" t="str">
        <f t="shared" si="18"/>
        <v/>
      </c>
      <c r="U119" s="33" t="str">
        <f t="shared" si="19"/>
        <v/>
      </c>
      <c r="V119" s="33" t="str">
        <f t="shared" si="20"/>
        <v/>
      </c>
    </row>
    <row r="120" spans="1:22" x14ac:dyDescent="0.25">
      <c r="A120" s="19"/>
      <c r="B120" t="s">
        <v>377</v>
      </c>
      <c r="C120" s="19" t="e" cm="1">
        <f t="array" ref="C120">_xlfn.TEXTSPLIT(A120,",")</f>
        <v>#VALUE!</v>
      </c>
      <c r="D120" s="19"/>
      <c r="E120" s="19"/>
      <c r="F120" s="36" t="e" cm="1" vm="1">
        <f t="array" ref="F120">_xlfn.TEXTJOIN(",",TRUE,_xlfn._xlws.FILTER(CLASSIFICATION[Keyword], ($E120=CLASSIFICATION[Keyword Aggr])*($D120=CLASSIFICATION[Functional Scope Aggr])))</f>
        <v>#VALUE!</v>
      </c>
      <c r="G120" s="32" t="e">
        <f t="shared" si="14"/>
        <v>#VALUE!</v>
      </c>
      <c r="H120" s="32" t="str">
        <f t="shared" si="14"/>
        <v/>
      </c>
      <c r="I120" s="32">
        <f t="shared" si="21"/>
        <v>0</v>
      </c>
      <c r="J120" s="33" t="str" cm="1">
        <f t="array" aca="1" ref="J120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($E120=CLASSIFICATION[[Keyword Aggr]:[Keyword Aggr]])*($D120=CLASSIFICATION[[Functional Scope Aggr]:[Functional Scope Aggr]])),
_xlpm._platform_keywords, _xlfn.TEXTSPLIT(SUBSTITUTE(SUBSTITUTE(VLOOKUP($D120,_xlpm._platform_range,3,FALSE),"+"&amp;CHAR(34),"+"),CHAR(34),""),", "),
_xlpm._exists, SUMPRODUCT(--ISNUMBER(MATCH(_xlpm._platform_keywords,_xlpm._original_keywords,0)))&gt;0,
_xlfn.IFS(AND(_xlpm._exists,LEFT($E120,1)="+"),"+",_xlpm._exists,"*",NOT(_xlpm._exists),"")
)</f>
        <v/>
      </c>
      <c r="K120" s="33" t="str" cm="1">
        <f t="array" aca="1" ref="K120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($E120=CLASSIFICATION[[Keyword Aggr]:[Keyword Aggr]])*($D120=CLASSIFICATION[[Functional Scope Aggr]:[Functional Scope Aggr]])),
_xlpm._platform_keywords, _xlfn.TEXTSPLIT(SUBSTITUTE(SUBSTITUTE(VLOOKUP($D120,_xlpm._platform_range,3,FALSE),"+"&amp;CHAR(34),"+"),CHAR(34),""),", "),
_xlpm._exists, SUMPRODUCT(--ISNUMBER(MATCH(_xlpm._platform_keywords,_xlpm._original_keywords,0)))&gt;0,
_xlfn.IFS(AND(_xlpm._exists,LEFT($E120,1)="+"),"+",_xlpm._exists,"*",NOT(_xlpm._exists),"")
)</f>
        <v/>
      </c>
      <c r="L120" s="33" t="str" cm="1">
        <f t="array" aca="1" ref="L120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($E120=CLASSIFICATION[[Keyword Aggr]:[Keyword Aggr]])*($D120=CLASSIFICATION[[Functional Scope Aggr]:[Functional Scope Aggr]])),
_xlpm._platform_keywords, _xlfn.TEXTSPLIT(SUBSTITUTE(SUBSTITUTE(VLOOKUP($D120,_xlpm._platform_range,3,FALSE),"+"&amp;CHAR(34),"+"),CHAR(34),""),", "),
_xlpm._exists, SUMPRODUCT(--ISNUMBER(MATCH(_xlpm._platform_keywords,_xlpm._original_keywords,0)))&gt;0,
_xlfn.IFS(AND(_xlpm._exists,LEFT($E120,1)="+"),"+",_xlpm._exists,"*",NOT(_xlpm._exists),"")
)</f>
        <v/>
      </c>
      <c r="M120" s="33" t="str" cm="1">
        <f t="array" aca="1" ref="M120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($E120=CLASSIFICATION[[Keyword Aggr]:[Keyword Aggr]])*($D120=CLASSIFICATION[[Functional Scope Aggr]:[Functional Scope Aggr]])),
_xlpm._platform_keywords, _xlfn.TEXTSPLIT(SUBSTITUTE(SUBSTITUTE(VLOOKUP($D120,_xlpm._platform_range,3,FALSE),"+"&amp;CHAR(34),"+"),CHAR(34),""),", "),
_xlpm._exists, SUMPRODUCT(--ISNUMBER(MATCH(_xlpm._platform_keywords,_xlpm._original_keywords,0)))&gt;0,
_xlfn.IFS(AND(_xlpm._exists,LEFT($E120,1)="+"),"+",_xlpm._exists,"*",NOT(_xlpm._exists),"")
)</f>
        <v/>
      </c>
      <c r="N120" s="33" t="str" cm="1">
        <f t="array" aca="1" ref="N120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($E120=CLASSIFICATION[[Keyword Aggr]:[Keyword Aggr]])*($D120=CLASSIFICATION[[Functional Scope Aggr]:[Functional Scope Aggr]])),
_xlpm._platform_keywords, _xlfn.TEXTSPLIT(SUBSTITUTE(SUBSTITUTE(VLOOKUP($D120,_xlpm._platform_range,3,FALSE),"+"&amp;CHAR(34),"+"),CHAR(34),""),", "),
_xlpm._exists, SUMPRODUCT(--ISNUMBER(MATCH(_xlpm._platform_keywords,_xlpm._original_keywords,0)))&gt;0,
_xlfn.IFS(AND(_xlpm._exists,LEFT($E120,1)="+"),"+",_xlpm._exists,"*",NOT(_xlpm._exists),"")
)</f>
        <v/>
      </c>
      <c r="O120" s="33" t="str" cm="1">
        <f t="array" aca="1" ref="O120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($E120=CLASSIFICATION[[Keyword Aggr]:[Keyword Aggr]])*($D120=CLASSIFICATION[[Functional Scope Aggr]:[Functional Scope Aggr]])),
_xlpm._platform_keywords, _xlfn.TEXTSPLIT(SUBSTITUTE(SUBSTITUTE(VLOOKUP($D120,_xlpm._platform_range,3,FALSE),"+"&amp;CHAR(34),"+"),CHAR(34),""),", "),
_xlpm._exists, SUMPRODUCT(--ISNUMBER(MATCH(_xlpm._platform_keywords,_xlpm._original_keywords,0)))&gt;0,
_xlfn.IFS(AND(_xlpm._exists,LEFT($E120,1)="+"),"+",_xlpm._exists,"*",NOT(_xlpm._exists),"")
)</f>
        <v/>
      </c>
      <c r="Q120" s="33" t="str">
        <f t="shared" si="15"/>
        <v/>
      </c>
      <c r="R120" s="33" t="str">
        <f t="shared" si="16"/>
        <v/>
      </c>
      <c r="S120" s="33" t="str">
        <f t="shared" si="17"/>
        <v/>
      </c>
      <c r="T120" s="33" t="str">
        <f t="shared" si="18"/>
        <v/>
      </c>
      <c r="U120" s="33" t="str">
        <f t="shared" si="19"/>
        <v/>
      </c>
      <c r="V120" s="33" t="str">
        <f t="shared" si="20"/>
        <v/>
      </c>
    </row>
    <row r="121" spans="1:22" x14ac:dyDescent="0.25">
      <c r="A121" s="19"/>
      <c r="B121" t="s">
        <v>377</v>
      </c>
      <c r="C121" s="19" t="e" cm="1">
        <f t="array" ref="C121">_xlfn.TEXTSPLIT(A121,",")</f>
        <v>#VALUE!</v>
      </c>
      <c r="D121" s="19"/>
      <c r="E121" s="19"/>
      <c r="F121" s="36" t="e" cm="1" vm="1">
        <f t="array" ref="F121">_xlfn.TEXTJOIN(",",TRUE,_xlfn._xlws.FILTER(CLASSIFICATION[Keyword], ($E121=CLASSIFICATION[Keyword Aggr])*($D121=CLASSIFICATION[Functional Scope Aggr])))</f>
        <v>#VALUE!</v>
      </c>
      <c r="G121" s="32" t="e">
        <f t="shared" si="14"/>
        <v>#VALUE!</v>
      </c>
      <c r="H121" s="32" t="str">
        <f t="shared" si="14"/>
        <v/>
      </c>
      <c r="I121" s="32">
        <f t="shared" si="21"/>
        <v>0</v>
      </c>
      <c r="J121" s="33" t="str" cm="1">
        <f t="array" aca="1" ref="J121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($E121=CLASSIFICATION[[Keyword Aggr]:[Keyword Aggr]])*($D121=CLASSIFICATION[[Functional Scope Aggr]:[Functional Scope Aggr]])),
_xlpm._platform_keywords, _xlfn.TEXTSPLIT(SUBSTITUTE(SUBSTITUTE(VLOOKUP($D121,_xlpm._platform_range,3,FALSE),"+"&amp;CHAR(34),"+"),CHAR(34),""),", "),
_xlpm._exists, SUMPRODUCT(--ISNUMBER(MATCH(_xlpm._platform_keywords,_xlpm._original_keywords,0)))&gt;0,
_xlfn.IFS(AND(_xlpm._exists,LEFT($E121,1)="+"),"+",_xlpm._exists,"*",NOT(_xlpm._exists),"")
)</f>
        <v/>
      </c>
      <c r="K121" s="33" t="str" cm="1">
        <f t="array" aca="1" ref="K121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($E121=CLASSIFICATION[[Keyword Aggr]:[Keyword Aggr]])*($D121=CLASSIFICATION[[Functional Scope Aggr]:[Functional Scope Aggr]])),
_xlpm._platform_keywords, _xlfn.TEXTSPLIT(SUBSTITUTE(SUBSTITUTE(VLOOKUP($D121,_xlpm._platform_range,3,FALSE),"+"&amp;CHAR(34),"+"),CHAR(34),""),", "),
_xlpm._exists, SUMPRODUCT(--ISNUMBER(MATCH(_xlpm._platform_keywords,_xlpm._original_keywords,0)))&gt;0,
_xlfn.IFS(AND(_xlpm._exists,LEFT($E121,1)="+"),"+",_xlpm._exists,"*",NOT(_xlpm._exists),"")
)</f>
        <v/>
      </c>
      <c r="L121" s="33" t="str" cm="1">
        <f t="array" aca="1" ref="L121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($E121=CLASSIFICATION[[Keyword Aggr]:[Keyword Aggr]])*($D121=CLASSIFICATION[[Functional Scope Aggr]:[Functional Scope Aggr]])),
_xlpm._platform_keywords, _xlfn.TEXTSPLIT(SUBSTITUTE(SUBSTITUTE(VLOOKUP($D121,_xlpm._platform_range,3,FALSE),"+"&amp;CHAR(34),"+"),CHAR(34),""),", "),
_xlpm._exists, SUMPRODUCT(--ISNUMBER(MATCH(_xlpm._platform_keywords,_xlpm._original_keywords,0)))&gt;0,
_xlfn.IFS(AND(_xlpm._exists,LEFT($E121,1)="+"),"+",_xlpm._exists,"*",NOT(_xlpm._exists),"")
)</f>
        <v/>
      </c>
      <c r="M121" s="33" t="str" cm="1">
        <f t="array" aca="1" ref="M121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($E121=CLASSIFICATION[[Keyword Aggr]:[Keyword Aggr]])*($D121=CLASSIFICATION[[Functional Scope Aggr]:[Functional Scope Aggr]])),
_xlpm._platform_keywords, _xlfn.TEXTSPLIT(SUBSTITUTE(SUBSTITUTE(VLOOKUP($D121,_xlpm._platform_range,3,FALSE),"+"&amp;CHAR(34),"+"),CHAR(34),""),", "),
_xlpm._exists, SUMPRODUCT(--ISNUMBER(MATCH(_xlpm._platform_keywords,_xlpm._original_keywords,0)))&gt;0,
_xlfn.IFS(AND(_xlpm._exists,LEFT($E121,1)="+"),"+",_xlpm._exists,"*",NOT(_xlpm._exists),"")
)</f>
        <v/>
      </c>
      <c r="N121" s="33" t="str" cm="1">
        <f t="array" aca="1" ref="N121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($E121=CLASSIFICATION[[Keyword Aggr]:[Keyword Aggr]])*($D121=CLASSIFICATION[[Functional Scope Aggr]:[Functional Scope Aggr]])),
_xlpm._platform_keywords, _xlfn.TEXTSPLIT(SUBSTITUTE(SUBSTITUTE(VLOOKUP($D121,_xlpm._platform_range,3,FALSE),"+"&amp;CHAR(34),"+"),CHAR(34),""),", "),
_xlpm._exists, SUMPRODUCT(--ISNUMBER(MATCH(_xlpm._platform_keywords,_xlpm._original_keywords,0)))&gt;0,
_xlfn.IFS(AND(_xlpm._exists,LEFT($E121,1)="+"),"+",_xlpm._exists,"*",NOT(_xlpm._exists),"")
)</f>
        <v/>
      </c>
      <c r="O121" s="33" t="str" cm="1">
        <f t="array" aca="1" ref="O121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($E121=CLASSIFICATION[[Keyword Aggr]:[Keyword Aggr]])*($D121=CLASSIFICATION[[Functional Scope Aggr]:[Functional Scope Aggr]])),
_xlpm._platform_keywords, _xlfn.TEXTSPLIT(SUBSTITUTE(SUBSTITUTE(VLOOKUP($D121,_xlpm._platform_range,3,FALSE),"+"&amp;CHAR(34),"+"),CHAR(34),""),", "),
_xlpm._exists, SUMPRODUCT(--ISNUMBER(MATCH(_xlpm._platform_keywords,_xlpm._original_keywords,0)))&gt;0,
_xlfn.IFS(AND(_xlpm._exists,LEFT($E121,1)="+"),"+",_xlpm._exists,"*",NOT(_xlpm._exists),"")
)</f>
        <v/>
      </c>
      <c r="Q121" s="33" t="str">
        <f t="shared" si="15"/>
        <v/>
      </c>
      <c r="R121" s="33" t="str">
        <f t="shared" si="16"/>
        <v/>
      </c>
      <c r="S121" s="33" t="str">
        <f t="shared" si="17"/>
        <v/>
      </c>
      <c r="T121" s="33" t="str">
        <f t="shared" si="18"/>
        <v/>
      </c>
      <c r="U121" s="33" t="str">
        <f t="shared" si="19"/>
        <v/>
      </c>
      <c r="V121" s="33" t="str">
        <f t="shared" si="20"/>
        <v/>
      </c>
    </row>
    <row r="122" spans="1:22" x14ac:dyDescent="0.25">
      <c r="A122" s="19"/>
      <c r="B122" t="s">
        <v>377</v>
      </c>
      <c r="C122" s="19" t="e" cm="1">
        <f t="array" ref="C122">_xlfn.TEXTSPLIT(A122,",")</f>
        <v>#VALUE!</v>
      </c>
      <c r="D122" s="19"/>
      <c r="E122" s="19"/>
      <c r="F122" s="36" t="e" cm="1" vm="1">
        <f t="array" ref="F122">_xlfn.TEXTJOIN(",",TRUE,_xlfn._xlws.FILTER(CLASSIFICATION[Keyword], ($E122=CLASSIFICATION[Keyword Aggr])*($D122=CLASSIFICATION[Functional Scope Aggr])))</f>
        <v>#VALUE!</v>
      </c>
      <c r="G122" s="32" t="e">
        <f t="shared" si="14"/>
        <v>#VALUE!</v>
      </c>
      <c r="H122" s="32" t="str">
        <f t="shared" si="14"/>
        <v/>
      </c>
      <c r="I122" s="32">
        <f t="shared" si="21"/>
        <v>0</v>
      </c>
      <c r="J122" s="33" t="str" cm="1">
        <f t="array" aca="1" ref="J122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($E122=CLASSIFICATION[[Keyword Aggr]:[Keyword Aggr]])*($D122=CLASSIFICATION[[Functional Scope Aggr]:[Functional Scope Aggr]])),
_xlpm._platform_keywords, _xlfn.TEXTSPLIT(SUBSTITUTE(SUBSTITUTE(VLOOKUP($D122,_xlpm._platform_range,3,FALSE),"+"&amp;CHAR(34),"+"),CHAR(34),""),", "),
_xlpm._exists, SUMPRODUCT(--ISNUMBER(MATCH(_xlpm._platform_keywords,_xlpm._original_keywords,0)))&gt;0,
_xlfn.IFS(AND(_xlpm._exists,LEFT($E122,1)="+"),"+",_xlpm._exists,"*",NOT(_xlpm._exists),"")
)</f>
        <v/>
      </c>
      <c r="K122" s="33" t="str" cm="1">
        <f t="array" aca="1" ref="K122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($E122=CLASSIFICATION[[Keyword Aggr]:[Keyword Aggr]])*($D122=CLASSIFICATION[[Functional Scope Aggr]:[Functional Scope Aggr]])),
_xlpm._platform_keywords, _xlfn.TEXTSPLIT(SUBSTITUTE(SUBSTITUTE(VLOOKUP($D122,_xlpm._platform_range,3,FALSE),"+"&amp;CHAR(34),"+"),CHAR(34),""),", "),
_xlpm._exists, SUMPRODUCT(--ISNUMBER(MATCH(_xlpm._platform_keywords,_xlpm._original_keywords,0)))&gt;0,
_xlfn.IFS(AND(_xlpm._exists,LEFT($E122,1)="+"),"+",_xlpm._exists,"*",NOT(_xlpm._exists),"")
)</f>
        <v/>
      </c>
      <c r="L122" s="33" t="str" cm="1">
        <f t="array" aca="1" ref="L122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($E122=CLASSIFICATION[[Keyword Aggr]:[Keyword Aggr]])*($D122=CLASSIFICATION[[Functional Scope Aggr]:[Functional Scope Aggr]])),
_xlpm._platform_keywords, _xlfn.TEXTSPLIT(SUBSTITUTE(SUBSTITUTE(VLOOKUP($D122,_xlpm._platform_range,3,FALSE),"+"&amp;CHAR(34),"+"),CHAR(34),""),", "),
_xlpm._exists, SUMPRODUCT(--ISNUMBER(MATCH(_xlpm._platform_keywords,_xlpm._original_keywords,0)))&gt;0,
_xlfn.IFS(AND(_xlpm._exists,LEFT($E122,1)="+"),"+",_xlpm._exists,"*",NOT(_xlpm._exists),"")
)</f>
        <v/>
      </c>
      <c r="M122" s="33" t="str" cm="1">
        <f t="array" aca="1" ref="M122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($E122=CLASSIFICATION[[Keyword Aggr]:[Keyword Aggr]])*($D122=CLASSIFICATION[[Functional Scope Aggr]:[Functional Scope Aggr]])),
_xlpm._platform_keywords, _xlfn.TEXTSPLIT(SUBSTITUTE(SUBSTITUTE(VLOOKUP($D122,_xlpm._platform_range,3,FALSE),"+"&amp;CHAR(34),"+"),CHAR(34),""),", "),
_xlpm._exists, SUMPRODUCT(--ISNUMBER(MATCH(_xlpm._platform_keywords,_xlpm._original_keywords,0)))&gt;0,
_xlfn.IFS(AND(_xlpm._exists,LEFT($E122,1)="+"),"+",_xlpm._exists,"*",NOT(_xlpm._exists),"")
)</f>
        <v/>
      </c>
      <c r="N122" s="33" t="str" cm="1">
        <f t="array" aca="1" ref="N122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($E122=CLASSIFICATION[[Keyword Aggr]:[Keyword Aggr]])*($D122=CLASSIFICATION[[Functional Scope Aggr]:[Functional Scope Aggr]])),
_xlpm._platform_keywords, _xlfn.TEXTSPLIT(SUBSTITUTE(SUBSTITUTE(VLOOKUP($D122,_xlpm._platform_range,3,FALSE),"+"&amp;CHAR(34),"+"),CHAR(34),""),", "),
_xlpm._exists, SUMPRODUCT(--ISNUMBER(MATCH(_xlpm._platform_keywords,_xlpm._original_keywords,0)))&gt;0,
_xlfn.IFS(AND(_xlpm._exists,LEFT($E122,1)="+"),"+",_xlpm._exists,"*",NOT(_xlpm._exists),"")
)</f>
        <v/>
      </c>
      <c r="O122" s="33" t="str" cm="1">
        <f t="array" aca="1" ref="O122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($E122=CLASSIFICATION[[Keyword Aggr]:[Keyword Aggr]])*($D122=CLASSIFICATION[[Functional Scope Aggr]:[Functional Scope Aggr]])),
_xlpm._platform_keywords, _xlfn.TEXTSPLIT(SUBSTITUTE(SUBSTITUTE(VLOOKUP($D122,_xlpm._platform_range,3,FALSE),"+"&amp;CHAR(34),"+"),CHAR(34),""),", "),
_xlpm._exists, SUMPRODUCT(--ISNUMBER(MATCH(_xlpm._platform_keywords,_xlpm._original_keywords,0)))&gt;0,
_xlfn.IFS(AND(_xlpm._exists,LEFT($E122,1)="+"),"+",_xlpm._exists,"*",NOT(_xlpm._exists),"")
)</f>
        <v/>
      </c>
      <c r="Q122" s="33" t="str">
        <f t="shared" si="15"/>
        <v/>
      </c>
      <c r="R122" s="33" t="str">
        <f t="shared" si="16"/>
        <v/>
      </c>
      <c r="S122" s="33" t="str">
        <f t="shared" si="17"/>
        <v/>
      </c>
      <c r="T122" s="33" t="str">
        <f t="shared" si="18"/>
        <v/>
      </c>
      <c r="U122" s="33" t="str">
        <f t="shared" si="19"/>
        <v/>
      </c>
      <c r="V122" s="33" t="str">
        <f t="shared" si="20"/>
        <v/>
      </c>
    </row>
    <row r="123" spans="1:22" x14ac:dyDescent="0.25">
      <c r="A123" s="19"/>
      <c r="B123" t="s">
        <v>377</v>
      </c>
      <c r="C123" s="19" t="e" cm="1">
        <f t="array" ref="C123">_xlfn.TEXTSPLIT(A123,",")</f>
        <v>#VALUE!</v>
      </c>
      <c r="D123" s="19"/>
      <c r="E123" s="19"/>
      <c r="F123" s="36" t="e" cm="1" vm="1">
        <f t="array" ref="F123">_xlfn.TEXTJOIN(",",TRUE,_xlfn._xlws.FILTER(CLASSIFICATION[Keyword], ($E123=CLASSIFICATION[Keyword Aggr])*($D123=CLASSIFICATION[Functional Scope Aggr])))</f>
        <v>#VALUE!</v>
      </c>
      <c r="G123" s="32" t="e">
        <f t="shared" si="14"/>
        <v>#VALUE!</v>
      </c>
      <c r="H123" s="32" t="str">
        <f t="shared" si="14"/>
        <v/>
      </c>
      <c r="I123" s="32">
        <f t="shared" si="21"/>
        <v>0</v>
      </c>
      <c r="J123" s="33" t="str" cm="1">
        <f t="array" aca="1" ref="J123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($E123=CLASSIFICATION[[Keyword Aggr]:[Keyword Aggr]])*($D123=CLASSIFICATION[[Functional Scope Aggr]:[Functional Scope Aggr]])),
_xlpm._platform_keywords, _xlfn.TEXTSPLIT(SUBSTITUTE(SUBSTITUTE(VLOOKUP($D123,_xlpm._platform_range,3,FALSE),"+"&amp;CHAR(34),"+"),CHAR(34),""),", "),
_xlpm._exists, SUMPRODUCT(--ISNUMBER(MATCH(_xlpm._platform_keywords,_xlpm._original_keywords,0)))&gt;0,
_xlfn.IFS(AND(_xlpm._exists,LEFT($E123,1)="+"),"+",_xlpm._exists,"*",NOT(_xlpm._exists),"")
)</f>
        <v/>
      </c>
      <c r="K123" s="33" t="str" cm="1">
        <f t="array" aca="1" ref="K123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($E123=CLASSIFICATION[[Keyword Aggr]:[Keyword Aggr]])*($D123=CLASSIFICATION[[Functional Scope Aggr]:[Functional Scope Aggr]])),
_xlpm._platform_keywords, _xlfn.TEXTSPLIT(SUBSTITUTE(SUBSTITUTE(VLOOKUP($D123,_xlpm._platform_range,3,FALSE),"+"&amp;CHAR(34),"+"),CHAR(34),""),", "),
_xlpm._exists, SUMPRODUCT(--ISNUMBER(MATCH(_xlpm._platform_keywords,_xlpm._original_keywords,0)))&gt;0,
_xlfn.IFS(AND(_xlpm._exists,LEFT($E123,1)="+"),"+",_xlpm._exists,"*",NOT(_xlpm._exists),"")
)</f>
        <v/>
      </c>
      <c r="L123" s="33" t="str" cm="1">
        <f t="array" aca="1" ref="L123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($E123=CLASSIFICATION[[Keyword Aggr]:[Keyword Aggr]])*($D123=CLASSIFICATION[[Functional Scope Aggr]:[Functional Scope Aggr]])),
_xlpm._platform_keywords, _xlfn.TEXTSPLIT(SUBSTITUTE(SUBSTITUTE(VLOOKUP($D123,_xlpm._platform_range,3,FALSE),"+"&amp;CHAR(34),"+"),CHAR(34),""),", "),
_xlpm._exists, SUMPRODUCT(--ISNUMBER(MATCH(_xlpm._platform_keywords,_xlpm._original_keywords,0)))&gt;0,
_xlfn.IFS(AND(_xlpm._exists,LEFT($E123,1)="+"),"+",_xlpm._exists,"*",NOT(_xlpm._exists),"")
)</f>
        <v/>
      </c>
      <c r="M123" s="33" t="str" cm="1">
        <f t="array" aca="1" ref="M123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($E123=CLASSIFICATION[[Keyword Aggr]:[Keyword Aggr]])*($D123=CLASSIFICATION[[Functional Scope Aggr]:[Functional Scope Aggr]])),
_xlpm._platform_keywords, _xlfn.TEXTSPLIT(SUBSTITUTE(SUBSTITUTE(VLOOKUP($D123,_xlpm._platform_range,3,FALSE),"+"&amp;CHAR(34),"+"),CHAR(34),""),", "),
_xlpm._exists, SUMPRODUCT(--ISNUMBER(MATCH(_xlpm._platform_keywords,_xlpm._original_keywords,0)))&gt;0,
_xlfn.IFS(AND(_xlpm._exists,LEFT($E123,1)="+"),"+",_xlpm._exists,"*",NOT(_xlpm._exists),"")
)</f>
        <v/>
      </c>
      <c r="N123" s="33" t="str" cm="1">
        <f t="array" aca="1" ref="N123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($E123=CLASSIFICATION[[Keyword Aggr]:[Keyword Aggr]])*($D123=CLASSIFICATION[[Functional Scope Aggr]:[Functional Scope Aggr]])),
_xlpm._platform_keywords, _xlfn.TEXTSPLIT(SUBSTITUTE(SUBSTITUTE(VLOOKUP($D123,_xlpm._platform_range,3,FALSE),"+"&amp;CHAR(34),"+"),CHAR(34),""),", "),
_xlpm._exists, SUMPRODUCT(--ISNUMBER(MATCH(_xlpm._platform_keywords,_xlpm._original_keywords,0)))&gt;0,
_xlfn.IFS(AND(_xlpm._exists,LEFT($E123,1)="+"),"+",_xlpm._exists,"*",NOT(_xlpm._exists),"")
)</f>
        <v/>
      </c>
      <c r="O123" s="33" t="str" cm="1">
        <f t="array" aca="1" ref="O123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($E123=CLASSIFICATION[[Keyword Aggr]:[Keyword Aggr]])*($D123=CLASSIFICATION[[Functional Scope Aggr]:[Functional Scope Aggr]])),
_xlpm._platform_keywords, _xlfn.TEXTSPLIT(SUBSTITUTE(SUBSTITUTE(VLOOKUP($D123,_xlpm._platform_range,3,FALSE),"+"&amp;CHAR(34),"+"),CHAR(34),""),", "),
_xlpm._exists, SUMPRODUCT(--ISNUMBER(MATCH(_xlpm._platform_keywords,_xlpm._original_keywords,0)))&gt;0,
_xlfn.IFS(AND(_xlpm._exists,LEFT($E123,1)="+"),"+",_xlpm._exists,"*",NOT(_xlpm._exists),"")
)</f>
        <v/>
      </c>
      <c r="Q123" s="33" t="str">
        <f t="shared" si="15"/>
        <v/>
      </c>
      <c r="R123" s="33" t="str">
        <f t="shared" si="16"/>
        <v/>
      </c>
      <c r="S123" s="33" t="str">
        <f t="shared" si="17"/>
        <v/>
      </c>
      <c r="T123" s="33" t="str">
        <f t="shared" si="18"/>
        <v/>
      </c>
      <c r="U123" s="33" t="str">
        <f t="shared" si="19"/>
        <v/>
      </c>
      <c r="V123" s="33" t="str">
        <f t="shared" si="20"/>
        <v/>
      </c>
    </row>
    <row r="124" spans="1:22" x14ac:dyDescent="0.25">
      <c r="A124" s="19"/>
      <c r="B124" t="s">
        <v>377</v>
      </c>
      <c r="C124" s="19" t="e" cm="1">
        <f t="array" ref="C124">_xlfn.TEXTSPLIT(A124,",")</f>
        <v>#VALUE!</v>
      </c>
      <c r="D124" s="19"/>
      <c r="E124" s="19"/>
      <c r="F124" s="36" t="e" cm="1" vm="1">
        <f t="array" ref="F124">_xlfn.TEXTJOIN(",",TRUE,_xlfn._xlws.FILTER(CLASSIFICATION[Keyword], ($E124=CLASSIFICATION[Keyword Aggr])*($D124=CLASSIFICATION[Functional Scope Aggr])))</f>
        <v>#VALUE!</v>
      </c>
      <c r="G124" s="32" t="e">
        <f t="shared" si="14"/>
        <v>#VALUE!</v>
      </c>
      <c r="H124" s="32" t="str">
        <f t="shared" si="14"/>
        <v/>
      </c>
      <c r="I124" s="32">
        <f t="shared" si="21"/>
        <v>0</v>
      </c>
      <c r="J124" s="33" t="str" cm="1">
        <f t="array" aca="1" ref="J124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($E124=CLASSIFICATION[[Keyword Aggr]:[Keyword Aggr]])*($D124=CLASSIFICATION[[Functional Scope Aggr]:[Functional Scope Aggr]])),
_xlpm._platform_keywords, _xlfn.TEXTSPLIT(SUBSTITUTE(SUBSTITUTE(VLOOKUP($D124,_xlpm._platform_range,3,FALSE),"+"&amp;CHAR(34),"+"),CHAR(34),""),", "),
_xlpm._exists, SUMPRODUCT(--ISNUMBER(MATCH(_xlpm._platform_keywords,_xlpm._original_keywords,0)))&gt;0,
_xlfn.IFS(AND(_xlpm._exists,LEFT($E124,1)="+"),"+",_xlpm._exists,"*",NOT(_xlpm._exists),"")
)</f>
        <v/>
      </c>
      <c r="K124" s="33" t="str" cm="1">
        <f t="array" aca="1" ref="K124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($E124=CLASSIFICATION[[Keyword Aggr]:[Keyword Aggr]])*($D124=CLASSIFICATION[[Functional Scope Aggr]:[Functional Scope Aggr]])),
_xlpm._platform_keywords, _xlfn.TEXTSPLIT(SUBSTITUTE(SUBSTITUTE(VLOOKUP($D124,_xlpm._platform_range,3,FALSE),"+"&amp;CHAR(34),"+"),CHAR(34),""),", "),
_xlpm._exists, SUMPRODUCT(--ISNUMBER(MATCH(_xlpm._platform_keywords,_xlpm._original_keywords,0)))&gt;0,
_xlfn.IFS(AND(_xlpm._exists,LEFT($E124,1)="+"),"+",_xlpm._exists,"*",NOT(_xlpm._exists),"")
)</f>
        <v/>
      </c>
      <c r="L124" s="33" t="str" cm="1">
        <f t="array" aca="1" ref="L124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($E124=CLASSIFICATION[[Keyword Aggr]:[Keyword Aggr]])*($D124=CLASSIFICATION[[Functional Scope Aggr]:[Functional Scope Aggr]])),
_xlpm._platform_keywords, _xlfn.TEXTSPLIT(SUBSTITUTE(SUBSTITUTE(VLOOKUP($D124,_xlpm._platform_range,3,FALSE),"+"&amp;CHAR(34),"+"),CHAR(34),""),", "),
_xlpm._exists, SUMPRODUCT(--ISNUMBER(MATCH(_xlpm._platform_keywords,_xlpm._original_keywords,0)))&gt;0,
_xlfn.IFS(AND(_xlpm._exists,LEFT($E124,1)="+"),"+",_xlpm._exists,"*",NOT(_xlpm._exists),"")
)</f>
        <v/>
      </c>
      <c r="M124" s="33" t="str" cm="1">
        <f t="array" aca="1" ref="M124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($E124=CLASSIFICATION[[Keyword Aggr]:[Keyword Aggr]])*($D124=CLASSIFICATION[[Functional Scope Aggr]:[Functional Scope Aggr]])),
_xlpm._platform_keywords, _xlfn.TEXTSPLIT(SUBSTITUTE(SUBSTITUTE(VLOOKUP($D124,_xlpm._platform_range,3,FALSE),"+"&amp;CHAR(34),"+"),CHAR(34),""),", "),
_xlpm._exists, SUMPRODUCT(--ISNUMBER(MATCH(_xlpm._platform_keywords,_xlpm._original_keywords,0)))&gt;0,
_xlfn.IFS(AND(_xlpm._exists,LEFT($E124,1)="+"),"+",_xlpm._exists,"*",NOT(_xlpm._exists),"")
)</f>
        <v/>
      </c>
      <c r="N124" s="33" t="str" cm="1">
        <f t="array" aca="1" ref="N124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($E124=CLASSIFICATION[[Keyword Aggr]:[Keyword Aggr]])*($D124=CLASSIFICATION[[Functional Scope Aggr]:[Functional Scope Aggr]])),
_xlpm._platform_keywords, _xlfn.TEXTSPLIT(SUBSTITUTE(SUBSTITUTE(VLOOKUP($D124,_xlpm._platform_range,3,FALSE),"+"&amp;CHAR(34),"+"),CHAR(34),""),", "),
_xlpm._exists, SUMPRODUCT(--ISNUMBER(MATCH(_xlpm._platform_keywords,_xlpm._original_keywords,0)))&gt;0,
_xlfn.IFS(AND(_xlpm._exists,LEFT($E124,1)="+"),"+",_xlpm._exists,"*",NOT(_xlpm._exists),"")
)</f>
        <v/>
      </c>
      <c r="O124" s="33" t="str" cm="1">
        <f t="array" aca="1" ref="O124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($E124=CLASSIFICATION[[Keyword Aggr]:[Keyword Aggr]])*($D124=CLASSIFICATION[[Functional Scope Aggr]:[Functional Scope Aggr]])),
_xlpm._platform_keywords, _xlfn.TEXTSPLIT(SUBSTITUTE(SUBSTITUTE(VLOOKUP($D124,_xlpm._platform_range,3,FALSE),"+"&amp;CHAR(34),"+"),CHAR(34),""),", "),
_xlpm._exists, SUMPRODUCT(--ISNUMBER(MATCH(_xlpm._platform_keywords,_xlpm._original_keywords,0)))&gt;0,
_xlfn.IFS(AND(_xlpm._exists,LEFT($E124,1)="+"),"+",_xlpm._exists,"*",NOT(_xlpm._exists),"")
)</f>
        <v/>
      </c>
      <c r="Q124" s="33" t="str">
        <f t="shared" si="15"/>
        <v/>
      </c>
      <c r="R124" s="33" t="str">
        <f t="shared" si="16"/>
        <v/>
      </c>
      <c r="S124" s="33" t="str">
        <f t="shared" si="17"/>
        <v/>
      </c>
      <c r="T124" s="33" t="str">
        <f t="shared" si="18"/>
        <v/>
      </c>
      <c r="U124" s="33" t="str">
        <f t="shared" si="19"/>
        <v/>
      </c>
      <c r="V124" s="33" t="str">
        <f t="shared" si="20"/>
        <v/>
      </c>
    </row>
    <row r="125" spans="1:22" x14ac:dyDescent="0.25">
      <c r="A125" s="19"/>
      <c r="B125" t="s">
        <v>377</v>
      </c>
      <c r="C125" s="19" t="e" cm="1">
        <f t="array" ref="C125">_xlfn.TEXTSPLIT(A125,",")</f>
        <v>#VALUE!</v>
      </c>
      <c r="D125" s="19"/>
      <c r="E125" s="19"/>
      <c r="F125" s="36" t="e" cm="1" vm="1">
        <f t="array" ref="F125">_xlfn.TEXTJOIN(",",TRUE,_xlfn._xlws.FILTER(CLASSIFICATION[Keyword], ($E125=CLASSIFICATION[Keyword Aggr])*($D125=CLASSIFICATION[Functional Scope Aggr])))</f>
        <v>#VALUE!</v>
      </c>
      <c r="G125" s="32" t="e">
        <f t="shared" si="14"/>
        <v>#VALUE!</v>
      </c>
      <c r="H125" s="32" t="str">
        <f t="shared" si="14"/>
        <v/>
      </c>
      <c r="I125" s="32">
        <f t="shared" si="21"/>
        <v>0</v>
      </c>
      <c r="J125" s="33" t="str" cm="1">
        <f t="array" aca="1" ref="J125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($E125=CLASSIFICATION[[Keyword Aggr]:[Keyword Aggr]])*($D125=CLASSIFICATION[[Functional Scope Aggr]:[Functional Scope Aggr]])),
_xlpm._platform_keywords, _xlfn.TEXTSPLIT(SUBSTITUTE(SUBSTITUTE(VLOOKUP($D125,_xlpm._platform_range,3,FALSE),"+"&amp;CHAR(34),"+"),CHAR(34),""),", "),
_xlpm._exists, SUMPRODUCT(--ISNUMBER(MATCH(_xlpm._platform_keywords,_xlpm._original_keywords,0)))&gt;0,
_xlfn.IFS(AND(_xlpm._exists,LEFT($E125,1)="+"),"+",_xlpm._exists,"*",NOT(_xlpm._exists),"")
)</f>
        <v/>
      </c>
      <c r="K125" s="33" t="str" cm="1">
        <f t="array" aca="1" ref="K125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($E125=CLASSIFICATION[[Keyword Aggr]:[Keyword Aggr]])*($D125=CLASSIFICATION[[Functional Scope Aggr]:[Functional Scope Aggr]])),
_xlpm._platform_keywords, _xlfn.TEXTSPLIT(SUBSTITUTE(SUBSTITUTE(VLOOKUP($D125,_xlpm._platform_range,3,FALSE),"+"&amp;CHAR(34),"+"),CHAR(34),""),", "),
_xlpm._exists, SUMPRODUCT(--ISNUMBER(MATCH(_xlpm._platform_keywords,_xlpm._original_keywords,0)))&gt;0,
_xlfn.IFS(AND(_xlpm._exists,LEFT($E125,1)="+"),"+",_xlpm._exists,"*",NOT(_xlpm._exists),"")
)</f>
        <v/>
      </c>
      <c r="L125" s="33" t="str" cm="1">
        <f t="array" aca="1" ref="L125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($E125=CLASSIFICATION[[Keyword Aggr]:[Keyword Aggr]])*($D125=CLASSIFICATION[[Functional Scope Aggr]:[Functional Scope Aggr]])),
_xlpm._platform_keywords, _xlfn.TEXTSPLIT(SUBSTITUTE(SUBSTITUTE(VLOOKUP($D125,_xlpm._platform_range,3,FALSE),"+"&amp;CHAR(34),"+"),CHAR(34),""),", "),
_xlpm._exists, SUMPRODUCT(--ISNUMBER(MATCH(_xlpm._platform_keywords,_xlpm._original_keywords,0)))&gt;0,
_xlfn.IFS(AND(_xlpm._exists,LEFT($E125,1)="+"),"+",_xlpm._exists,"*",NOT(_xlpm._exists),"")
)</f>
        <v/>
      </c>
      <c r="M125" s="33" t="str" cm="1">
        <f t="array" aca="1" ref="M125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($E125=CLASSIFICATION[[Keyword Aggr]:[Keyword Aggr]])*($D125=CLASSIFICATION[[Functional Scope Aggr]:[Functional Scope Aggr]])),
_xlpm._platform_keywords, _xlfn.TEXTSPLIT(SUBSTITUTE(SUBSTITUTE(VLOOKUP($D125,_xlpm._platform_range,3,FALSE),"+"&amp;CHAR(34),"+"),CHAR(34),""),", "),
_xlpm._exists, SUMPRODUCT(--ISNUMBER(MATCH(_xlpm._platform_keywords,_xlpm._original_keywords,0)))&gt;0,
_xlfn.IFS(AND(_xlpm._exists,LEFT($E125,1)="+"),"+",_xlpm._exists,"*",NOT(_xlpm._exists),"")
)</f>
        <v/>
      </c>
      <c r="N125" s="33" t="str" cm="1">
        <f t="array" aca="1" ref="N125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($E125=CLASSIFICATION[[Keyword Aggr]:[Keyword Aggr]])*($D125=CLASSIFICATION[[Functional Scope Aggr]:[Functional Scope Aggr]])),
_xlpm._platform_keywords, _xlfn.TEXTSPLIT(SUBSTITUTE(SUBSTITUTE(VLOOKUP($D125,_xlpm._platform_range,3,FALSE),"+"&amp;CHAR(34),"+"),CHAR(34),""),", "),
_xlpm._exists, SUMPRODUCT(--ISNUMBER(MATCH(_xlpm._platform_keywords,_xlpm._original_keywords,0)))&gt;0,
_xlfn.IFS(AND(_xlpm._exists,LEFT($E125,1)="+"),"+",_xlpm._exists,"*",NOT(_xlpm._exists),"")
)</f>
        <v/>
      </c>
      <c r="O125" s="33" t="str" cm="1">
        <f t="array" aca="1" ref="O125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($E125=CLASSIFICATION[[Keyword Aggr]:[Keyword Aggr]])*($D125=CLASSIFICATION[[Functional Scope Aggr]:[Functional Scope Aggr]])),
_xlpm._platform_keywords, _xlfn.TEXTSPLIT(SUBSTITUTE(SUBSTITUTE(VLOOKUP($D125,_xlpm._platform_range,3,FALSE),"+"&amp;CHAR(34),"+"),CHAR(34),""),", "),
_xlpm._exists, SUMPRODUCT(--ISNUMBER(MATCH(_xlpm._platform_keywords,_xlpm._original_keywords,0)))&gt;0,
_xlfn.IFS(AND(_xlpm._exists,LEFT($E125,1)="+"),"+",_xlpm._exists,"*",NOT(_xlpm._exists),"")
)</f>
        <v/>
      </c>
      <c r="Q125" s="33" t="str">
        <f t="shared" si="15"/>
        <v/>
      </c>
      <c r="R125" s="33" t="str">
        <f t="shared" si="16"/>
        <v/>
      </c>
      <c r="S125" s="33" t="str">
        <f t="shared" si="17"/>
        <v/>
      </c>
      <c r="T125" s="33" t="str">
        <f t="shared" si="18"/>
        <v/>
      </c>
      <c r="U125" s="33" t="str">
        <f t="shared" si="19"/>
        <v/>
      </c>
      <c r="V125" s="33" t="str">
        <f t="shared" si="20"/>
        <v/>
      </c>
    </row>
    <row r="126" spans="1:22" x14ac:dyDescent="0.25">
      <c r="A126" s="19"/>
      <c r="B126" t="s">
        <v>377</v>
      </c>
      <c r="C126" s="19" t="e" cm="1">
        <f t="array" ref="C126">_xlfn.TEXTSPLIT(A126,",")</f>
        <v>#VALUE!</v>
      </c>
      <c r="D126" s="19"/>
      <c r="E126" s="19"/>
      <c r="F126" s="36" t="e" cm="1" vm="1">
        <f t="array" ref="F126">_xlfn.TEXTJOIN(",",TRUE,_xlfn._xlws.FILTER(CLASSIFICATION[Keyword], ($E126=CLASSIFICATION[Keyword Aggr])*($D126=CLASSIFICATION[Functional Scope Aggr])))</f>
        <v>#VALUE!</v>
      </c>
      <c r="G126" s="32" t="e">
        <f t="shared" si="14"/>
        <v>#VALUE!</v>
      </c>
      <c r="H126" s="32" t="str">
        <f t="shared" si="14"/>
        <v/>
      </c>
      <c r="I126" s="32">
        <f t="shared" si="21"/>
        <v>0</v>
      </c>
      <c r="J126" s="33" t="str" cm="1">
        <f t="array" aca="1" ref="J126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($E126=CLASSIFICATION[[Keyword Aggr]:[Keyword Aggr]])*($D126=CLASSIFICATION[[Functional Scope Aggr]:[Functional Scope Aggr]])),
_xlpm._platform_keywords, _xlfn.TEXTSPLIT(SUBSTITUTE(SUBSTITUTE(VLOOKUP($D126,_xlpm._platform_range,3,FALSE),"+"&amp;CHAR(34),"+"),CHAR(34),""),", "),
_xlpm._exists, SUMPRODUCT(--ISNUMBER(MATCH(_xlpm._platform_keywords,_xlpm._original_keywords,0)))&gt;0,
_xlfn.IFS(AND(_xlpm._exists,LEFT($E126,1)="+"),"+",_xlpm._exists,"*",NOT(_xlpm._exists),"")
)</f>
        <v/>
      </c>
      <c r="K126" s="33" t="str" cm="1">
        <f t="array" aca="1" ref="K126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($E126=CLASSIFICATION[[Keyword Aggr]:[Keyword Aggr]])*($D126=CLASSIFICATION[[Functional Scope Aggr]:[Functional Scope Aggr]])),
_xlpm._platform_keywords, _xlfn.TEXTSPLIT(SUBSTITUTE(SUBSTITUTE(VLOOKUP($D126,_xlpm._platform_range,3,FALSE),"+"&amp;CHAR(34),"+"),CHAR(34),""),", "),
_xlpm._exists, SUMPRODUCT(--ISNUMBER(MATCH(_xlpm._platform_keywords,_xlpm._original_keywords,0)))&gt;0,
_xlfn.IFS(AND(_xlpm._exists,LEFT($E126,1)="+"),"+",_xlpm._exists,"*",NOT(_xlpm._exists),"")
)</f>
        <v/>
      </c>
      <c r="L126" s="33" t="str" cm="1">
        <f t="array" aca="1" ref="L126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($E126=CLASSIFICATION[[Keyword Aggr]:[Keyword Aggr]])*($D126=CLASSIFICATION[[Functional Scope Aggr]:[Functional Scope Aggr]])),
_xlpm._platform_keywords, _xlfn.TEXTSPLIT(SUBSTITUTE(SUBSTITUTE(VLOOKUP($D126,_xlpm._platform_range,3,FALSE),"+"&amp;CHAR(34),"+"),CHAR(34),""),", "),
_xlpm._exists, SUMPRODUCT(--ISNUMBER(MATCH(_xlpm._platform_keywords,_xlpm._original_keywords,0)))&gt;0,
_xlfn.IFS(AND(_xlpm._exists,LEFT($E126,1)="+"),"+",_xlpm._exists,"*",NOT(_xlpm._exists),"")
)</f>
        <v/>
      </c>
      <c r="M126" s="33" t="str" cm="1">
        <f t="array" aca="1" ref="M126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($E126=CLASSIFICATION[[Keyword Aggr]:[Keyword Aggr]])*($D126=CLASSIFICATION[[Functional Scope Aggr]:[Functional Scope Aggr]])),
_xlpm._platform_keywords, _xlfn.TEXTSPLIT(SUBSTITUTE(SUBSTITUTE(VLOOKUP($D126,_xlpm._platform_range,3,FALSE),"+"&amp;CHAR(34),"+"),CHAR(34),""),", "),
_xlpm._exists, SUMPRODUCT(--ISNUMBER(MATCH(_xlpm._platform_keywords,_xlpm._original_keywords,0)))&gt;0,
_xlfn.IFS(AND(_xlpm._exists,LEFT($E126,1)="+"),"+",_xlpm._exists,"*",NOT(_xlpm._exists),"")
)</f>
        <v/>
      </c>
      <c r="N126" s="33" t="str" cm="1">
        <f t="array" aca="1" ref="N126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($E126=CLASSIFICATION[[Keyword Aggr]:[Keyword Aggr]])*($D126=CLASSIFICATION[[Functional Scope Aggr]:[Functional Scope Aggr]])),
_xlpm._platform_keywords, _xlfn.TEXTSPLIT(SUBSTITUTE(SUBSTITUTE(VLOOKUP($D126,_xlpm._platform_range,3,FALSE),"+"&amp;CHAR(34),"+"),CHAR(34),""),", "),
_xlpm._exists, SUMPRODUCT(--ISNUMBER(MATCH(_xlpm._platform_keywords,_xlpm._original_keywords,0)))&gt;0,
_xlfn.IFS(AND(_xlpm._exists,LEFT($E126,1)="+"),"+",_xlpm._exists,"*",NOT(_xlpm._exists),"")
)</f>
        <v/>
      </c>
      <c r="O126" s="33" t="str" cm="1">
        <f t="array" aca="1" ref="O126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($E126=CLASSIFICATION[[Keyword Aggr]:[Keyword Aggr]])*($D126=CLASSIFICATION[[Functional Scope Aggr]:[Functional Scope Aggr]])),
_xlpm._platform_keywords, _xlfn.TEXTSPLIT(SUBSTITUTE(SUBSTITUTE(VLOOKUP($D126,_xlpm._platform_range,3,FALSE),"+"&amp;CHAR(34),"+"),CHAR(34),""),", "),
_xlpm._exists, SUMPRODUCT(--ISNUMBER(MATCH(_xlpm._platform_keywords,_xlpm._original_keywords,0)))&gt;0,
_xlfn.IFS(AND(_xlpm._exists,LEFT($E126,1)="+"),"+",_xlpm._exists,"*",NOT(_xlpm._exists),"")
)</f>
        <v/>
      </c>
      <c r="Q126" s="33" t="str">
        <f t="shared" si="15"/>
        <v/>
      </c>
      <c r="R126" s="33" t="str">
        <f t="shared" si="16"/>
        <v/>
      </c>
      <c r="S126" s="33" t="str">
        <f t="shared" si="17"/>
        <v/>
      </c>
      <c r="T126" s="33" t="str">
        <f t="shared" si="18"/>
        <v/>
      </c>
      <c r="U126" s="33" t="str">
        <f t="shared" si="19"/>
        <v/>
      </c>
      <c r="V126" s="33" t="str">
        <f t="shared" si="20"/>
        <v/>
      </c>
    </row>
    <row r="127" spans="1:22" x14ac:dyDescent="0.25">
      <c r="A127" s="19"/>
      <c r="B127" t="s">
        <v>377</v>
      </c>
      <c r="C127" s="19" t="e" cm="1">
        <f t="array" ref="C127">_xlfn.TEXTSPLIT(A127,",")</f>
        <v>#VALUE!</v>
      </c>
      <c r="D127" s="19"/>
      <c r="E127" s="19"/>
      <c r="F127" s="36" t="e" cm="1" vm="1">
        <f t="array" ref="F127">_xlfn.TEXTJOIN(",",TRUE,_xlfn._xlws.FILTER(CLASSIFICATION[Keyword], ($E127=CLASSIFICATION[Keyword Aggr])*($D127=CLASSIFICATION[Functional Scope Aggr])))</f>
        <v>#VALUE!</v>
      </c>
      <c r="G127" s="32" t="e">
        <f t="shared" si="14"/>
        <v>#VALUE!</v>
      </c>
      <c r="H127" s="32" t="str">
        <f t="shared" si="14"/>
        <v/>
      </c>
      <c r="I127" s="32">
        <f t="shared" si="21"/>
        <v>0</v>
      </c>
      <c r="J127" s="33" t="str" cm="1">
        <f t="array" aca="1" ref="J127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($E127=CLASSIFICATION[[Keyword Aggr]:[Keyword Aggr]])*($D127=CLASSIFICATION[[Functional Scope Aggr]:[Functional Scope Aggr]])),
_xlpm._platform_keywords, _xlfn.TEXTSPLIT(SUBSTITUTE(SUBSTITUTE(VLOOKUP($D127,_xlpm._platform_range,3,FALSE),"+"&amp;CHAR(34),"+"),CHAR(34),""),", "),
_xlpm._exists, SUMPRODUCT(--ISNUMBER(MATCH(_xlpm._platform_keywords,_xlpm._original_keywords,0)))&gt;0,
_xlfn.IFS(AND(_xlpm._exists,LEFT($E127,1)="+"),"+",_xlpm._exists,"*",NOT(_xlpm._exists),"")
)</f>
        <v/>
      </c>
      <c r="K127" s="33" t="str" cm="1">
        <f t="array" aca="1" ref="K127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($E127=CLASSIFICATION[[Keyword Aggr]:[Keyword Aggr]])*($D127=CLASSIFICATION[[Functional Scope Aggr]:[Functional Scope Aggr]])),
_xlpm._platform_keywords, _xlfn.TEXTSPLIT(SUBSTITUTE(SUBSTITUTE(VLOOKUP($D127,_xlpm._platform_range,3,FALSE),"+"&amp;CHAR(34),"+"),CHAR(34),""),", "),
_xlpm._exists, SUMPRODUCT(--ISNUMBER(MATCH(_xlpm._platform_keywords,_xlpm._original_keywords,0)))&gt;0,
_xlfn.IFS(AND(_xlpm._exists,LEFT($E127,1)="+"),"+",_xlpm._exists,"*",NOT(_xlpm._exists),"")
)</f>
        <v/>
      </c>
      <c r="L127" s="33" t="str" cm="1">
        <f t="array" aca="1" ref="L127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($E127=CLASSIFICATION[[Keyword Aggr]:[Keyword Aggr]])*($D127=CLASSIFICATION[[Functional Scope Aggr]:[Functional Scope Aggr]])),
_xlpm._platform_keywords, _xlfn.TEXTSPLIT(SUBSTITUTE(SUBSTITUTE(VLOOKUP($D127,_xlpm._platform_range,3,FALSE),"+"&amp;CHAR(34),"+"),CHAR(34),""),", "),
_xlpm._exists, SUMPRODUCT(--ISNUMBER(MATCH(_xlpm._platform_keywords,_xlpm._original_keywords,0)))&gt;0,
_xlfn.IFS(AND(_xlpm._exists,LEFT($E127,1)="+"),"+",_xlpm._exists,"*",NOT(_xlpm._exists),"")
)</f>
        <v/>
      </c>
      <c r="M127" s="33" t="str" cm="1">
        <f t="array" aca="1" ref="M127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($E127=CLASSIFICATION[[Keyword Aggr]:[Keyword Aggr]])*($D127=CLASSIFICATION[[Functional Scope Aggr]:[Functional Scope Aggr]])),
_xlpm._platform_keywords, _xlfn.TEXTSPLIT(SUBSTITUTE(SUBSTITUTE(VLOOKUP($D127,_xlpm._platform_range,3,FALSE),"+"&amp;CHAR(34),"+"),CHAR(34),""),", "),
_xlpm._exists, SUMPRODUCT(--ISNUMBER(MATCH(_xlpm._platform_keywords,_xlpm._original_keywords,0)))&gt;0,
_xlfn.IFS(AND(_xlpm._exists,LEFT($E127,1)="+"),"+",_xlpm._exists,"*",NOT(_xlpm._exists),"")
)</f>
        <v/>
      </c>
      <c r="N127" s="33" t="str" cm="1">
        <f t="array" aca="1" ref="N127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($E127=CLASSIFICATION[[Keyword Aggr]:[Keyword Aggr]])*($D127=CLASSIFICATION[[Functional Scope Aggr]:[Functional Scope Aggr]])),
_xlpm._platform_keywords, _xlfn.TEXTSPLIT(SUBSTITUTE(SUBSTITUTE(VLOOKUP($D127,_xlpm._platform_range,3,FALSE),"+"&amp;CHAR(34),"+"),CHAR(34),""),", "),
_xlpm._exists, SUMPRODUCT(--ISNUMBER(MATCH(_xlpm._platform_keywords,_xlpm._original_keywords,0)))&gt;0,
_xlfn.IFS(AND(_xlpm._exists,LEFT($E127,1)="+"),"+",_xlpm._exists,"*",NOT(_xlpm._exists),"")
)</f>
        <v/>
      </c>
      <c r="O127" s="33" t="str" cm="1">
        <f t="array" aca="1" ref="O127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($E127=CLASSIFICATION[[Keyword Aggr]:[Keyword Aggr]])*($D127=CLASSIFICATION[[Functional Scope Aggr]:[Functional Scope Aggr]])),
_xlpm._platform_keywords, _xlfn.TEXTSPLIT(SUBSTITUTE(SUBSTITUTE(VLOOKUP($D127,_xlpm._platform_range,3,FALSE),"+"&amp;CHAR(34),"+"),CHAR(34),""),", "),
_xlpm._exists, SUMPRODUCT(--ISNUMBER(MATCH(_xlpm._platform_keywords,_xlpm._original_keywords,0)))&gt;0,
_xlfn.IFS(AND(_xlpm._exists,LEFT($E127,1)="+"),"+",_xlpm._exists,"*",NOT(_xlpm._exists),"")
)</f>
        <v/>
      </c>
      <c r="Q127" s="33" t="str">
        <f t="shared" si="15"/>
        <v/>
      </c>
      <c r="R127" s="33" t="str">
        <f t="shared" si="16"/>
        <v/>
      </c>
      <c r="S127" s="33" t="str">
        <f t="shared" si="17"/>
        <v/>
      </c>
      <c r="T127" s="33" t="str">
        <f t="shared" si="18"/>
        <v/>
      </c>
      <c r="U127" s="33" t="str">
        <f t="shared" si="19"/>
        <v/>
      </c>
      <c r="V127" s="33" t="str">
        <f t="shared" si="20"/>
        <v/>
      </c>
    </row>
    <row r="128" spans="1:22" x14ac:dyDescent="0.25">
      <c r="A128" s="19"/>
      <c r="B128" t="s">
        <v>377</v>
      </c>
      <c r="C128" s="19" t="e" cm="1">
        <f t="array" ref="C128">_xlfn.TEXTSPLIT(A128,",")</f>
        <v>#VALUE!</v>
      </c>
      <c r="D128" s="19"/>
      <c r="E128" s="19"/>
      <c r="F128" s="36" t="e" cm="1" vm="1">
        <f t="array" ref="F128">_xlfn.TEXTJOIN(",",TRUE,_xlfn._xlws.FILTER(CLASSIFICATION[Keyword], ($E128=CLASSIFICATION[Keyword Aggr])*($D128=CLASSIFICATION[Functional Scope Aggr])))</f>
        <v>#VALUE!</v>
      </c>
      <c r="G128" s="32" t="e">
        <f t="shared" si="14"/>
        <v>#VALUE!</v>
      </c>
      <c r="H128" s="32" t="str">
        <f t="shared" si="14"/>
        <v/>
      </c>
      <c r="I128" s="32">
        <f t="shared" si="21"/>
        <v>0</v>
      </c>
      <c r="J128" s="33" t="str" cm="1">
        <f t="array" aca="1" ref="J128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($E128=CLASSIFICATION[[Keyword Aggr]:[Keyword Aggr]])*($D128=CLASSIFICATION[[Functional Scope Aggr]:[Functional Scope Aggr]])),
_xlpm._platform_keywords, _xlfn.TEXTSPLIT(SUBSTITUTE(SUBSTITUTE(VLOOKUP($D128,_xlpm._platform_range,3,FALSE),"+"&amp;CHAR(34),"+"),CHAR(34),""),", "),
_xlpm._exists, SUMPRODUCT(--ISNUMBER(MATCH(_xlpm._platform_keywords,_xlpm._original_keywords,0)))&gt;0,
_xlfn.IFS(AND(_xlpm._exists,LEFT($E128,1)="+"),"+",_xlpm._exists,"*",NOT(_xlpm._exists),"")
)</f>
        <v/>
      </c>
      <c r="K128" s="33" t="str" cm="1">
        <f t="array" aca="1" ref="K128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($E128=CLASSIFICATION[[Keyword Aggr]:[Keyword Aggr]])*($D128=CLASSIFICATION[[Functional Scope Aggr]:[Functional Scope Aggr]])),
_xlpm._platform_keywords, _xlfn.TEXTSPLIT(SUBSTITUTE(SUBSTITUTE(VLOOKUP($D128,_xlpm._platform_range,3,FALSE),"+"&amp;CHAR(34),"+"),CHAR(34),""),", "),
_xlpm._exists, SUMPRODUCT(--ISNUMBER(MATCH(_xlpm._platform_keywords,_xlpm._original_keywords,0)))&gt;0,
_xlfn.IFS(AND(_xlpm._exists,LEFT($E128,1)="+"),"+",_xlpm._exists,"*",NOT(_xlpm._exists),"")
)</f>
        <v/>
      </c>
      <c r="L128" s="33" t="str" cm="1">
        <f t="array" aca="1" ref="L128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($E128=CLASSIFICATION[[Keyword Aggr]:[Keyword Aggr]])*($D128=CLASSIFICATION[[Functional Scope Aggr]:[Functional Scope Aggr]])),
_xlpm._platform_keywords, _xlfn.TEXTSPLIT(SUBSTITUTE(SUBSTITUTE(VLOOKUP($D128,_xlpm._platform_range,3,FALSE),"+"&amp;CHAR(34),"+"),CHAR(34),""),", "),
_xlpm._exists, SUMPRODUCT(--ISNUMBER(MATCH(_xlpm._platform_keywords,_xlpm._original_keywords,0)))&gt;0,
_xlfn.IFS(AND(_xlpm._exists,LEFT($E128,1)="+"),"+",_xlpm._exists,"*",NOT(_xlpm._exists),"")
)</f>
        <v/>
      </c>
      <c r="M128" s="33" t="str" cm="1">
        <f t="array" aca="1" ref="M128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($E128=CLASSIFICATION[[Keyword Aggr]:[Keyword Aggr]])*($D128=CLASSIFICATION[[Functional Scope Aggr]:[Functional Scope Aggr]])),
_xlpm._platform_keywords, _xlfn.TEXTSPLIT(SUBSTITUTE(SUBSTITUTE(VLOOKUP($D128,_xlpm._platform_range,3,FALSE),"+"&amp;CHAR(34),"+"),CHAR(34),""),", "),
_xlpm._exists, SUMPRODUCT(--ISNUMBER(MATCH(_xlpm._platform_keywords,_xlpm._original_keywords,0)))&gt;0,
_xlfn.IFS(AND(_xlpm._exists,LEFT($E128,1)="+"),"+",_xlpm._exists,"*",NOT(_xlpm._exists),"")
)</f>
        <v/>
      </c>
      <c r="N128" s="33" t="str" cm="1">
        <f t="array" aca="1" ref="N128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($E128=CLASSIFICATION[[Keyword Aggr]:[Keyword Aggr]])*($D128=CLASSIFICATION[[Functional Scope Aggr]:[Functional Scope Aggr]])),
_xlpm._platform_keywords, _xlfn.TEXTSPLIT(SUBSTITUTE(SUBSTITUTE(VLOOKUP($D128,_xlpm._platform_range,3,FALSE),"+"&amp;CHAR(34),"+"),CHAR(34),""),", "),
_xlpm._exists, SUMPRODUCT(--ISNUMBER(MATCH(_xlpm._platform_keywords,_xlpm._original_keywords,0)))&gt;0,
_xlfn.IFS(AND(_xlpm._exists,LEFT($E128,1)="+"),"+",_xlpm._exists,"*",NOT(_xlpm._exists),"")
)</f>
        <v/>
      </c>
      <c r="O128" s="33" t="str" cm="1">
        <f t="array" aca="1" ref="O128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($E128=CLASSIFICATION[[Keyword Aggr]:[Keyword Aggr]])*($D128=CLASSIFICATION[[Functional Scope Aggr]:[Functional Scope Aggr]])),
_xlpm._platform_keywords, _xlfn.TEXTSPLIT(SUBSTITUTE(SUBSTITUTE(VLOOKUP($D128,_xlpm._platform_range,3,FALSE),"+"&amp;CHAR(34),"+"),CHAR(34),""),", "),
_xlpm._exists, SUMPRODUCT(--ISNUMBER(MATCH(_xlpm._platform_keywords,_xlpm._original_keywords,0)))&gt;0,
_xlfn.IFS(AND(_xlpm._exists,LEFT($E128,1)="+"),"+",_xlpm._exists,"*",NOT(_xlpm._exists),"")
)</f>
        <v/>
      </c>
      <c r="Q128" s="33" t="str">
        <f t="shared" si="15"/>
        <v/>
      </c>
      <c r="R128" s="33" t="str">
        <f t="shared" si="16"/>
        <v/>
      </c>
      <c r="S128" s="33" t="str">
        <f t="shared" si="17"/>
        <v/>
      </c>
      <c r="T128" s="33" t="str">
        <f t="shared" si="18"/>
        <v/>
      </c>
      <c r="U128" s="33" t="str">
        <f t="shared" si="19"/>
        <v/>
      </c>
      <c r="V128" s="33" t="str">
        <f t="shared" si="20"/>
        <v/>
      </c>
    </row>
    <row r="129" spans="1:22" x14ac:dyDescent="0.25">
      <c r="A129" s="19"/>
      <c r="B129" t="s">
        <v>377</v>
      </c>
      <c r="C129" s="19" t="e" cm="1">
        <f t="array" ref="C129">_xlfn.TEXTSPLIT(A129,",")</f>
        <v>#VALUE!</v>
      </c>
      <c r="D129" s="19"/>
      <c r="E129" s="19"/>
      <c r="F129" s="36" t="e" cm="1" vm="1">
        <f t="array" ref="F129">_xlfn.TEXTJOIN(",",TRUE,_xlfn._xlws.FILTER(CLASSIFICATION[Keyword], ($E129=CLASSIFICATION[Keyword Aggr])*($D129=CLASSIFICATION[Functional Scope Aggr])))</f>
        <v>#VALUE!</v>
      </c>
      <c r="G129" s="32" t="e">
        <f t="shared" si="14"/>
        <v>#VALUE!</v>
      </c>
      <c r="H129" s="32" t="str">
        <f t="shared" si="14"/>
        <v/>
      </c>
      <c r="I129" s="32">
        <f t="shared" si="21"/>
        <v>0</v>
      </c>
      <c r="J129" s="33" t="str" cm="1">
        <f t="array" aca="1" ref="J129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($E129=CLASSIFICATION[[Keyword Aggr]:[Keyword Aggr]])*($D129=CLASSIFICATION[[Functional Scope Aggr]:[Functional Scope Aggr]])),
_xlpm._platform_keywords, _xlfn.TEXTSPLIT(SUBSTITUTE(SUBSTITUTE(VLOOKUP($D129,_xlpm._platform_range,3,FALSE),"+"&amp;CHAR(34),"+"),CHAR(34),""),", "),
_xlpm._exists, SUMPRODUCT(--ISNUMBER(MATCH(_xlpm._platform_keywords,_xlpm._original_keywords,0)))&gt;0,
_xlfn.IFS(AND(_xlpm._exists,LEFT($E129,1)="+"),"+",_xlpm._exists,"*",NOT(_xlpm._exists),"")
)</f>
        <v/>
      </c>
      <c r="K129" s="33" t="str" cm="1">
        <f t="array" aca="1" ref="K129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($E129=CLASSIFICATION[[Keyword Aggr]:[Keyword Aggr]])*($D129=CLASSIFICATION[[Functional Scope Aggr]:[Functional Scope Aggr]])),
_xlpm._platform_keywords, _xlfn.TEXTSPLIT(SUBSTITUTE(SUBSTITUTE(VLOOKUP($D129,_xlpm._platform_range,3,FALSE),"+"&amp;CHAR(34),"+"),CHAR(34),""),", "),
_xlpm._exists, SUMPRODUCT(--ISNUMBER(MATCH(_xlpm._platform_keywords,_xlpm._original_keywords,0)))&gt;0,
_xlfn.IFS(AND(_xlpm._exists,LEFT($E129,1)="+"),"+",_xlpm._exists,"*",NOT(_xlpm._exists),"")
)</f>
        <v/>
      </c>
      <c r="L129" s="33" t="str" cm="1">
        <f t="array" aca="1" ref="L129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($E129=CLASSIFICATION[[Keyword Aggr]:[Keyword Aggr]])*($D129=CLASSIFICATION[[Functional Scope Aggr]:[Functional Scope Aggr]])),
_xlpm._platform_keywords, _xlfn.TEXTSPLIT(SUBSTITUTE(SUBSTITUTE(VLOOKUP($D129,_xlpm._platform_range,3,FALSE),"+"&amp;CHAR(34),"+"),CHAR(34),""),", "),
_xlpm._exists, SUMPRODUCT(--ISNUMBER(MATCH(_xlpm._platform_keywords,_xlpm._original_keywords,0)))&gt;0,
_xlfn.IFS(AND(_xlpm._exists,LEFT($E129,1)="+"),"+",_xlpm._exists,"*",NOT(_xlpm._exists),"")
)</f>
        <v/>
      </c>
      <c r="M129" s="33" t="str" cm="1">
        <f t="array" aca="1" ref="M129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($E129=CLASSIFICATION[[Keyword Aggr]:[Keyword Aggr]])*($D129=CLASSIFICATION[[Functional Scope Aggr]:[Functional Scope Aggr]])),
_xlpm._platform_keywords, _xlfn.TEXTSPLIT(SUBSTITUTE(SUBSTITUTE(VLOOKUP($D129,_xlpm._platform_range,3,FALSE),"+"&amp;CHAR(34),"+"),CHAR(34),""),", "),
_xlpm._exists, SUMPRODUCT(--ISNUMBER(MATCH(_xlpm._platform_keywords,_xlpm._original_keywords,0)))&gt;0,
_xlfn.IFS(AND(_xlpm._exists,LEFT($E129,1)="+"),"+",_xlpm._exists,"*",NOT(_xlpm._exists),"")
)</f>
        <v/>
      </c>
      <c r="N129" s="33" t="str" cm="1">
        <f t="array" aca="1" ref="N129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($E129=CLASSIFICATION[[Keyword Aggr]:[Keyword Aggr]])*($D129=CLASSIFICATION[[Functional Scope Aggr]:[Functional Scope Aggr]])),
_xlpm._platform_keywords, _xlfn.TEXTSPLIT(SUBSTITUTE(SUBSTITUTE(VLOOKUP($D129,_xlpm._platform_range,3,FALSE),"+"&amp;CHAR(34),"+"),CHAR(34),""),", "),
_xlpm._exists, SUMPRODUCT(--ISNUMBER(MATCH(_xlpm._platform_keywords,_xlpm._original_keywords,0)))&gt;0,
_xlfn.IFS(AND(_xlpm._exists,LEFT($E129,1)="+"),"+",_xlpm._exists,"*",NOT(_xlpm._exists),"")
)</f>
        <v/>
      </c>
      <c r="O129" s="33" t="str" cm="1">
        <f t="array" aca="1" ref="O129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($E129=CLASSIFICATION[[Keyword Aggr]:[Keyword Aggr]])*($D129=CLASSIFICATION[[Functional Scope Aggr]:[Functional Scope Aggr]])),
_xlpm._platform_keywords, _xlfn.TEXTSPLIT(SUBSTITUTE(SUBSTITUTE(VLOOKUP($D129,_xlpm._platform_range,3,FALSE),"+"&amp;CHAR(34),"+"),CHAR(34),""),", "),
_xlpm._exists, SUMPRODUCT(--ISNUMBER(MATCH(_xlpm._platform_keywords,_xlpm._original_keywords,0)))&gt;0,
_xlfn.IFS(AND(_xlpm._exists,LEFT($E129,1)="+"),"+",_xlpm._exists,"*",NOT(_xlpm._exists),"")
)</f>
        <v/>
      </c>
      <c r="Q129" s="33" t="str">
        <f t="shared" si="15"/>
        <v/>
      </c>
      <c r="R129" s="33" t="str">
        <f t="shared" si="16"/>
        <v/>
      </c>
      <c r="S129" s="33" t="str">
        <f t="shared" si="17"/>
        <v/>
      </c>
      <c r="T129" s="33" t="str">
        <f t="shared" si="18"/>
        <v/>
      </c>
      <c r="U129" s="33" t="str">
        <f t="shared" si="19"/>
        <v/>
      </c>
      <c r="V129" s="33" t="str">
        <f t="shared" si="20"/>
        <v/>
      </c>
    </row>
    <row r="130" spans="1:22" x14ac:dyDescent="0.25">
      <c r="A130" s="19"/>
      <c r="B130" t="s">
        <v>377</v>
      </c>
      <c r="C130" s="19" t="e" cm="1">
        <f t="array" ref="C130">_xlfn.TEXTSPLIT(A130,",")</f>
        <v>#VALUE!</v>
      </c>
      <c r="D130" s="19"/>
      <c r="E130" s="19"/>
      <c r="F130" s="36" t="e" cm="1" vm="1">
        <f t="array" ref="F130">_xlfn.TEXTJOIN(",",TRUE,_xlfn._xlws.FILTER(CLASSIFICATION[Keyword], ($E130=CLASSIFICATION[Keyword Aggr])*($D130=CLASSIFICATION[Functional Scope Aggr])))</f>
        <v>#VALUE!</v>
      </c>
      <c r="G130" s="32" t="e">
        <f t="shared" si="14"/>
        <v>#VALUE!</v>
      </c>
      <c r="H130" s="32" t="str">
        <f t="shared" si="14"/>
        <v/>
      </c>
      <c r="I130" s="32">
        <f t="shared" si="21"/>
        <v>0</v>
      </c>
      <c r="J130" s="33" t="str" cm="1">
        <f t="array" aca="1" ref="J130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($E130=CLASSIFICATION[[Keyword Aggr]:[Keyword Aggr]])*($D130=CLASSIFICATION[[Functional Scope Aggr]:[Functional Scope Aggr]])),
_xlpm._platform_keywords, _xlfn.TEXTSPLIT(SUBSTITUTE(SUBSTITUTE(VLOOKUP($D130,_xlpm._platform_range,3,FALSE),"+"&amp;CHAR(34),"+"),CHAR(34),""),", "),
_xlpm._exists, SUMPRODUCT(--ISNUMBER(MATCH(_xlpm._platform_keywords,_xlpm._original_keywords,0)))&gt;0,
_xlfn.IFS(AND(_xlpm._exists,LEFT($E130,1)="+"),"+",_xlpm._exists,"*",NOT(_xlpm._exists),"")
)</f>
        <v/>
      </c>
      <c r="K130" s="33" t="str" cm="1">
        <f t="array" aca="1" ref="K130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($E130=CLASSIFICATION[[Keyword Aggr]:[Keyword Aggr]])*($D130=CLASSIFICATION[[Functional Scope Aggr]:[Functional Scope Aggr]])),
_xlpm._platform_keywords, _xlfn.TEXTSPLIT(SUBSTITUTE(SUBSTITUTE(VLOOKUP($D130,_xlpm._platform_range,3,FALSE),"+"&amp;CHAR(34),"+"),CHAR(34),""),", "),
_xlpm._exists, SUMPRODUCT(--ISNUMBER(MATCH(_xlpm._platform_keywords,_xlpm._original_keywords,0)))&gt;0,
_xlfn.IFS(AND(_xlpm._exists,LEFT($E130,1)="+"),"+",_xlpm._exists,"*",NOT(_xlpm._exists),"")
)</f>
        <v/>
      </c>
      <c r="L130" s="33" t="str" cm="1">
        <f t="array" aca="1" ref="L130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($E130=CLASSIFICATION[[Keyword Aggr]:[Keyword Aggr]])*($D130=CLASSIFICATION[[Functional Scope Aggr]:[Functional Scope Aggr]])),
_xlpm._platform_keywords, _xlfn.TEXTSPLIT(SUBSTITUTE(SUBSTITUTE(VLOOKUP($D130,_xlpm._platform_range,3,FALSE),"+"&amp;CHAR(34),"+"),CHAR(34),""),", "),
_xlpm._exists, SUMPRODUCT(--ISNUMBER(MATCH(_xlpm._platform_keywords,_xlpm._original_keywords,0)))&gt;0,
_xlfn.IFS(AND(_xlpm._exists,LEFT($E130,1)="+"),"+",_xlpm._exists,"*",NOT(_xlpm._exists),"")
)</f>
        <v/>
      </c>
      <c r="M130" s="33" t="str" cm="1">
        <f t="array" aca="1" ref="M130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($E130=CLASSIFICATION[[Keyword Aggr]:[Keyword Aggr]])*($D130=CLASSIFICATION[[Functional Scope Aggr]:[Functional Scope Aggr]])),
_xlpm._platform_keywords, _xlfn.TEXTSPLIT(SUBSTITUTE(SUBSTITUTE(VLOOKUP($D130,_xlpm._platform_range,3,FALSE),"+"&amp;CHAR(34),"+"),CHAR(34),""),", "),
_xlpm._exists, SUMPRODUCT(--ISNUMBER(MATCH(_xlpm._platform_keywords,_xlpm._original_keywords,0)))&gt;0,
_xlfn.IFS(AND(_xlpm._exists,LEFT($E130,1)="+"),"+",_xlpm._exists,"*",NOT(_xlpm._exists),"")
)</f>
        <v/>
      </c>
      <c r="N130" s="33" t="str" cm="1">
        <f t="array" aca="1" ref="N130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($E130=CLASSIFICATION[[Keyword Aggr]:[Keyword Aggr]])*($D130=CLASSIFICATION[[Functional Scope Aggr]:[Functional Scope Aggr]])),
_xlpm._platform_keywords, _xlfn.TEXTSPLIT(SUBSTITUTE(SUBSTITUTE(VLOOKUP($D130,_xlpm._platform_range,3,FALSE),"+"&amp;CHAR(34),"+"),CHAR(34),""),", "),
_xlpm._exists, SUMPRODUCT(--ISNUMBER(MATCH(_xlpm._platform_keywords,_xlpm._original_keywords,0)))&gt;0,
_xlfn.IFS(AND(_xlpm._exists,LEFT($E130,1)="+"),"+",_xlpm._exists,"*",NOT(_xlpm._exists),"")
)</f>
        <v/>
      </c>
      <c r="O130" s="33" t="str" cm="1">
        <f t="array" aca="1" ref="O130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($E130=CLASSIFICATION[[Keyword Aggr]:[Keyword Aggr]])*($D130=CLASSIFICATION[[Functional Scope Aggr]:[Functional Scope Aggr]])),
_xlpm._platform_keywords, _xlfn.TEXTSPLIT(SUBSTITUTE(SUBSTITUTE(VLOOKUP($D130,_xlpm._platform_range,3,FALSE),"+"&amp;CHAR(34),"+"),CHAR(34),""),", "),
_xlpm._exists, SUMPRODUCT(--ISNUMBER(MATCH(_xlpm._platform_keywords,_xlpm._original_keywords,0)))&gt;0,
_xlfn.IFS(AND(_xlpm._exists,LEFT($E130,1)="+"),"+",_xlpm._exists,"*",NOT(_xlpm._exists),"")
)</f>
        <v/>
      </c>
      <c r="Q130" s="33" t="str">
        <f t="shared" si="15"/>
        <v/>
      </c>
      <c r="R130" s="33" t="str">
        <f t="shared" si="16"/>
        <v/>
      </c>
      <c r="S130" s="33" t="str">
        <f t="shared" si="17"/>
        <v/>
      </c>
      <c r="T130" s="33" t="str">
        <f t="shared" si="18"/>
        <v/>
      </c>
      <c r="U130" s="33" t="str">
        <f t="shared" si="19"/>
        <v/>
      </c>
      <c r="V130" s="33" t="str">
        <f t="shared" si="20"/>
        <v/>
      </c>
    </row>
    <row r="131" spans="1:22" x14ac:dyDescent="0.25">
      <c r="A131" s="19"/>
      <c r="B131" t="s">
        <v>377</v>
      </c>
      <c r="C131" s="19" t="e" cm="1">
        <f t="array" ref="C131">_xlfn.TEXTSPLIT(A131,",")</f>
        <v>#VALUE!</v>
      </c>
      <c r="D131" s="19"/>
      <c r="E131" s="19"/>
      <c r="F131" s="36" t="e" cm="1" vm="1">
        <f t="array" ref="F131">_xlfn.TEXTJOIN(",",TRUE,_xlfn._xlws.FILTER(CLASSIFICATION[Keyword], ($E131=CLASSIFICATION[Keyword Aggr])*($D131=CLASSIFICATION[Functional Scope Aggr])))</f>
        <v>#VALUE!</v>
      </c>
      <c r="G131" s="32" t="e">
        <f t="shared" si="14"/>
        <v>#VALUE!</v>
      </c>
      <c r="H131" s="32" t="str">
        <f t="shared" si="14"/>
        <v/>
      </c>
      <c r="I131" s="32">
        <f t="shared" si="21"/>
        <v>0</v>
      </c>
      <c r="J131" s="33" t="str" cm="1">
        <f t="array" aca="1" ref="J131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($E131=CLASSIFICATION[[Keyword Aggr]:[Keyword Aggr]])*($D131=CLASSIFICATION[[Functional Scope Aggr]:[Functional Scope Aggr]])),
_xlpm._platform_keywords, _xlfn.TEXTSPLIT(SUBSTITUTE(SUBSTITUTE(VLOOKUP($D131,_xlpm._platform_range,3,FALSE),"+"&amp;CHAR(34),"+"),CHAR(34),""),", "),
_xlpm._exists, SUMPRODUCT(--ISNUMBER(MATCH(_xlpm._platform_keywords,_xlpm._original_keywords,0)))&gt;0,
_xlfn.IFS(AND(_xlpm._exists,LEFT($E131,1)="+"),"+",_xlpm._exists,"*",NOT(_xlpm._exists),"")
)</f>
        <v/>
      </c>
      <c r="K131" s="33" t="str" cm="1">
        <f t="array" aca="1" ref="K131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($E131=CLASSIFICATION[[Keyword Aggr]:[Keyword Aggr]])*($D131=CLASSIFICATION[[Functional Scope Aggr]:[Functional Scope Aggr]])),
_xlpm._platform_keywords, _xlfn.TEXTSPLIT(SUBSTITUTE(SUBSTITUTE(VLOOKUP($D131,_xlpm._platform_range,3,FALSE),"+"&amp;CHAR(34),"+"),CHAR(34),""),", "),
_xlpm._exists, SUMPRODUCT(--ISNUMBER(MATCH(_xlpm._platform_keywords,_xlpm._original_keywords,0)))&gt;0,
_xlfn.IFS(AND(_xlpm._exists,LEFT($E131,1)="+"),"+",_xlpm._exists,"*",NOT(_xlpm._exists),"")
)</f>
        <v/>
      </c>
      <c r="L131" s="33" t="str" cm="1">
        <f t="array" aca="1" ref="L131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($E131=CLASSIFICATION[[Keyword Aggr]:[Keyword Aggr]])*($D131=CLASSIFICATION[[Functional Scope Aggr]:[Functional Scope Aggr]])),
_xlpm._platform_keywords, _xlfn.TEXTSPLIT(SUBSTITUTE(SUBSTITUTE(VLOOKUP($D131,_xlpm._platform_range,3,FALSE),"+"&amp;CHAR(34),"+"),CHAR(34),""),", "),
_xlpm._exists, SUMPRODUCT(--ISNUMBER(MATCH(_xlpm._platform_keywords,_xlpm._original_keywords,0)))&gt;0,
_xlfn.IFS(AND(_xlpm._exists,LEFT($E131,1)="+"),"+",_xlpm._exists,"*",NOT(_xlpm._exists),"")
)</f>
        <v/>
      </c>
      <c r="M131" s="33" t="str" cm="1">
        <f t="array" aca="1" ref="M131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($E131=CLASSIFICATION[[Keyword Aggr]:[Keyword Aggr]])*($D131=CLASSIFICATION[[Functional Scope Aggr]:[Functional Scope Aggr]])),
_xlpm._platform_keywords, _xlfn.TEXTSPLIT(SUBSTITUTE(SUBSTITUTE(VLOOKUP($D131,_xlpm._platform_range,3,FALSE),"+"&amp;CHAR(34),"+"),CHAR(34),""),", "),
_xlpm._exists, SUMPRODUCT(--ISNUMBER(MATCH(_xlpm._platform_keywords,_xlpm._original_keywords,0)))&gt;0,
_xlfn.IFS(AND(_xlpm._exists,LEFT($E131,1)="+"),"+",_xlpm._exists,"*",NOT(_xlpm._exists),"")
)</f>
        <v/>
      </c>
      <c r="N131" s="33" t="str" cm="1">
        <f t="array" aca="1" ref="N131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($E131=CLASSIFICATION[[Keyword Aggr]:[Keyword Aggr]])*($D131=CLASSIFICATION[[Functional Scope Aggr]:[Functional Scope Aggr]])),
_xlpm._platform_keywords, _xlfn.TEXTSPLIT(SUBSTITUTE(SUBSTITUTE(VLOOKUP($D131,_xlpm._platform_range,3,FALSE),"+"&amp;CHAR(34),"+"),CHAR(34),""),", "),
_xlpm._exists, SUMPRODUCT(--ISNUMBER(MATCH(_xlpm._platform_keywords,_xlpm._original_keywords,0)))&gt;0,
_xlfn.IFS(AND(_xlpm._exists,LEFT($E131,1)="+"),"+",_xlpm._exists,"*",NOT(_xlpm._exists),"")
)</f>
        <v/>
      </c>
      <c r="O131" s="33" t="str" cm="1">
        <f t="array" aca="1" ref="O131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($E131=CLASSIFICATION[[Keyword Aggr]:[Keyword Aggr]])*($D131=CLASSIFICATION[[Functional Scope Aggr]:[Functional Scope Aggr]])),
_xlpm._platform_keywords, _xlfn.TEXTSPLIT(SUBSTITUTE(SUBSTITUTE(VLOOKUP($D131,_xlpm._platform_range,3,FALSE),"+"&amp;CHAR(34),"+"),CHAR(34),""),", "),
_xlpm._exists, SUMPRODUCT(--ISNUMBER(MATCH(_xlpm._platform_keywords,_xlpm._original_keywords,0)))&gt;0,
_xlfn.IFS(AND(_xlpm._exists,LEFT($E131,1)="+"),"+",_xlpm._exists,"*",NOT(_xlpm._exists),"")
)</f>
        <v/>
      </c>
      <c r="Q131" s="33" t="str">
        <f t="shared" si="15"/>
        <v/>
      </c>
      <c r="R131" s="33" t="str">
        <f t="shared" si="16"/>
        <v/>
      </c>
      <c r="S131" s="33" t="str">
        <f t="shared" si="17"/>
        <v/>
      </c>
      <c r="T131" s="33" t="str">
        <f t="shared" si="18"/>
        <v/>
      </c>
      <c r="U131" s="33" t="str">
        <f t="shared" si="19"/>
        <v/>
      </c>
      <c r="V131" s="33" t="str">
        <f t="shared" si="20"/>
        <v/>
      </c>
    </row>
    <row r="132" spans="1:22" x14ac:dyDescent="0.25">
      <c r="A132" s="19"/>
      <c r="B132" t="s">
        <v>377</v>
      </c>
      <c r="C132" s="19" t="e" cm="1">
        <f t="array" ref="C132">_xlfn.TEXTSPLIT(A132,",")</f>
        <v>#VALUE!</v>
      </c>
      <c r="D132" s="19"/>
      <c r="E132" s="19"/>
      <c r="F132" s="36" t="e" cm="1" vm="1">
        <f t="array" ref="F132">_xlfn.TEXTJOIN(",",TRUE,_xlfn._xlws.FILTER(CLASSIFICATION[Keyword], ($E132=CLASSIFICATION[Keyword Aggr])*($D132=CLASSIFICATION[Functional Scope Aggr])))</f>
        <v>#VALUE!</v>
      </c>
      <c r="G132" s="32" t="e">
        <f t="shared" ref="G132:H195" si="22">IF(C132&lt;&gt;C131,C132,"")</f>
        <v>#VALUE!</v>
      </c>
      <c r="H132" s="32" t="str">
        <f t="shared" si="22"/>
        <v/>
      </c>
      <c r="I132" s="32">
        <f t="shared" si="21"/>
        <v>0</v>
      </c>
      <c r="J132" s="33" t="str" cm="1">
        <f t="array" aca="1" ref="J132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($E132=CLASSIFICATION[[Keyword Aggr]:[Keyword Aggr]])*($D132=CLASSIFICATION[[Functional Scope Aggr]:[Functional Scope Aggr]])),
_xlpm._platform_keywords, _xlfn.TEXTSPLIT(SUBSTITUTE(SUBSTITUTE(VLOOKUP($D132,_xlpm._platform_range,3,FALSE),"+"&amp;CHAR(34),"+"),CHAR(34),""),", "),
_xlpm._exists, SUMPRODUCT(--ISNUMBER(MATCH(_xlpm._platform_keywords,_xlpm._original_keywords,0)))&gt;0,
_xlfn.IFS(AND(_xlpm._exists,LEFT($E132,1)="+"),"+",_xlpm._exists,"*",NOT(_xlpm._exists),"")
)</f>
        <v/>
      </c>
      <c r="K132" s="33" t="str" cm="1">
        <f t="array" aca="1" ref="K132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($E132=CLASSIFICATION[[Keyword Aggr]:[Keyword Aggr]])*($D132=CLASSIFICATION[[Functional Scope Aggr]:[Functional Scope Aggr]])),
_xlpm._platform_keywords, _xlfn.TEXTSPLIT(SUBSTITUTE(SUBSTITUTE(VLOOKUP($D132,_xlpm._platform_range,3,FALSE),"+"&amp;CHAR(34),"+"),CHAR(34),""),", "),
_xlpm._exists, SUMPRODUCT(--ISNUMBER(MATCH(_xlpm._platform_keywords,_xlpm._original_keywords,0)))&gt;0,
_xlfn.IFS(AND(_xlpm._exists,LEFT($E132,1)="+"),"+",_xlpm._exists,"*",NOT(_xlpm._exists),"")
)</f>
        <v/>
      </c>
      <c r="L132" s="33" t="str" cm="1">
        <f t="array" aca="1" ref="L132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($E132=CLASSIFICATION[[Keyword Aggr]:[Keyword Aggr]])*($D132=CLASSIFICATION[[Functional Scope Aggr]:[Functional Scope Aggr]])),
_xlpm._platform_keywords, _xlfn.TEXTSPLIT(SUBSTITUTE(SUBSTITUTE(VLOOKUP($D132,_xlpm._platform_range,3,FALSE),"+"&amp;CHAR(34),"+"),CHAR(34),""),", "),
_xlpm._exists, SUMPRODUCT(--ISNUMBER(MATCH(_xlpm._platform_keywords,_xlpm._original_keywords,0)))&gt;0,
_xlfn.IFS(AND(_xlpm._exists,LEFT($E132,1)="+"),"+",_xlpm._exists,"*",NOT(_xlpm._exists),"")
)</f>
        <v/>
      </c>
      <c r="M132" s="33" t="str" cm="1">
        <f t="array" aca="1" ref="M132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($E132=CLASSIFICATION[[Keyword Aggr]:[Keyword Aggr]])*($D132=CLASSIFICATION[[Functional Scope Aggr]:[Functional Scope Aggr]])),
_xlpm._platform_keywords, _xlfn.TEXTSPLIT(SUBSTITUTE(SUBSTITUTE(VLOOKUP($D132,_xlpm._platform_range,3,FALSE),"+"&amp;CHAR(34),"+"),CHAR(34),""),", "),
_xlpm._exists, SUMPRODUCT(--ISNUMBER(MATCH(_xlpm._platform_keywords,_xlpm._original_keywords,0)))&gt;0,
_xlfn.IFS(AND(_xlpm._exists,LEFT($E132,1)="+"),"+",_xlpm._exists,"*",NOT(_xlpm._exists),"")
)</f>
        <v/>
      </c>
      <c r="N132" s="33" t="str" cm="1">
        <f t="array" aca="1" ref="N132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($E132=CLASSIFICATION[[Keyword Aggr]:[Keyword Aggr]])*($D132=CLASSIFICATION[[Functional Scope Aggr]:[Functional Scope Aggr]])),
_xlpm._platform_keywords, _xlfn.TEXTSPLIT(SUBSTITUTE(SUBSTITUTE(VLOOKUP($D132,_xlpm._platform_range,3,FALSE),"+"&amp;CHAR(34),"+"),CHAR(34),""),", "),
_xlpm._exists, SUMPRODUCT(--ISNUMBER(MATCH(_xlpm._platform_keywords,_xlpm._original_keywords,0)))&gt;0,
_xlfn.IFS(AND(_xlpm._exists,LEFT($E132,1)="+"),"+",_xlpm._exists,"*",NOT(_xlpm._exists),"")
)</f>
        <v/>
      </c>
      <c r="O132" s="33" t="str" cm="1">
        <f t="array" aca="1" ref="O132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($E132=CLASSIFICATION[[Keyword Aggr]:[Keyword Aggr]])*($D132=CLASSIFICATION[[Functional Scope Aggr]:[Functional Scope Aggr]])),
_xlpm._platform_keywords, _xlfn.TEXTSPLIT(SUBSTITUTE(SUBSTITUTE(VLOOKUP($D132,_xlpm._platform_range,3,FALSE),"+"&amp;CHAR(34),"+"),CHAR(34),""),", "),
_xlpm._exists, SUMPRODUCT(--ISNUMBER(MATCH(_xlpm._platform_keywords,_xlpm._original_keywords,0)))&gt;0,
_xlfn.IFS(AND(_xlpm._exists,LEFT($E132,1)="+"),"+",_xlpm._exists,"*",NOT(_xlpm._exists),"")
)</f>
        <v/>
      </c>
      <c r="Q132" s="33" t="str">
        <f t="shared" si="15"/>
        <v/>
      </c>
      <c r="R132" s="33" t="str">
        <f t="shared" si="16"/>
        <v/>
      </c>
      <c r="S132" s="33" t="str">
        <f t="shared" si="17"/>
        <v/>
      </c>
      <c r="T132" s="33" t="str">
        <f t="shared" si="18"/>
        <v/>
      </c>
      <c r="U132" s="33" t="str">
        <f t="shared" si="19"/>
        <v/>
      </c>
      <c r="V132" s="33" t="str">
        <f t="shared" si="20"/>
        <v/>
      </c>
    </row>
    <row r="133" spans="1:22" x14ac:dyDescent="0.25">
      <c r="A133" s="19"/>
      <c r="B133" t="s">
        <v>377</v>
      </c>
      <c r="C133" s="19" t="e" cm="1">
        <f t="array" ref="C133">_xlfn.TEXTSPLIT(A133,",")</f>
        <v>#VALUE!</v>
      </c>
      <c r="D133" s="19"/>
      <c r="E133" s="19"/>
      <c r="F133" s="36" t="e" cm="1" vm="1">
        <f t="array" ref="F133">_xlfn.TEXTJOIN(",",TRUE,_xlfn._xlws.FILTER(CLASSIFICATION[Keyword], ($E133=CLASSIFICATION[Keyword Aggr])*($D133=CLASSIFICATION[Functional Scope Aggr])))</f>
        <v>#VALUE!</v>
      </c>
      <c r="G133" s="32" t="e">
        <f t="shared" si="22"/>
        <v>#VALUE!</v>
      </c>
      <c r="H133" s="32" t="str">
        <f t="shared" si="22"/>
        <v/>
      </c>
      <c r="I133" s="32">
        <f t="shared" si="21"/>
        <v>0</v>
      </c>
      <c r="J133" s="33" t="str" cm="1">
        <f t="array" aca="1" ref="J133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($E133=CLASSIFICATION[[Keyword Aggr]:[Keyword Aggr]])*($D133=CLASSIFICATION[[Functional Scope Aggr]:[Functional Scope Aggr]])),
_xlpm._platform_keywords, _xlfn.TEXTSPLIT(SUBSTITUTE(SUBSTITUTE(VLOOKUP($D133,_xlpm._platform_range,3,FALSE),"+"&amp;CHAR(34),"+"),CHAR(34),""),", "),
_xlpm._exists, SUMPRODUCT(--ISNUMBER(MATCH(_xlpm._platform_keywords,_xlpm._original_keywords,0)))&gt;0,
_xlfn.IFS(AND(_xlpm._exists,LEFT($E133,1)="+"),"+",_xlpm._exists,"*",NOT(_xlpm._exists),"")
)</f>
        <v/>
      </c>
      <c r="K133" s="33" t="str" cm="1">
        <f t="array" aca="1" ref="K133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($E133=CLASSIFICATION[[Keyword Aggr]:[Keyword Aggr]])*($D133=CLASSIFICATION[[Functional Scope Aggr]:[Functional Scope Aggr]])),
_xlpm._platform_keywords, _xlfn.TEXTSPLIT(SUBSTITUTE(SUBSTITUTE(VLOOKUP($D133,_xlpm._platform_range,3,FALSE),"+"&amp;CHAR(34),"+"),CHAR(34),""),", "),
_xlpm._exists, SUMPRODUCT(--ISNUMBER(MATCH(_xlpm._platform_keywords,_xlpm._original_keywords,0)))&gt;0,
_xlfn.IFS(AND(_xlpm._exists,LEFT($E133,1)="+"),"+",_xlpm._exists,"*",NOT(_xlpm._exists),"")
)</f>
        <v/>
      </c>
      <c r="L133" s="33" t="str" cm="1">
        <f t="array" aca="1" ref="L133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($E133=CLASSIFICATION[[Keyword Aggr]:[Keyword Aggr]])*($D133=CLASSIFICATION[[Functional Scope Aggr]:[Functional Scope Aggr]])),
_xlpm._platform_keywords, _xlfn.TEXTSPLIT(SUBSTITUTE(SUBSTITUTE(VLOOKUP($D133,_xlpm._platform_range,3,FALSE),"+"&amp;CHAR(34),"+"),CHAR(34),""),", "),
_xlpm._exists, SUMPRODUCT(--ISNUMBER(MATCH(_xlpm._platform_keywords,_xlpm._original_keywords,0)))&gt;0,
_xlfn.IFS(AND(_xlpm._exists,LEFT($E133,1)="+"),"+",_xlpm._exists,"*",NOT(_xlpm._exists),"")
)</f>
        <v/>
      </c>
      <c r="M133" s="33" t="str" cm="1">
        <f t="array" aca="1" ref="M133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($E133=CLASSIFICATION[[Keyword Aggr]:[Keyword Aggr]])*($D133=CLASSIFICATION[[Functional Scope Aggr]:[Functional Scope Aggr]])),
_xlpm._platform_keywords, _xlfn.TEXTSPLIT(SUBSTITUTE(SUBSTITUTE(VLOOKUP($D133,_xlpm._platform_range,3,FALSE),"+"&amp;CHAR(34),"+"),CHAR(34),""),", "),
_xlpm._exists, SUMPRODUCT(--ISNUMBER(MATCH(_xlpm._platform_keywords,_xlpm._original_keywords,0)))&gt;0,
_xlfn.IFS(AND(_xlpm._exists,LEFT($E133,1)="+"),"+",_xlpm._exists,"*",NOT(_xlpm._exists),"")
)</f>
        <v/>
      </c>
      <c r="N133" s="33" t="str" cm="1">
        <f t="array" aca="1" ref="N133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($E133=CLASSIFICATION[[Keyword Aggr]:[Keyword Aggr]])*($D133=CLASSIFICATION[[Functional Scope Aggr]:[Functional Scope Aggr]])),
_xlpm._platform_keywords, _xlfn.TEXTSPLIT(SUBSTITUTE(SUBSTITUTE(VLOOKUP($D133,_xlpm._platform_range,3,FALSE),"+"&amp;CHAR(34),"+"),CHAR(34),""),", "),
_xlpm._exists, SUMPRODUCT(--ISNUMBER(MATCH(_xlpm._platform_keywords,_xlpm._original_keywords,0)))&gt;0,
_xlfn.IFS(AND(_xlpm._exists,LEFT($E133,1)="+"),"+",_xlpm._exists,"*",NOT(_xlpm._exists),"")
)</f>
        <v/>
      </c>
      <c r="O133" s="33" t="str" cm="1">
        <f t="array" aca="1" ref="O133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($E133=CLASSIFICATION[[Keyword Aggr]:[Keyword Aggr]])*($D133=CLASSIFICATION[[Functional Scope Aggr]:[Functional Scope Aggr]])),
_xlpm._platform_keywords, _xlfn.TEXTSPLIT(SUBSTITUTE(SUBSTITUTE(VLOOKUP($D133,_xlpm._platform_range,3,FALSE),"+"&amp;CHAR(34),"+"),CHAR(34),""),", "),
_xlpm._exists, SUMPRODUCT(--ISNUMBER(MATCH(_xlpm._platform_keywords,_xlpm._original_keywords,0)))&gt;0,
_xlfn.IFS(AND(_xlpm._exists,LEFT($E133,1)="+"),"+",_xlpm._exists,"*",NOT(_xlpm._exists),"")
)</f>
        <v/>
      </c>
      <c r="Q133" s="33" t="str">
        <f t="shared" si="15"/>
        <v/>
      </c>
      <c r="R133" s="33" t="str">
        <f t="shared" si="16"/>
        <v/>
      </c>
      <c r="S133" s="33" t="str">
        <f t="shared" si="17"/>
        <v/>
      </c>
      <c r="T133" s="33" t="str">
        <f t="shared" si="18"/>
        <v/>
      </c>
      <c r="U133" s="33" t="str">
        <f t="shared" si="19"/>
        <v/>
      </c>
      <c r="V133" s="33" t="str">
        <f t="shared" si="20"/>
        <v/>
      </c>
    </row>
    <row r="134" spans="1:22" x14ac:dyDescent="0.25">
      <c r="A134" s="19"/>
      <c r="B134" t="s">
        <v>377</v>
      </c>
      <c r="C134" s="19" t="e" cm="1">
        <f t="array" ref="C134">_xlfn.TEXTSPLIT(A134,",")</f>
        <v>#VALUE!</v>
      </c>
      <c r="D134" s="19"/>
      <c r="E134" s="19"/>
      <c r="F134" s="36" t="e" cm="1" vm="1">
        <f t="array" ref="F134">_xlfn.TEXTJOIN(",",TRUE,_xlfn._xlws.FILTER(CLASSIFICATION[Keyword], ($E134=CLASSIFICATION[Keyword Aggr])*($D134=CLASSIFICATION[Functional Scope Aggr])))</f>
        <v>#VALUE!</v>
      </c>
      <c r="G134" s="32" t="e">
        <f t="shared" si="22"/>
        <v>#VALUE!</v>
      </c>
      <c r="H134" s="32" t="str">
        <f t="shared" si="22"/>
        <v/>
      </c>
      <c r="I134" s="32">
        <f t="shared" si="21"/>
        <v>0</v>
      </c>
      <c r="J134" s="33" t="str" cm="1">
        <f t="array" aca="1" ref="J134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($E134=CLASSIFICATION[[Keyword Aggr]:[Keyword Aggr]])*($D134=CLASSIFICATION[[Functional Scope Aggr]:[Functional Scope Aggr]])),
_xlpm._platform_keywords, _xlfn.TEXTSPLIT(SUBSTITUTE(SUBSTITUTE(VLOOKUP($D134,_xlpm._platform_range,3,FALSE),"+"&amp;CHAR(34),"+"),CHAR(34),""),", "),
_xlpm._exists, SUMPRODUCT(--ISNUMBER(MATCH(_xlpm._platform_keywords,_xlpm._original_keywords,0)))&gt;0,
_xlfn.IFS(AND(_xlpm._exists,LEFT($E134,1)="+"),"+",_xlpm._exists,"*",NOT(_xlpm._exists),"")
)</f>
        <v/>
      </c>
      <c r="K134" s="33" t="str" cm="1">
        <f t="array" aca="1" ref="K134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($E134=CLASSIFICATION[[Keyword Aggr]:[Keyword Aggr]])*($D134=CLASSIFICATION[[Functional Scope Aggr]:[Functional Scope Aggr]])),
_xlpm._platform_keywords, _xlfn.TEXTSPLIT(SUBSTITUTE(SUBSTITUTE(VLOOKUP($D134,_xlpm._platform_range,3,FALSE),"+"&amp;CHAR(34),"+"),CHAR(34),""),", "),
_xlpm._exists, SUMPRODUCT(--ISNUMBER(MATCH(_xlpm._platform_keywords,_xlpm._original_keywords,0)))&gt;0,
_xlfn.IFS(AND(_xlpm._exists,LEFT($E134,1)="+"),"+",_xlpm._exists,"*",NOT(_xlpm._exists),"")
)</f>
        <v/>
      </c>
      <c r="L134" s="33" t="str" cm="1">
        <f t="array" aca="1" ref="L134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($E134=CLASSIFICATION[[Keyword Aggr]:[Keyword Aggr]])*($D134=CLASSIFICATION[[Functional Scope Aggr]:[Functional Scope Aggr]])),
_xlpm._platform_keywords, _xlfn.TEXTSPLIT(SUBSTITUTE(SUBSTITUTE(VLOOKUP($D134,_xlpm._platform_range,3,FALSE),"+"&amp;CHAR(34),"+"),CHAR(34),""),", "),
_xlpm._exists, SUMPRODUCT(--ISNUMBER(MATCH(_xlpm._platform_keywords,_xlpm._original_keywords,0)))&gt;0,
_xlfn.IFS(AND(_xlpm._exists,LEFT($E134,1)="+"),"+",_xlpm._exists,"*",NOT(_xlpm._exists),"")
)</f>
        <v/>
      </c>
      <c r="M134" s="33" t="str" cm="1">
        <f t="array" aca="1" ref="M134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($E134=CLASSIFICATION[[Keyword Aggr]:[Keyword Aggr]])*($D134=CLASSIFICATION[[Functional Scope Aggr]:[Functional Scope Aggr]])),
_xlpm._platform_keywords, _xlfn.TEXTSPLIT(SUBSTITUTE(SUBSTITUTE(VLOOKUP($D134,_xlpm._platform_range,3,FALSE),"+"&amp;CHAR(34),"+"),CHAR(34),""),", "),
_xlpm._exists, SUMPRODUCT(--ISNUMBER(MATCH(_xlpm._platform_keywords,_xlpm._original_keywords,0)))&gt;0,
_xlfn.IFS(AND(_xlpm._exists,LEFT($E134,1)="+"),"+",_xlpm._exists,"*",NOT(_xlpm._exists),"")
)</f>
        <v/>
      </c>
      <c r="N134" s="33" t="str" cm="1">
        <f t="array" aca="1" ref="N134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($E134=CLASSIFICATION[[Keyword Aggr]:[Keyword Aggr]])*($D134=CLASSIFICATION[[Functional Scope Aggr]:[Functional Scope Aggr]])),
_xlpm._platform_keywords, _xlfn.TEXTSPLIT(SUBSTITUTE(SUBSTITUTE(VLOOKUP($D134,_xlpm._platform_range,3,FALSE),"+"&amp;CHAR(34),"+"),CHAR(34),""),", "),
_xlpm._exists, SUMPRODUCT(--ISNUMBER(MATCH(_xlpm._platform_keywords,_xlpm._original_keywords,0)))&gt;0,
_xlfn.IFS(AND(_xlpm._exists,LEFT($E134,1)="+"),"+",_xlpm._exists,"*",NOT(_xlpm._exists),"")
)</f>
        <v/>
      </c>
      <c r="O134" s="33" t="str" cm="1">
        <f t="array" aca="1" ref="O134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($E134=CLASSIFICATION[[Keyword Aggr]:[Keyword Aggr]])*($D134=CLASSIFICATION[[Functional Scope Aggr]:[Functional Scope Aggr]])),
_xlpm._platform_keywords, _xlfn.TEXTSPLIT(SUBSTITUTE(SUBSTITUTE(VLOOKUP($D134,_xlpm._platform_range,3,FALSE),"+"&amp;CHAR(34),"+"),CHAR(34),""),", "),
_xlpm._exists, SUMPRODUCT(--ISNUMBER(MATCH(_xlpm._platform_keywords,_xlpm._original_keywords,0)))&gt;0,
_xlfn.IFS(AND(_xlpm._exists,LEFT($E134,1)="+"),"+",_xlpm._exists,"*",NOT(_xlpm._exists),"")
)</f>
        <v/>
      </c>
      <c r="Q134" s="33" t="str">
        <f t="shared" ref="Q134:Q197" si="23">IF($H134&lt;&gt;"",COUNTIFS(J$3:J$500,"~*",$D$3:$D$500,$H134),"")</f>
        <v/>
      </c>
      <c r="R134" s="33" t="str">
        <f t="shared" si="16"/>
        <v/>
      </c>
      <c r="S134" s="33" t="str">
        <f t="shared" si="17"/>
        <v/>
      </c>
      <c r="T134" s="33" t="str">
        <f t="shared" si="18"/>
        <v/>
      </c>
      <c r="U134" s="33" t="str">
        <f t="shared" si="19"/>
        <v/>
      </c>
      <c r="V134" s="33" t="str">
        <f t="shared" si="20"/>
        <v/>
      </c>
    </row>
    <row r="135" spans="1:22" x14ac:dyDescent="0.25">
      <c r="A135" s="19"/>
      <c r="B135" t="s">
        <v>377</v>
      </c>
      <c r="C135" s="19" t="e" cm="1">
        <f t="array" ref="C135">_xlfn.TEXTSPLIT(A135,",")</f>
        <v>#VALUE!</v>
      </c>
      <c r="D135" s="19"/>
      <c r="E135" s="19"/>
      <c r="F135" s="36" t="e" cm="1" vm="1">
        <f t="array" ref="F135">_xlfn.TEXTJOIN(",",TRUE,_xlfn._xlws.FILTER(CLASSIFICATION[Keyword], ($E135=CLASSIFICATION[Keyword Aggr])*($D135=CLASSIFICATION[Functional Scope Aggr])))</f>
        <v>#VALUE!</v>
      </c>
      <c r="G135" s="32" t="e">
        <f t="shared" si="22"/>
        <v>#VALUE!</v>
      </c>
      <c r="H135" s="32" t="str">
        <f t="shared" si="22"/>
        <v/>
      </c>
      <c r="I135" s="32">
        <f t="shared" si="21"/>
        <v>0</v>
      </c>
      <c r="J135" s="33" t="str" cm="1">
        <f t="array" aca="1" ref="J135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($E135=CLASSIFICATION[[Keyword Aggr]:[Keyword Aggr]])*($D135=CLASSIFICATION[[Functional Scope Aggr]:[Functional Scope Aggr]])),
_xlpm._platform_keywords, _xlfn.TEXTSPLIT(SUBSTITUTE(SUBSTITUTE(VLOOKUP($D135,_xlpm._platform_range,3,FALSE),"+"&amp;CHAR(34),"+"),CHAR(34),""),", "),
_xlpm._exists, SUMPRODUCT(--ISNUMBER(MATCH(_xlpm._platform_keywords,_xlpm._original_keywords,0)))&gt;0,
_xlfn.IFS(AND(_xlpm._exists,LEFT($E135,1)="+"),"+",_xlpm._exists,"*",NOT(_xlpm._exists),"")
)</f>
        <v/>
      </c>
      <c r="K135" s="33" t="str" cm="1">
        <f t="array" aca="1" ref="K135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($E135=CLASSIFICATION[[Keyword Aggr]:[Keyword Aggr]])*($D135=CLASSIFICATION[[Functional Scope Aggr]:[Functional Scope Aggr]])),
_xlpm._platform_keywords, _xlfn.TEXTSPLIT(SUBSTITUTE(SUBSTITUTE(VLOOKUP($D135,_xlpm._platform_range,3,FALSE),"+"&amp;CHAR(34),"+"),CHAR(34),""),", "),
_xlpm._exists, SUMPRODUCT(--ISNUMBER(MATCH(_xlpm._platform_keywords,_xlpm._original_keywords,0)))&gt;0,
_xlfn.IFS(AND(_xlpm._exists,LEFT($E135,1)="+"),"+",_xlpm._exists,"*",NOT(_xlpm._exists),"")
)</f>
        <v/>
      </c>
      <c r="L135" s="33" t="str" cm="1">
        <f t="array" aca="1" ref="L135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($E135=CLASSIFICATION[[Keyword Aggr]:[Keyword Aggr]])*($D135=CLASSIFICATION[[Functional Scope Aggr]:[Functional Scope Aggr]])),
_xlpm._platform_keywords, _xlfn.TEXTSPLIT(SUBSTITUTE(SUBSTITUTE(VLOOKUP($D135,_xlpm._platform_range,3,FALSE),"+"&amp;CHAR(34),"+"),CHAR(34),""),", "),
_xlpm._exists, SUMPRODUCT(--ISNUMBER(MATCH(_xlpm._platform_keywords,_xlpm._original_keywords,0)))&gt;0,
_xlfn.IFS(AND(_xlpm._exists,LEFT($E135,1)="+"),"+",_xlpm._exists,"*",NOT(_xlpm._exists),"")
)</f>
        <v/>
      </c>
      <c r="M135" s="33" t="str" cm="1">
        <f t="array" aca="1" ref="M135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($E135=CLASSIFICATION[[Keyword Aggr]:[Keyword Aggr]])*($D135=CLASSIFICATION[[Functional Scope Aggr]:[Functional Scope Aggr]])),
_xlpm._platform_keywords, _xlfn.TEXTSPLIT(SUBSTITUTE(SUBSTITUTE(VLOOKUP($D135,_xlpm._platform_range,3,FALSE),"+"&amp;CHAR(34),"+"),CHAR(34),""),", "),
_xlpm._exists, SUMPRODUCT(--ISNUMBER(MATCH(_xlpm._platform_keywords,_xlpm._original_keywords,0)))&gt;0,
_xlfn.IFS(AND(_xlpm._exists,LEFT($E135,1)="+"),"+",_xlpm._exists,"*",NOT(_xlpm._exists),"")
)</f>
        <v/>
      </c>
      <c r="N135" s="33" t="str" cm="1">
        <f t="array" aca="1" ref="N135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($E135=CLASSIFICATION[[Keyword Aggr]:[Keyword Aggr]])*($D135=CLASSIFICATION[[Functional Scope Aggr]:[Functional Scope Aggr]])),
_xlpm._platform_keywords, _xlfn.TEXTSPLIT(SUBSTITUTE(SUBSTITUTE(VLOOKUP($D135,_xlpm._platform_range,3,FALSE),"+"&amp;CHAR(34),"+"),CHAR(34),""),", "),
_xlpm._exists, SUMPRODUCT(--ISNUMBER(MATCH(_xlpm._platform_keywords,_xlpm._original_keywords,0)))&gt;0,
_xlfn.IFS(AND(_xlpm._exists,LEFT($E135,1)="+"),"+",_xlpm._exists,"*",NOT(_xlpm._exists),"")
)</f>
        <v/>
      </c>
      <c r="O135" s="33" t="str" cm="1">
        <f t="array" aca="1" ref="O135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($E135=CLASSIFICATION[[Keyword Aggr]:[Keyword Aggr]])*($D135=CLASSIFICATION[[Functional Scope Aggr]:[Functional Scope Aggr]])),
_xlpm._platform_keywords, _xlfn.TEXTSPLIT(SUBSTITUTE(SUBSTITUTE(VLOOKUP($D135,_xlpm._platform_range,3,FALSE),"+"&amp;CHAR(34),"+"),CHAR(34),""),", "),
_xlpm._exists, SUMPRODUCT(--ISNUMBER(MATCH(_xlpm._platform_keywords,_xlpm._original_keywords,0)))&gt;0,
_xlfn.IFS(AND(_xlpm._exists,LEFT($E135,1)="+"),"+",_xlpm._exists,"*",NOT(_xlpm._exists),"")
)</f>
        <v/>
      </c>
      <c r="Q135" s="33" t="str">
        <f t="shared" si="23"/>
        <v/>
      </c>
      <c r="R135" s="33" t="str">
        <f t="shared" ref="R135:R198" si="24">IF($H135&lt;&gt;"",COUNTIFS(K$3:K$500,"~*",$D$3:$D$500,$H135),"")</f>
        <v/>
      </c>
      <c r="S135" s="33" t="str">
        <f t="shared" ref="S135:S198" si="25">IF($H135&lt;&gt;"",COUNTIFS(L$3:L$500,"~*",$D$3:$D$500,$H135),"")</f>
        <v/>
      </c>
      <c r="T135" s="33" t="str">
        <f t="shared" ref="T135:T198" si="26">IF($H135&lt;&gt;"",COUNTIFS(M$3:M$500,"~*",$D$3:$D$500,$H135),"")</f>
        <v/>
      </c>
      <c r="U135" s="33" t="str">
        <f t="shared" ref="U135:U198" si="27">IF($H135&lt;&gt;"",COUNTIFS(N$3:N$500,"~*",$D$3:$D$500,$H135),"")</f>
        <v/>
      </c>
      <c r="V135" s="33" t="str">
        <f t="shared" ref="V135:V198" si="28">IF($H135&lt;&gt;"",COUNTIFS(O$3:O$500,"~*",$D$3:$D$500,$H135),"")</f>
        <v/>
      </c>
    </row>
    <row r="136" spans="1:22" x14ac:dyDescent="0.25">
      <c r="A136" s="19"/>
      <c r="B136" t="s">
        <v>377</v>
      </c>
      <c r="C136" s="19" t="e" cm="1">
        <f t="array" ref="C136">_xlfn.TEXTSPLIT(A136,",")</f>
        <v>#VALUE!</v>
      </c>
      <c r="D136" s="19"/>
      <c r="E136" s="19"/>
      <c r="F136" s="36" t="e" cm="1" vm="1">
        <f t="array" ref="F136">_xlfn.TEXTJOIN(",",TRUE,_xlfn._xlws.FILTER(CLASSIFICATION[Keyword], ($E136=CLASSIFICATION[Keyword Aggr])*($D136=CLASSIFICATION[Functional Scope Aggr])))</f>
        <v>#VALUE!</v>
      </c>
      <c r="G136" s="32" t="e">
        <f t="shared" si="22"/>
        <v>#VALUE!</v>
      </c>
      <c r="H136" s="32" t="str">
        <f t="shared" si="22"/>
        <v/>
      </c>
      <c r="I136" s="32">
        <f t="shared" si="21"/>
        <v>0</v>
      </c>
      <c r="J136" s="33" t="str" cm="1">
        <f t="array" aca="1" ref="J136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($E136=CLASSIFICATION[[Keyword Aggr]:[Keyword Aggr]])*($D136=CLASSIFICATION[[Functional Scope Aggr]:[Functional Scope Aggr]])),
_xlpm._platform_keywords, _xlfn.TEXTSPLIT(SUBSTITUTE(SUBSTITUTE(VLOOKUP($D136,_xlpm._platform_range,3,FALSE),"+"&amp;CHAR(34),"+"),CHAR(34),""),", "),
_xlpm._exists, SUMPRODUCT(--ISNUMBER(MATCH(_xlpm._platform_keywords,_xlpm._original_keywords,0)))&gt;0,
_xlfn.IFS(AND(_xlpm._exists,LEFT($E136,1)="+"),"+",_xlpm._exists,"*",NOT(_xlpm._exists),"")
)</f>
        <v/>
      </c>
      <c r="K136" s="33" t="str" cm="1">
        <f t="array" aca="1" ref="K136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($E136=CLASSIFICATION[[Keyword Aggr]:[Keyword Aggr]])*($D136=CLASSIFICATION[[Functional Scope Aggr]:[Functional Scope Aggr]])),
_xlpm._platform_keywords, _xlfn.TEXTSPLIT(SUBSTITUTE(SUBSTITUTE(VLOOKUP($D136,_xlpm._platform_range,3,FALSE),"+"&amp;CHAR(34),"+"),CHAR(34),""),", "),
_xlpm._exists, SUMPRODUCT(--ISNUMBER(MATCH(_xlpm._platform_keywords,_xlpm._original_keywords,0)))&gt;0,
_xlfn.IFS(AND(_xlpm._exists,LEFT($E136,1)="+"),"+",_xlpm._exists,"*",NOT(_xlpm._exists),"")
)</f>
        <v/>
      </c>
      <c r="L136" s="33" t="str" cm="1">
        <f t="array" aca="1" ref="L136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($E136=CLASSIFICATION[[Keyword Aggr]:[Keyword Aggr]])*($D136=CLASSIFICATION[[Functional Scope Aggr]:[Functional Scope Aggr]])),
_xlpm._platform_keywords, _xlfn.TEXTSPLIT(SUBSTITUTE(SUBSTITUTE(VLOOKUP($D136,_xlpm._platform_range,3,FALSE),"+"&amp;CHAR(34),"+"),CHAR(34),""),", "),
_xlpm._exists, SUMPRODUCT(--ISNUMBER(MATCH(_xlpm._platform_keywords,_xlpm._original_keywords,0)))&gt;0,
_xlfn.IFS(AND(_xlpm._exists,LEFT($E136,1)="+"),"+",_xlpm._exists,"*",NOT(_xlpm._exists),"")
)</f>
        <v/>
      </c>
      <c r="M136" s="33" t="str" cm="1">
        <f t="array" aca="1" ref="M136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($E136=CLASSIFICATION[[Keyword Aggr]:[Keyword Aggr]])*($D136=CLASSIFICATION[[Functional Scope Aggr]:[Functional Scope Aggr]])),
_xlpm._platform_keywords, _xlfn.TEXTSPLIT(SUBSTITUTE(SUBSTITUTE(VLOOKUP($D136,_xlpm._platform_range,3,FALSE),"+"&amp;CHAR(34),"+"),CHAR(34),""),", "),
_xlpm._exists, SUMPRODUCT(--ISNUMBER(MATCH(_xlpm._platform_keywords,_xlpm._original_keywords,0)))&gt;0,
_xlfn.IFS(AND(_xlpm._exists,LEFT($E136,1)="+"),"+",_xlpm._exists,"*",NOT(_xlpm._exists),"")
)</f>
        <v/>
      </c>
      <c r="N136" s="33" t="str" cm="1">
        <f t="array" aca="1" ref="N136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($E136=CLASSIFICATION[[Keyword Aggr]:[Keyword Aggr]])*($D136=CLASSIFICATION[[Functional Scope Aggr]:[Functional Scope Aggr]])),
_xlpm._platform_keywords, _xlfn.TEXTSPLIT(SUBSTITUTE(SUBSTITUTE(VLOOKUP($D136,_xlpm._platform_range,3,FALSE),"+"&amp;CHAR(34),"+"),CHAR(34),""),", "),
_xlpm._exists, SUMPRODUCT(--ISNUMBER(MATCH(_xlpm._platform_keywords,_xlpm._original_keywords,0)))&gt;0,
_xlfn.IFS(AND(_xlpm._exists,LEFT($E136,1)="+"),"+",_xlpm._exists,"*",NOT(_xlpm._exists),"")
)</f>
        <v/>
      </c>
      <c r="O136" s="33" t="str" cm="1">
        <f t="array" aca="1" ref="O136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($E136=CLASSIFICATION[[Keyword Aggr]:[Keyword Aggr]])*($D136=CLASSIFICATION[[Functional Scope Aggr]:[Functional Scope Aggr]])),
_xlpm._platform_keywords, _xlfn.TEXTSPLIT(SUBSTITUTE(SUBSTITUTE(VLOOKUP($D136,_xlpm._platform_range,3,FALSE),"+"&amp;CHAR(34),"+"),CHAR(34),""),", "),
_xlpm._exists, SUMPRODUCT(--ISNUMBER(MATCH(_xlpm._platform_keywords,_xlpm._original_keywords,0)))&gt;0,
_xlfn.IFS(AND(_xlpm._exists,LEFT($E136,1)="+"),"+",_xlpm._exists,"*",NOT(_xlpm._exists),"")
)</f>
        <v/>
      </c>
      <c r="Q136" s="33" t="str">
        <f t="shared" si="23"/>
        <v/>
      </c>
      <c r="R136" s="33" t="str">
        <f t="shared" si="24"/>
        <v/>
      </c>
      <c r="S136" s="33" t="str">
        <f t="shared" si="25"/>
        <v/>
      </c>
      <c r="T136" s="33" t="str">
        <f t="shared" si="26"/>
        <v/>
      </c>
      <c r="U136" s="33" t="str">
        <f t="shared" si="27"/>
        <v/>
      </c>
      <c r="V136" s="33" t="str">
        <f t="shared" si="28"/>
        <v/>
      </c>
    </row>
    <row r="137" spans="1:22" x14ac:dyDescent="0.25">
      <c r="A137" s="19"/>
      <c r="B137" t="s">
        <v>377</v>
      </c>
      <c r="C137" s="19" t="e" cm="1">
        <f t="array" ref="C137">_xlfn.TEXTSPLIT(A137,",")</f>
        <v>#VALUE!</v>
      </c>
      <c r="D137" s="19"/>
      <c r="E137" s="19"/>
      <c r="F137" s="36" t="e" cm="1" vm="1">
        <f t="array" ref="F137">_xlfn.TEXTJOIN(",",TRUE,_xlfn._xlws.FILTER(CLASSIFICATION[Keyword], ($E137=CLASSIFICATION[Keyword Aggr])*($D137=CLASSIFICATION[Functional Scope Aggr])))</f>
        <v>#VALUE!</v>
      </c>
      <c r="G137" s="32" t="e">
        <f t="shared" si="22"/>
        <v>#VALUE!</v>
      </c>
      <c r="H137" s="32" t="str">
        <f t="shared" si="22"/>
        <v/>
      </c>
      <c r="I137" s="32">
        <f t="shared" si="21"/>
        <v>0</v>
      </c>
      <c r="J137" s="33" t="str" cm="1">
        <f t="array" aca="1" ref="J137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($E137=CLASSIFICATION[[Keyword Aggr]:[Keyword Aggr]])*($D137=CLASSIFICATION[[Functional Scope Aggr]:[Functional Scope Aggr]])),
_xlpm._platform_keywords, _xlfn.TEXTSPLIT(SUBSTITUTE(SUBSTITUTE(VLOOKUP($D137,_xlpm._platform_range,3,FALSE),"+"&amp;CHAR(34),"+"),CHAR(34),""),", "),
_xlpm._exists, SUMPRODUCT(--ISNUMBER(MATCH(_xlpm._platform_keywords,_xlpm._original_keywords,0)))&gt;0,
_xlfn.IFS(AND(_xlpm._exists,LEFT($E137,1)="+"),"+",_xlpm._exists,"*",NOT(_xlpm._exists),"")
)</f>
        <v/>
      </c>
      <c r="K137" s="33" t="str" cm="1">
        <f t="array" aca="1" ref="K137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($E137=CLASSIFICATION[[Keyword Aggr]:[Keyword Aggr]])*($D137=CLASSIFICATION[[Functional Scope Aggr]:[Functional Scope Aggr]])),
_xlpm._platform_keywords, _xlfn.TEXTSPLIT(SUBSTITUTE(SUBSTITUTE(VLOOKUP($D137,_xlpm._platform_range,3,FALSE),"+"&amp;CHAR(34),"+"),CHAR(34),""),", "),
_xlpm._exists, SUMPRODUCT(--ISNUMBER(MATCH(_xlpm._platform_keywords,_xlpm._original_keywords,0)))&gt;0,
_xlfn.IFS(AND(_xlpm._exists,LEFT($E137,1)="+"),"+",_xlpm._exists,"*",NOT(_xlpm._exists),"")
)</f>
        <v/>
      </c>
      <c r="L137" s="33" t="str" cm="1">
        <f t="array" aca="1" ref="L137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($E137=CLASSIFICATION[[Keyword Aggr]:[Keyword Aggr]])*($D137=CLASSIFICATION[[Functional Scope Aggr]:[Functional Scope Aggr]])),
_xlpm._platform_keywords, _xlfn.TEXTSPLIT(SUBSTITUTE(SUBSTITUTE(VLOOKUP($D137,_xlpm._platform_range,3,FALSE),"+"&amp;CHAR(34),"+"),CHAR(34),""),", "),
_xlpm._exists, SUMPRODUCT(--ISNUMBER(MATCH(_xlpm._platform_keywords,_xlpm._original_keywords,0)))&gt;0,
_xlfn.IFS(AND(_xlpm._exists,LEFT($E137,1)="+"),"+",_xlpm._exists,"*",NOT(_xlpm._exists),"")
)</f>
        <v/>
      </c>
      <c r="M137" s="33" t="str" cm="1">
        <f t="array" aca="1" ref="M137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($E137=CLASSIFICATION[[Keyword Aggr]:[Keyword Aggr]])*($D137=CLASSIFICATION[[Functional Scope Aggr]:[Functional Scope Aggr]])),
_xlpm._platform_keywords, _xlfn.TEXTSPLIT(SUBSTITUTE(SUBSTITUTE(VLOOKUP($D137,_xlpm._platform_range,3,FALSE),"+"&amp;CHAR(34),"+"),CHAR(34),""),", "),
_xlpm._exists, SUMPRODUCT(--ISNUMBER(MATCH(_xlpm._platform_keywords,_xlpm._original_keywords,0)))&gt;0,
_xlfn.IFS(AND(_xlpm._exists,LEFT($E137,1)="+"),"+",_xlpm._exists,"*",NOT(_xlpm._exists),"")
)</f>
        <v/>
      </c>
      <c r="N137" s="33" t="str" cm="1">
        <f t="array" aca="1" ref="N137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($E137=CLASSIFICATION[[Keyword Aggr]:[Keyword Aggr]])*($D137=CLASSIFICATION[[Functional Scope Aggr]:[Functional Scope Aggr]])),
_xlpm._platform_keywords, _xlfn.TEXTSPLIT(SUBSTITUTE(SUBSTITUTE(VLOOKUP($D137,_xlpm._platform_range,3,FALSE),"+"&amp;CHAR(34),"+"),CHAR(34),""),", "),
_xlpm._exists, SUMPRODUCT(--ISNUMBER(MATCH(_xlpm._platform_keywords,_xlpm._original_keywords,0)))&gt;0,
_xlfn.IFS(AND(_xlpm._exists,LEFT($E137,1)="+"),"+",_xlpm._exists,"*",NOT(_xlpm._exists),"")
)</f>
        <v/>
      </c>
      <c r="O137" s="33" t="str" cm="1">
        <f t="array" aca="1" ref="O137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($E137=CLASSIFICATION[[Keyword Aggr]:[Keyword Aggr]])*($D137=CLASSIFICATION[[Functional Scope Aggr]:[Functional Scope Aggr]])),
_xlpm._platform_keywords, _xlfn.TEXTSPLIT(SUBSTITUTE(SUBSTITUTE(VLOOKUP($D137,_xlpm._platform_range,3,FALSE),"+"&amp;CHAR(34),"+"),CHAR(34),""),", "),
_xlpm._exists, SUMPRODUCT(--ISNUMBER(MATCH(_xlpm._platform_keywords,_xlpm._original_keywords,0)))&gt;0,
_xlfn.IFS(AND(_xlpm._exists,LEFT($E137,1)="+"),"+",_xlpm._exists,"*",NOT(_xlpm._exists),"")
)</f>
        <v/>
      </c>
      <c r="Q137" s="33" t="str">
        <f t="shared" si="23"/>
        <v/>
      </c>
      <c r="R137" s="33" t="str">
        <f t="shared" si="24"/>
        <v/>
      </c>
      <c r="S137" s="33" t="str">
        <f t="shared" si="25"/>
        <v/>
      </c>
      <c r="T137" s="33" t="str">
        <f t="shared" si="26"/>
        <v/>
      </c>
      <c r="U137" s="33" t="str">
        <f t="shared" si="27"/>
        <v/>
      </c>
      <c r="V137" s="33" t="str">
        <f t="shared" si="28"/>
        <v/>
      </c>
    </row>
    <row r="138" spans="1:22" x14ac:dyDescent="0.25">
      <c r="A138" s="19"/>
      <c r="B138" t="s">
        <v>377</v>
      </c>
      <c r="C138" s="19" t="e" cm="1">
        <f t="array" ref="C138">_xlfn.TEXTSPLIT(A138,",")</f>
        <v>#VALUE!</v>
      </c>
      <c r="D138" s="19"/>
      <c r="E138" s="19"/>
      <c r="F138" s="36" t="e" cm="1" vm="1">
        <f t="array" ref="F138">_xlfn.TEXTJOIN(",",TRUE,_xlfn._xlws.FILTER(CLASSIFICATION[Keyword], ($E138=CLASSIFICATION[Keyword Aggr])*($D138=CLASSIFICATION[Functional Scope Aggr])))</f>
        <v>#VALUE!</v>
      </c>
      <c r="G138" s="32" t="e">
        <f t="shared" si="22"/>
        <v>#VALUE!</v>
      </c>
      <c r="H138" s="32" t="str">
        <f t="shared" si="22"/>
        <v/>
      </c>
      <c r="I138" s="32">
        <f t="shared" si="21"/>
        <v>0</v>
      </c>
      <c r="J138" s="33" t="str" cm="1">
        <f t="array" aca="1" ref="J138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($E138=CLASSIFICATION[[Keyword Aggr]:[Keyword Aggr]])*($D138=CLASSIFICATION[[Functional Scope Aggr]:[Functional Scope Aggr]])),
_xlpm._platform_keywords, _xlfn.TEXTSPLIT(SUBSTITUTE(SUBSTITUTE(VLOOKUP($D138,_xlpm._platform_range,3,FALSE),"+"&amp;CHAR(34),"+"),CHAR(34),""),", "),
_xlpm._exists, SUMPRODUCT(--ISNUMBER(MATCH(_xlpm._platform_keywords,_xlpm._original_keywords,0)))&gt;0,
_xlfn.IFS(AND(_xlpm._exists,LEFT($E138,1)="+"),"+",_xlpm._exists,"*",NOT(_xlpm._exists),"")
)</f>
        <v/>
      </c>
      <c r="K138" s="33" t="str" cm="1">
        <f t="array" aca="1" ref="K138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($E138=CLASSIFICATION[[Keyword Aggr]:[Keyword Aggr]])*($D138=CLASSIFICATION[[Functional Scope Aggr]:[Functional Scope Aggr]])),
_xlpm._platform_keywords, _xlfn.TEXTSPLIT(SUBSTITUTE(SUBSTITUTE(VLOOKUP($D138,_xlpm._platform_range,3,FALSE),"+"&amp;CHAR(34),"+"),CHAR(34),""),", "),
_xlpm._exists, SUMPRODUCT(--ISNUMBER(MATCH(_xlpm._platform_keywords,_xlpm._original_keywords,0)))&gt;0,
_xlfn.IFS(AND(_xlpm._exists,LEFT($E138,1)="+"),"+",_xlpm._exists,"*",NOT(_xlpm._exists),"")
)</f>
        <v/>
      </c>
      <c r="L138" s="33" t="str" cm="1">
        <f t="array" aca="1" ref="L138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($E138=CLASSIFICATION[[Keyword Aggr]:[Keyword Aggr]])*($D138=CLASSIFICATION[[Functional Scope Aggr]:[Functional Scope Aggr]])),
_xlpm._platform_keywords, _xlfn.TEXTSPLIT(SUBSTITUTE(SUBSTITUTE(VLOOKUP($D138,_xlpm._platform_range,3,FALSE),"+"&amp;CHAR(34),"+"),CHAR(34),""),", "),
_xlpm._exists, SUMPRODUCT(--ISNUMBER(MATCH(_xlpm._platform_keywords,_xlpm._original_keywords,0)))&gt;0,
_xlfn.IFS(AND(_xlpm._exists,LEFT($E138,1)="+"),"+",_xlpm._exists,"*",NOT(_xlpm._exists),"")
)</f>
        <v/>
      </c>
      <c r="M138" s="33" t="str" cm="1">
        <f t="array" aca="1" ref="M138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($E138=CLASSIFICATION[[Keyword Aggr]:[Keyword Aggr]])*($D138=CLASSIFICATION[[Functional Scope Aggr]:[Functional Scope Aggr]])),
_xlpm._platform_keywords, _xlfn.TEXTSPLIT(SUBSTITUTE(SUBSTITUTE(VLOOKUP($D138,_xlpm._platform_range,3,FALSE),"+"&amp;CHAR(34),"+"),CHAR(34),""),", "),
_xlpm._exists, SUMPRODUCT(--ISNUMBER(MATCH(_xlpm._platform_keywords,_xlpm._original_keywords,0)))&gt;0,
_xlfn.IFS(AND(_xlpm._exists,LEFT($E138,1)="+"),"+",_xlpm._exists,"*",NOT(_xlpm._exists),"")
)</f>
        <v/>
      </c>
      <c r="N138" s="33" t="str" cm="1">
        <f t="array" aca="1" ref="N138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($E138=CLASSIFICATION[[Keyword Aggr]:[Keyword Aggr]])*($D138=CLASSIFICATION[[Functional Scope Aggr]:[Functional Scope Aggr]])),
_xlpm._platform_keywords, _xlfn.TEXTSPLIT(SUBSTITUTE(SUBSTITUTE(VLOOKUP($D138,_xlpm._platform_range,3,FALSE),"+"&amp;CHAR(34),"+"),CHAR(34),""),", "),
_xlpm._exists, SUMPRODUCT(--ISNUMBER(MATCH(_xlpm._platform_keywords,_xlpm._original_keywords,0)))&gt;0,
_xlfn.IFS(AND(_xlpm._exists,LEFT($E138,1)="+"),"+",_xlpm._exists,"*",NOT(_xlpm._exists),"")
)</f>
        <v/>
      </c>
      <c r="O138" s="33" t="str" cm="1">
        <f t="array" aca="1" ref="O138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($E138=CLASSIFICATION[[Keyword Aggr]:[Keyword Aggr]])*($D138=CLASSIFICATION[[Functional Scope Aggr]:[Functional Scope Aggr]])),
_xlpm._platform_keywords, _xlfn.TEXTSPLIT(SUBSTITUTE(SUBSTITUTE(VLOOKUP($D138,_xlpm._platform_range,3,FALSE),"+"&amp;CHAR(34),"+"),CHAR(34),""),", "),
_xlpm._exists, SUMPRODUCT(--ISNUMBER(MATCH(_xlpm._platform_keywords,_xlpm._original_keywords,0)))&gt;0,
_xlfn.IFS(AND(_xlpm._exists,LEFT($E138,1)="+"),"+",_xlpm._exists,"*",NOT(_xlpm._exists),"")
)</f>
        <v/>
      </c>
      <c r="Q138" s="33" t="str">
        <f t="shared" si="23"/>
        <v/>
      </c>
      <c r="R138" s="33" t="str">
        <f t="shared" si="24"/>
        <v/>
      </c>
      <c r="S138" s="33" t="str">
        <f t="shared" si="25"/>
        <v/>
      </c>
      <c r="T138" s="33" t="str">
        <f t="shared" si="26"/>
        <v/>
      </c>
      <c r="U138" s="33" t="str">
        <f t="shared" si="27"/>
        <v/>
      </c>
      <c r="V138" s="33" t="str">
        <f t="shared" si="28"/>
        <v/>
      </c>
    </row>
    <row r="139" spans="1:22" x14ac:dyDescent="0.25">
      <c r="A139" s="19"/>
      <c r="B139" t="s">
        <v>377</v>
      </c>
      <c r="C139" s="19" t="e" cm="1">
        <f t="array" ref="C139">_xlfn.TEXTSPLIT(A139,",")</f>
        <v>#VALUE!</v>
      </c>
      <c r="D139" s="19"/>
      <c r="E139" s="19"/>
      <c r="F139" s="36" t="e" cm="1" vm="1">
        <f t="array" ref="F139">_xlfn.TEXTJOIN(",",TRUE,_xlfn._xlws.FILTER(CLASSIFICATION[Keyword], ($E139=CLASSIFICATION[Keyword Aggr])*($D139=CLASSIFICATION[Functional Scope Aggr])))</f>
        <v>#VALUE!</v>
      </c>
      <c r="G139" s="32" t="e">
        <f t="shared" si="22"/>
        <v>#VALUE!</v>
      </c>
      <c r="H139" s="32" t="str">
        <f t="shared" si="22"/>
        <v/>
      </c>
      <c r="I139" s="32">
        <f t="shared" si="21"/>
        <v>0</v>
      </c>
      <c r="J139" s="33" t="str" cm="1">
        <f t="array" aca="1" ref="J139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($E139=CLASSIFICATION[[Keyword Aggr]:[Keyword Aggr]])*($D139=CLASSIFICATION[[Functional Scope Aggr]:[Functional Scope Aggr]])),
_xlpm._platform_keywords, _xlfn.TEXTSPLIT(SUBSTITUTE(SUBSTITUTE(VLOOKUP($D139,_xlpm._platform_range,3,FALSE),"+"&amp;CHAR(34),"+"),CHAR(34),""),", "),
_xlpm._exists, SUMPRODUCT(--ISNUMBER(MATCH(_xlpm._platform_keywords,_xlpm._original_keywords,0)))&gt;0,
_xlfn.IFS(AND(_xlpm._exists,LEFT($E139,1)="+"),"+",_xlpm._exists,"*",NOT(_xlpm._exists),"")
)</f>
        <v/>
      </c>
      <c r="K139" s="33" t="str" cm="1">
        <f t="array" aca="1" ref="K139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($E139=CLASSIFICATION[[Keyword Aggr]:[Keyword Aggr]])*($D139=CLASSIFICATION[[Functional Scope Aggr]:[Functional Scope Aggr]])),
_xlpm._platform_keywords, _xlfn.TEXTSPLIT(SUBSTITUTE(SUBSTITUTE(VLOOKUP($D139,_xlpm._platform_range,3,FALSE),"+"&amp;CHAR(34),"+"),CHAR(34),""),", "),
_xlpm._exists, SUMPRODUCT(--ISNUMBER(MATCH(_xlpm._platform_keywords,_xlpm._original_keywords,0)))&gt;0,
_xlfn.IFS(AND(_xlpm._exists,LEFT($E139,1)="+"),"+",_xlpm._exists,"*",NOT(_xlpm._exists),"")
)</f>
        <v/>
      </c>
      <c r="L139" s="33" t="str" cm="1">
        <f t="array" aca="1" ref="L139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($E139=CLASSIFICATION[[Keyword Aggr]:[Keyword Aggr]])*($D139=CLASSIFICATION[[Functional Scope Aggr]:[Functional Scope Aggr]])),
_xlpm._platform_keywords, _xlfn.TEXTSPLIT(SUBSTITUTE(SUBSTITUTE(VLOOKUP($D139,_xlpm._platform_range,3,FALSE),"+"&amp;CHAR(34),"+"),CHAR(34),""),", "),
_xlpm._exists, SUMPRODUCT(--ISNUMBER(MATCH(_xlpm._platform_keywords,_xlpm._original_keywords,0)))&gt;0,
_xlfn.IFS(AND(_xlpm._exists,LEFT($E139,1)="+"),"+",_xlpm._exists,"*",NOT(_xlpm._exists),"")
)</f>
        <v/>
      </c>
      <c r="M139" s="33" t="str" cm="1">
        <f t="array" aca="1" ref="M139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($E139=CLASSIFICATION[[Keyword Aggr]:[Keyword Aggr]])*($D139=CLASSIFICATION[[Functional Scope Aggr]:[Functional Scope Aggr]])),
_xlpm._platform_keywords, _xlfn.TEXTSPLIT(SUBSTITUTE(SUBSTITUTE(VLOOKUP($D139,_xlpm._platform_range,3,FALSE),"+"&amp;CHAR(34),"+"),CHAR(34),""),", "),
_xlpm._exists, SUMPRODUCT(--ISNUMBER(MATCH(_xlpm._platform_keywords,_xlpm._original_keywords,0)))&gt;0,
_xlfn.IFS(AND(_xlpm._exists,LEFT($E139,1)="+"),"+",_xlpm._exists,"*",NOT(_xlpm._exists),"")
)</f>
        <v/>
      </c>
      <c r="N139" s="33" t="str" cm="1">
        <f t="array" aca="1" ref="N139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($E139=CLASSIFICATION[[Keyword Aggr]:[Keyword Aggr]])*($D139=CLASSIFICATION[[Functional Scope Aggr]:[Functional Scope Aggr]])),
_xlpm._platform_keywords, _xlfn.TEXTSPLIT(SUBSTITUTE(SUBSTITUTE(VLOOKUP($D139,_xlpm._platform_range,3,FALSE),"+"&amp;CHAR(34),"+"),CHAR(34),""),", "),
_xlpm._exists, SUMPRODUCT(--ISNUMBER(MATCH(_xlpm._platform_keywords,_xlpm._original_keywords,0)))&gt;0,
_xlfn.IFS(AND(_xlpm._exists,LEFT($E139,1)="+"),"+",_xlpm._exists,"*",NOT(_xlpm._exists),"")
)</f>
        <v/>
      </c>
      <c r="O139" s="33" t="str" cm="1">
        <f t="array" aca="1" ref="O139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($E139=CLASSIFICATION[[Keyword Aggr]:[Keyword Aggr]])*($D139=CLASSIFICATION[[Functional Scope Aggr]:[Functional Scope Aggr]])),
_xlpm._platform_keywords, _xlfn.TEXTSPLIT(SUBSTITUTE(SUBSTITUTE(VLOOKUP($D139,_xlpm._platform_range,3,FALSE),"+"&amp;CHAR(34),"+"),CHAR(34),""),", "),
_xlpm._exists, SUMPRODUCT(--ISNUMBER(MATCH(_xlpm._platform_keywords,_xlpm._original_keywords,0)))&gt;0,
_xlfn.IFS(AND(_xlpm._exists,LEFT($E139,1)="+"),"+",_xlpm._exists,"*",NOT(_xlpm._exists),"")
)</f>
        <v/>
      </c>
      <c r="Q139" s="33" t="str">
        <f t="shared" si="23"/>
        <v/>
      </c>
      <c r="R139" s="33" t="str">
        <f t="shared" si="24"/>
        <v/>
      </c>
      <c r="S139" s="33" t="str">
        <f t="shared" si="25"/>
        <v/>
      </c>
      <c r="T139" s="33" t="str">
        <f t="shared" si="26"/>
        <v/>
      </c>
      <c r="U139" s="33" t="str">
        <f t="shared" si="27"/>
        <v/>
      </c>
      <c r="V139" s="33" t="str">
        <f t="shared" si="28"/>
        <v/>
      </c>
    </row>
    <row r="140" spans="1:22" x14ac:dyDescent="0.25">
      <c r="A140" s="19"/>
      <c r="B140" t="s">
        <v>377</v>
      </c>
      <c r="C140" s="19" t="e" cm="1">
        <f t="array" ref="C140">_xlfn.TEXTSPLIT(A140,",")</f>
        <v>#VALUE!</v>
      </c>
      <c r="D140" s="19"/>
      <c r="E140" s="19"/>
      <c r="F140" s="36" t="e" cm="1" vm="1">
        <f t="array" ref="F140">_xlfn.TEXTJOIN(",",TRUE,_xlfn._xlws.FILTER(CLASSIFICATION[Keyword], ($E140=CLASSIFICATION[Keyword Aggr])*($D140=CLASSIFICATION[Functional Scope Aggr])))</f>
        <v>#VALUE!</v>
      </c>
      <c r="G140" s="32" t="e">
        <f t="shared" si="22"/>
        <v>#VALUE!</v>
      </c>
      <c r="H140" s="32" t="str">
        <f t="shared" si="22"/>
        <v/>
      </c>
      <c r="I140" s="32">
        <f t="shared" si="21"/>
        <v>0</v>
      </c>
      <c r="J140" s="33" t="str" cm="1">
        <f t="array" aca="1" ref="J140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($E140=CLASSIFICATION[[Keyword Aggr]:[Keyword Aggr]])*($D140=CLASSIFICATION[[Functional Scope Aggr]:[Functional Scope Aggr]])),
_xlpm._platform_keywords, _xlfn.TEXTSPLIT(SUBSTITUTE(SUBSTITUTE(VLOOKUP($D140,_xlpm._platform_range,3,FALSE),"+"&amp;CHAR(34),"+"),CHAR(34),""),", "),
_xlpm._exists, SUMPRODUCT(--ISNUMBER(MATCH(_xlpm._platform_keywords,_xlpm._original_keywords,0)))&gt;0,
_xlfn.IFS(AND(_xlpm._exists,LEFT($E140,1)="+"),"+",_xlpm._exists,"*",NOT(_xlpm._exists),"")
)</f>
        <v/>
      </c>
      <c r="K140" s="33" t="str" cm="1">
        <f t="array" aca="1" ref="K140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($E140=CLASSIFICATION[[Keyword Aggr]:[Keyword Aggr]])*($D140=CLASSIFICATION[[Functional Scope Aggr]:[Functional Scope Aggr]])),
_xlpm._platform_keywords, _xlfn.TEXTSPLIT(SUBSTITUTE(SUBSTITUTE(VLOOKUP($D140,_xlpm._platform_range,3,FALSE),"+"&amp;CHAR(34),"+"),CHAR(34),""),", "),
_xlpm._exists, SUMPRODUCT(--ISNUMBER(MATCH(_xlpm._platform_keywords,_xlpm._original_keywords,0)))&gt;0,
_xlfn.IFS(AND(_xlpm._exists,LEFT($E140,1)="+"),"+",_xlpm._exists,"*",NOT(_xlpm._exists),"")
)</f>
        <v/>
      </c>
      <c r="L140" s="33" t="str" cm="1">
        <f t="array" aca="1" ref="L140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($E140=CLASSIFICATION[[Keyword Aggr]:[Keyword Aggr]])*($D140=CLASSIFICATION[[Functional Scope Aggr]:[Functional Scope Aggr]])),
_xlpm._platform_keywords, _xlfn.TEXTSPLIT(SUBSTITUTE(SUBSTITUTE(VLOOKUP($D140,_xlpm._platform_range,3,FALSE),"+"&amp;CHAR(34),"+"),CHAR(34),""),", "),
_xlpm._exists, SUMPRODUCT(--ISNUMBER(MATCH(_xlpm._platform_keywords,_xlpm._original_keywords,0)))&gt;0,
_xlfn.IFS(AND(_xlpm._exists,LEFT($E140,1)="+"),"+",_xlpm._exists,"*",NOT(_xlpm._exists),"")
)</f>
        <v/>
      </c>
      <c r="M140" s="33" t="str" cm="1">
        <f t="array" aca="1" ref="M140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($E140=CLASSIFICATION[[Keyword Aggr]:[Keyword Aggr]])*($D140=CLASSIFICATION[[Functional Scope Aggr]:[Functional Scope Aggr]])),
_xlpm._platform_keywords, _xlfn.TEXTSPLIT(SUBSTITUTE(SUBSTITUTE(VLOOKUP($D140,_xlpm._platform_range,3,FALSE),"+"&amp;CHAR(34),"+"),CHAR(34),""),", "),
_xlpm._exists, SUMPRODUCT(--ISNUMBER(MATCH(_xlpm._platform_keywords,_xlpm._original_keywords,0)))&gt;0,
_xlfn.IFS(AND(_xlpm._exists,LEFT($E140,1)="+"),"+",_xlpm._exists,"*",NOT(_xlpm._exists),"")
)</f>
        <v/>
      </c>
      <c r="N140" s="33" t="str" cm="1">
        <f t="array" aca="1" ref="N140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($E140=CLASSIFICATION[[Keyword Aggr]:[Keyword Aggr]])*($D140=CLASSIFICATION[[Functional Scope Aggr]:[Functional Scope Aggr]])),
_xlpm._platform_keywords, _xlfn.TEXTSPLIT(SUBSTITUTE(SUBSTITUTE(VLOOKUP($D140,_xlpm._platform_range,3,FALSE),"+"&amp;CHAR(34),"+"),CHAR(34),""),", "),
_xlpm._exists, SUMPRODUCT(--ISNUMBER(MATCH(_xlpm._platform_keywords,_xlpm._original_keywords,0)))&gt;0,
_xlfn.IFS(AND(_xlpm._exists,LEFT($E140,1)="+"),"+",_xlpm._exists,"*",NOT(_xlpm._exists),"")
)</f>
        <v/>
      </c>
      <c r="O140" s="33" t="str" cm="1">
        <f t="array" aca="1" ref="O140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($E140=CLASSIFICATION[[Keyword Aggr]:[Keyword Aggr]])*($D140=CLASSIFICATION[[Functional Scope Aggr]:[Functional Scope Aggr]])),
_xlpm._platform_keywords, _xlfn.TEXTSPLIT(SUBSTITUTE(SUBSTITUTE(VLOOKUP($D140,_xlpm._platform_range,3,FALSE),"+"&amp;CHAR(34),"+"),CHAR(34),""),", "),
_xlpm._exists, SUMPRODUCT(--ISNUMBER(MATCH(_xlpm._platform_keywords,_xlpm._original_keywords,0)))&gt;0,
_xlfn.IFS(AND(_xlpm._exists,LEFT($E140,1)="+"),"+",_xlpm._exists,"*",NOT(_xlpm._exists),"")
)</f>
        <v/>
      </c>
      <c r="Q140" s="33" t="str">
        <f t="shared" si="23"/>
        <v/>
      </c>
      <c r="R140" s="33" t="str">
        <f t="shared" si="24"/>
        <v/>
      </c>
      <c r="S140" s="33" t="str">
        <f t="shared" si="25"/>
        <v/>
      </c>
      <c r="T140" s="33" t="str">
        <f t="shared" si="26"/>
        <v/>
      </c>
      <c r="U140" s="33" t="str">
        <f t="shared" si="27"/>
        <v/>
      </c>
      <c r="V140" s="33" t="str">
        <f t="shared" si="28"/>
        <v/>
      </c>
    </row>
    <row r="141" spans="1:22" x14ac:dyDescent="0.25">
      <c r="A141" s="19"/>
      <c r="B141" t="s">
        <v>377</v>
      </c>
      <c r="C141" s="19" t="e" cm="1">
        <f t="array" ref="C141">_xlfn.TEXTSPLIT(A141,",")</f>
        <v>#VALUE!</v>
      </c>
      <c r="D141" s="19"/>
      <c r="E141" s="19"/>
      <c r="F141" s="36" t="e" cm="1" vm="1">
        <f t="array" ref="F141">_xlfn.TEXTJOIN(",",TRUE,_xlfn._xlws.FILTER(CLASSIFICATION[Keyword], ($E141=CLASSIFICATION[Keyword Aggr])*($D141=CLASSIFICATION[Functional Scope Aggr])))</f>
        <v>#VALUE!</v>
      </c>
      <c r="G141" s="32" t="e">
        <f t="shared" si="22"/>
        <v>#VALUE!</v>
      </c>
      <c r="H141" s="32" t="str">
        <f t="shared" si="22"/>
        <v/>
      </c>
      <c r="I141" s="32">
        <f t="shared" si="21"/>
        <v>0</v>
      </c>
      <c r="J141" s="33" t="str" cm="1">
        <f t="array" aca="1" ref="J141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($E141=CLASSIFICATION[[Keyword Aggr]:[Keyword Aggr]])*($D141=CLASSIFICATION[[Functional Scope Aggr]:[Functional Scope Aggr]])),
_xlpm._platform_keywords, _xlfn.TEXTSPLIT(SUBSTITUTE(SUBSTITUTE(VLOOKUP($D141,_xlpm._platform_range,3,FALSE),"+"&amp;CHAR(34),"+"),CHAR(34),""),", "),
_xlpm._exists, SUMPRODUCT(--ISNUMBER(MATCH(_xlpm._platform_keywords,_xlpm._original_keywords,0)))&gt;0,
_xlfn.IFS(AND(_xlpm._exists,LEFT($E141,1)="+"),"+",_xlpm._exists,"*",NOT(_xlpm._exists),"")
)</f>
        <v/>
      </c>
      <c r="K141" s="33" t="str" cm="1">
        <f t="array" aca="1" ref="K141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($E141=CLASSIFICATION[[Keyword Aggr]:[Keyword Aggr]])*($D141=CLASSIFICATION[[Functional Scope Aggr]:[Functional Scope Aggr]])),
_xlpm._platform_keywords, _xlfn.TEXTSPLIT(SUBSTITUTE(SUBSTITUTE(VLOOKUP($D141,_xlpm._platform_range,3,FALSE),"+"&amp;CHAR(34),"+"),CHAR(34),""),", "),
_xlpm._exists, SUMPRODUCT(--ISNUMBER(MATCH(_xlpm._platform_keywords,_xlpm._original_keywords,0)))&gt;0,
_xlfn.IFS(AND(_xlpm._exists,LEFT($E141,1)="+"),"+",_xlpm._exists,"*",NOT(_xlpm._exists),"")
)</f>
        <v/>
      </c>
      <c r="L141" s="33" t="str" cm="1">
        <f t="array" aca="1" ref="L141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($E141=CLASSIFICATION[[Keyword Aggr]:[Keyword Aggr]])*($D141=CLASSIFICATION[[Functional Scope Aggr]:[Functional Scope Aggr]])),
_xlpm._platform_keywords, _xlfn.TEXTSPLIT(SUBSTITUTE(SUBSTITUTE(VLOOKUP($D141,_xlpm._platform_range,3,FALSE),"+"&amp;CHAR(34),"+"),CHAR(34),""),", "),
_xlpm._exists, SUMPRODUCT(--ISNUMBER(MATCH(_xlpm._platform_keywords,_xlpm._original_keywords,0)))&gt;0,
_xlfn.IFS(AND(_xlpm._exists,LEFT($E141,1)="+"),"+",_xlpm._exists,"*",NOT(_xlpm._exists),"")
)</f>
        <v/>
      </c>
      <c r="M141" s="33" t="str" cm="1">
        <f t="array" aca="1" ref="M141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($E141=CLASSIFICATION[[Keyword Aggr]:[Keyword Aggr]])*($D141=CLASSIFICATION[[Functional Scope Aggr]:[Functional Scope Aggr]])),
_xlpm._platform_keywords, _xlfn.TEXTSPLIT(SUBSTITUTE(SUBSTITUTE(VLOOKUP($D141,_xlpm._platform_range,3,FALSE),"+"&amp;CHAR(34),"+"),CHAR(34),""),", "),
_xlpm._exists, SUMPRODUCT(--ISNUMBER(MATCH(_xlpm._platform_keywords,_xlpm._original_keywords,0)))&gt;0,
_xlfn.IFS(AND(_xlpm._exists,LEFT($E141,1)="+"),"+",_xlpm._exists,"*",NOT(_xlpm._exists),"")
)</f>
        <v/>
      </c>
      <c r="N141" s="33" t="str" cm="1">
        <f t="array" aca="1" ref="N141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($E141=CLASSIFICATION[[Keyword Aggr]:[Keyword Aggr]])*($D141=CLASSIFICATION[[Functional Scope Aggr]:[Functional Scope Aggr]])),
_xlpm._platform_keywords, _xlfn.TEXTSPLIT(SUBSTITUTE(SUBSTITUTE(VLOOKUP($D141,_xlpm._platform_range,3,FALSE),"+"&amp;CHAR(34),"+"),CHAR(34),""),", "),
_xlpm._exists, SUMPRODUCT(--ISNUMBER(MATCH(_xlpm._platform_keywords,_xlpm._original_keywords,0)))&gt;0,
_xlfn.IFS(AND(_xlpm._exists,LEFT($E141,1)="+"),"+",_xlpm._exists,"*",NOT(_xlpm._exists),"")
)</f>
        <v/>
      </c>
      <c r="O141" s="33" t="str" cm="1">
        <f t="array" aca="1" ref="O141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($E141=CLASSIFICATION[[Keyword Aggr]:[Keyword Aggr]])*($D141=CLASSIFICATION[[Functional Scope Aggr]:[Functional Scope Aggr]])),
_xlpm._platform_keywords, _xlfn.TEXTSPLIT(SUBSTITUTE(SUBSTITUTE(VLOOKUP($D141,_xlpm._platform_range,3,FALSE),"+"&amp;CHAR(34),"+"),CHAR(34),""),", "),
_xlpm._exists, SUMPRODUCT(--ISNUMBER(MATCH(_xlpm._platform_keywords,_xlpm._original_keywords,0)))&gt;0,
_xlfn.IFS(AND(_xlpm._exists,LEFT($E141,1)="+"),"+",_xlpm._exists,"*",NOT(_xlpm._exists),"")
)</f>
        <v/>
      </c>
      <c r="Q141" s="33" t="str">
        <f t="shared" si="23"/>
        <v/>
      </c>
      <c r="R141" s="33" t="str">
        <f t="shared" si="24"/>
        <v/>
      </c>
      <c r="S141" s="33" t="str">
        <f t="shared" si="25"/>
        <v/>
      </c>
      <c r="T141" s="33" t="str">
        <f t="shared" si="26"/>
        <v/>
      </c>
      <c r="U141" s="33" t="str">
        <f t="shared" si="27"/>
        <v/>
      </c>
      <c r="V141" s="33" t="str">
        <f t="shared" si="28"/>
        <v/>
      </c>
    </row>
    <row r="142" spans="1:22" x14ac:dyDescent="0.25">
      <c r="A142" s="19"/>
      <c r="B142" t="s">
        <v>377</v>
      </c>
      <c r="C142" s="19" t="e" cm="1">
        <f t="array" ref="C142">_xlfn.TEXTSPLIT(A142,",")</f>
        <v>#VALUE!</v>
      </c>
      <c r="D142" s="19"/>
      <c r="E142" s="19"/>
      <c r="F142" s="36" t="e" cm="1" vm="1">
        <f t="array" ref="F142">_xlfn.TEXTJOIN(",",TRUE,_xlfn._xlws.FILTER(CLASSIFICATION[Keyword], ($E142=CLASSIFICATION[Keyword Aggr])*($D142=CLASSIFICATION[Functional Scope Aggr])))</f>
        <v>#VALUE!</v>
      </c>
      <c r="G142" s="32" t="e">
        <f t="shared" si="22"/>
        <v>#VALUE!</v>
      </c>
      <c r="H142" s="32" t="str">
        <f t="shared" si="22"/>
        <v/>
      </c>
      <c r="I142" s="32">
        <f t="shared" si="21"/>
        <v>0</v>
      </c>
      <c r="J142" s="33" t="str" cm="1">
        <f t="array" aca="1" ref="J142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($E142=CLASSIFICATION[[Keyword Aggr]:[Keyword Aggr]])*($D142=CLASSIFICATION[[Functional Scope Aggr]:[Functional Scope Aggr]])),
_xlpm._platform_keywords, _xlfn.TEXTSPLIT(SUBSTITUTE(SUBSTITUTE(VLOOKUP($D142,_xlpm._platform_range,3,FALSE),"+"&amp;CHAR(34),"+"),CHAR(34),""),", "),
_xlpm._exists, SUMPRODUCT(--ISNUMBER(MATCH(_xlpm._platform_keywords,_xlpm._original_keywords,0)))&gt;0,
_xlfn.IFS(AND(_xlpm._exists,LEFT($E142,1)="+"),"+",_xlpm._exists,"*",NOT(_xlpm._exists),"")
)</f>
        <v/>
      </c>
      <c r="K142" s="33" t="str" cm="1">
        <f t="array" aca="1" ref="K142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($E142=CLASSIFICATION[[Keyword Aggr]:[Keyword Aggr]])*($D142=CLASSIFICATION[[Functional Scope Aggr]:[Functional Scope Aggr]])),
_xlpm._platform_keywords, _xlfn.TEXTSPLIT(SUBSTITUTE(SUBSTITUTE(VLOOKUP($D142,_xlpm._platform_range,3,FALSE),"+"&amp;CHAR(34),"+"),CHAR(34),""),", "),
_xlpm._exists, SUMPRODUCT(--ISNUMBER(MATCH(_xlpm._platform_keywords,_xlpm._original_keywords,0)))&gt;0,
_xlfn.IFS(AND(_xlpm._exists,LEFT($E142,1)="+"),"+",_xlpm._exists,"*",NOT(_xlpm._exists),"")
)</f>
        <v/>
      </c>
      <c r="L142" s="33" t="str" cm="1">
        <f t="array" aca="1" ref="L142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($E142=CLASSIFICATION[[Keyword Aggr]:[Keyword Aggr]])*($D142=CLASSIFICATION[[Functional Scope Aggr]:[Functional Scope Aggr]])),
_xlpm._platform_keywords, _xlfn.TEXTSPLIT(SUBSTITUTE(SUBSTITUTE(VLOOKUP($D142,_xlpm._platform_range,3,FALSE),"+"&amp;CHAR(34),"+"),CHAR(34),""),", "),
_xlpm._exists, SUMPRODUCT(--ISNUMBER(MATCH(_xlpm._platform_keywords,_xlpm._original_keywords,0)))&gt;0,
_xlfn.IFS(AND(_xlpm._exists,LEFT($E142,1)="+"),"+",_xlpm._exists,"*",NOT(_xlpm._exists),"")
)</f>
        <v/>
      </c>
      <c r="M142" s="33" t="str" cm="1">
        <f t="array" aca="1" ref="M142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($E142=CLASSIFICATION[[Keyword Aggr]:[Keyword Aggr]])*($D142=CLASSIFICATION[[Functional Scope Aggr]:[Functional Scope Aggr]])),
_xlpm._platform_keywords, _xlfn.TEXTSPLIT(SUBSTITUTE(SUBSTITUTE(VLOOKUP($D142,_xlpm._platform_range,3,FALSE),"+"&amp;CHAR(34),"+"),CHAR(34),""),", "),
_xlpm._exists, SUMPRODUCT(--ISNUMBER(MATCH(_xlpm._platform_keywords,_xlpm._original_keywords,0)))&gt;0,
_xlfn.IFS(AND(_xlpm._exists,LEFT($E142,1)="+"),"+",_xlpm._exists,"*",NOT(_xlpm._exists),"")
)</f>
        <v/>
      </c>
      <c r="N142" s="33" t="str" cm="1">
        <f t="array" aca="1" ref="N142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($E142=CLASSIFICATION[[Keyword Aggr]:[Keyword Aggr]])*($D142=CLASSIFICATION[[Functional Scope Aggr]:[Functional Scope Aggr]])),
_xlpm._platform_keywords, _xlfn.TEXTSPLIT(SUBSTITUTE(SUBSTITUTE(VLOOKUP($D142,_xlpm._platform_range,3,FALSE),"+"&amp;CHAR(34),"+"),CHAR(34),""),", "),
_xlpm._exists, SUMPRODUCT(--ISNUMBER(MATCH(_xlpm._platform_keywords,_xlpm._original_keywords,0)))&gt;0,
_xlfn.IFS(AND(_xlpm._exists,LEFT($E142,1)="+"),"+",_xlpm._exists,"*",NOT(_xlpm._exists),"")
)</f>
        <v/>
      </c>
      <c r="O142" s="33" t="str" cm="1">
        <f t="array" aca="1" ref="O142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($E142=CLASSIFICATION[[Keyword Aggr]:[Keyword Aggr]])*($D142=CLASSIFICATION[[Functional Scope Aggr]:[Functional Scope Aggr]])),
_xlpm._platform_keywords, _xlfn.TEXTSPLIT(SUBSTITUTE(SUBSTITUTE(VLOOKUP($D142,_xlpm._platform_range,3,FALSE),"+"&amp;CHAR(34),"+"),CHAR(34),""),", "),
_xlpm._exists, SUMPRODUCT(--ISNUMBER(MATCH(_xlpm._platform_keywords,_xlpm._original_keywords,0)))&gt;0,
_xlfn.IFS(AND(_xlpm._exists,LEFT($E142,1)="+"),"+",_xlpm._exists,"*",NOT(_xlpm._exists),"")
)</f>
        <v/>
      </c>
      <c r="Q142" s="33" t="str">
        <f t="shared" si="23"/>
        <v/>
      </c>
      <c r="R142" s="33" t="str">
        <f t="shared" si="24"/>
        <v/>
      </c>
      <c r="S142" s="33" t="str">
        <f t="shared" si="25"/>
        <v/>
      </c>
      <c r="T142" s="33" t="str">
        <f t="shared" si="26"/>
        <v/>
      </c>
      <c r="U142" s="33" t="str">
        <f t="shared" si="27"/>
        <v/>
      </c>
      <c r="V142" s="33" t="str">
        <f t="shared" si="28"/>
        <v/>
      </c>
    </row>
    <row r="143" spans="1:22" x14ac:dyDescent="0.25">
      <c r="A143" s="19"/>
      <c r="B143" t="s">
        <v>377</v>
      </c>
      <c r="C143" s="19" t="e" cm="1">
        <f t="array" ref="C143">_xlfn.TEXTSPLIT(A143,",")</f>
        <v>#VALUE!</v>
      </c>
      <c r="D143" s="19"/>
      <c r="E143" s="19"/>
      <c r="F143" s="36" t="e" cm="1" vm="1">
        <f t="array" ref="F143">_xlfn.TEXTJOIN(",",TRUE,_xlfn._xlws.FILTER(CLASSIFICATION[Keyword], ($E143=CLASSIFICATION[Keyword Aggr])*($D143=CLASSIFICATION[Functional Scope Aggr])))</f>
        <v>#VALUE!</v>
      </c>
      <c r="G143" s="32" t="e">
        <f t="shared" si="22"/>
        <v>#VALUE!</v>
      </c>
      <c r="H143" s="32" t="str">
        <f t="shared" si="22"/>
        <v/>
      </c>
      <c r="I143" s="32">
        <f t="shared" si="21"/>
        <v>0</v>
      </c>
      <c r="J143" s="33" t="str" cm="1">
        <f t="array" aca="1" ref="J143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($E143=CLASSIFICATION[[Keyword Aggr]:[Keyword Aggr]])*($D143=CLASSIFICATION[[Functional Scope Aggr]:[Functional Scope Aggr]])),
_xlpm._platform_keywords, _xlfn.TEXTSPLIT(SUBSTITUTE(SUBSTITUTE(VLOOKUP($D143,_xlpm._platform_range,3,FALSE),"+"&amp;CHAR(34),"+"),CHAR(34),""),", "),
_xlpm._exists, SUMPRODUCT(--ISNUMBER(MATCH(_xlpm._platform_keywords,_xlpm._original_keywords,0)))&gt;0,
_xlfn.IFS(AND(_xlpm._exists,LEFT($E143,1)="+"),"+",_xlpm._exists,"*",NOT(_xlpm._exists),"")
)</f>
        <v/>
      </c>
      <c r="K143" s="33" t="str" cm="1">
        <f t="array" aca="1" ref="K143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($E143=CLASSIFICATION[[Keyword Aggr]:[Keyword Aggr]])*($D143=CLASSIFICATION[[Functional Scope Aggr]:[Functional Scope Aggr]])),
_xlpm._platform_keywords, _xlfn.TEXTSPLIT(SUBSTITUTE(SUBSTITUTE(VLOOKUP($D143,_xlpm._platform_range,3,FALSE),"+"&amp;CHAR(34),"+"),CHAR(34),""),", "),
_xlpm._exists, SUMPRODUCT(--ISNUMBER(MATCH(_xlpm._platform_keywords,_xlpm._original_keywords,0)))&gt;0,
_xlfn.IFS(AND(_xlpm._exists,LEFT($E143,1)="+"),"+",_xlpm._exists,"*",NOT(_xlpm._exists),"")
)</f>
        <v/>
      </c>
      <c r="L143" s="33" t="str" cm="1">
        <f t="array" aca="1" ref="L143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($E143=CLASSIFICATION[[Keyword Aggr]:[Keyword Aggr]])*($D143=CLASSIFICATION[[Functional Scope Aggr]:[Functional Scope Aggr]])),
_xlpm._platform_keywords, _xlfn.TEXTSPLIT(SUBSTITUTE(SUBSTITUTE(VLOOKUP($D143,_xlpm._platform_range,3,FALSE),"+"&amp;CHAR(34),"+"),CHAR(34),""),", "),
_xlpm._exists, SUMPRODUCT(--ISNUMBER(MATCH(_xlpm._platform_keywords,_xlpm._original_keywords,0)))&gt;0,
_xlfn.IFS(AND(_xlpm._exists,LEFT($E143,1)="+"),"+",_xlpm._exists,"*",NOT(_xlpm._exists),"")
)</f>
        <v/>
      </c>
      <c r="M143" s="33" t="str" cm="1">
        <f t="array" aca="1" ref="M143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($E143=CLASSIFICATION[[Keyword Aggr]:[Keyword Aggr]])*($D143=CLASSIFICATION[[Functional Scope Aggr]:[Functional Scope Aggr]])),
_xlpm._platform_keywords, _xlfn.TEXTSPLIT(SUBSTITUTE(SUBSTITUTE(VLOOKUP($D143,_xlpm._platform_range,3,FALSE),"+"&amp;CHAR(34),"+"),CHAR(34),""),", "),
_xlpm._exists, SUMPRODUCT(--ISNUMBER(MATCH(_xlpm._platform_keywords,_xlpm._original_keywords,0)))&gt;0,
_xlfn.IFS(AND(_xlpm._exists,LEFT($E143,1)="+"),"+",_xlpm._exists,"*",NOT(_xlpm._exists),"")
)</f>
        <v/>
      </c>
      <c r="N143" s="33" t="str" cm="1">
        <f t="array" aca="1" ref="N143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($E143=CLASSIFICATION[[Keyword Aggr]:[Keyword Aggr]])*($D143=CLASSIFICATION[[Functional Scope Aggr]:[Functional Scope Aggr]])),
_xlpm._platform_keywords, _xlfn.TEXTSPLIT(SUBSTITUTE(SUBSTITUTE(VLOOKUP($D143,_xlpm._platform_range,3,FALSE),"+"&amp;CHAR(34),"+"),CHAR(34),""),", "),
_xlpm._exists, SUMPRODUCT(--ISNUMBER(MATCH(_xlpm._platform_keywords,_xlpm._original_keywords,0)))&gt;0,
_xlfn.IFS(AND(_xlpm._exists,LEFT($E143,1)="+"),"+",_xlpm._exists,"*",NOT(_xlpm._exists),"")
)</f>
        <v/>
      </c>
      <c r="O143" s="33" t="str" cm="1">
        <f t="array" aca="1" ref="O143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($E143=CLASSIFICATION[[Keyword Aggr]:[Keyword Aggr]])*($D143=CLASSIFICATION[[Functional Scope Aggr]:[Functional Scope Aggr]])),
_xlpm._platform_keywords, _xlfn.TEXTSPLIT(SUBSTITUTE(SUBSTITUTE(VLOOKUP($D143,_xlpm._platform_range,3,FALSE),"+"&amp;CHAR(34),"+"),CHAR(34),""),", "),
_xlpm._exists, SUMPRODUCT(--ISNUMBER(MATCH(_xlpm._platform_keywords,_xlpm._original_keywords,0)))&gt;0,
_xlfn.IFS(AND(_xlpm._exists,LEFT($E143,1)="+"),"+",_xlpm._exists,"*",NOT(_xlpm._exists),"")
)</f>
        <v/>
      </c>
      <c r="Q143" s="33" t="str">
        <f t="shared" si="23"/>
        <v/>
      </c>
      <c r="R143" s="33" t="str">
        <f t="shared" si="24"/>
        <v/>
      </c>
      <c r="S143" s="33" t="str">
        <f t="shared" si="25"/>
        <v/>
      </c>
      <c r="T143" s="33" t="str">
        <f t="shared" si="26"/>
        <v/>
      </c>
      <c r="U143" s="33" t="str">
        <f t="shared" si="27"/>
        <v/>
      </c>
      <c r="V143" s="33" t="str">
        <f t="shared" si="28"/>
        <v/>
      </c>
    </row>
    <row r="144" spans="1:22" x14ac:dyDescent="0.25">
      <c r="A144" s="19"/>
      <c r="B144" t="s">
        <v>377</v>
      </c>
      <c r="C144" s="19" t="e" cm="1">
        <f t="array" ref="C144">_xlfn.TEXTSPLIT(A144,",")</f>
        <v>#VALUE!</v>
      </c>
      <c r="D144" s="19"/>
      <c r="E144" s="19"/>
      <c r="F144" s="36" t="e" cm="1" vm="1">
        <f t="array" ref="F144">_xlfn.TEXTJOIN(",",TRUE,_xlfn._xlws.FILTER(CLASSIFICATION[Keyword], ($E144=CLASSIFICATION[Keyword Aggr])*($D144=CLASSIFICATION[Functional Scope Aggr])))</f>
        <v>#VALUE!</v>
      </c>
      <c r="G144" s="32" t="e">
        <f t="shared" si="22"/>
        <v>#VALUE!</v>
      </c>
      <c r="H144" s="32" t="str">
        <f t="shared" si="22"/>
        <v/>
      </c>
      <c r="I144" s="32">
        <f t="shared" si="21"/>
        <v>0</v>
      </c>
      <c r="J144" s="33" t="str" cm="1">
        <f t="array" aca="1" ref="J144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($E144=CLASSIFICATION[[Keyword Aggr]:[Keyword Aggr]])*($D144=CLASSIFICATION[[Functional Scope Aggr]:[Functional Scope Aggr]])),
_xlpm._platform_keywords, _xlfn.TEXTSPLIT(SUBSTITUTE(SUBSTITUTE(VLOOKUP($D144,_xlpm._platform_range,3,FALSE),"+"&amp;CHAR(34),"+"),CHAR(34),""),", "),
_xlpm._exists, SUMPRODUCT(--ISNUMBER(MATCH(_xlpm._platform_keywords,_xlpm._original_keywords,0)))&gt;0,
_xlfn.IFS(AND(_xlpm._exists,LEFT($E144,1)="+"),"+",_xlpm._exists,"*",NOT(_xlpm._exists),"")
)</f>
        <v/>
      </c>
      <c r="K144" s="33" t="str" cm="1">
        <f t="array" aca="1" ref="K144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($E144=CLASSIFICATION[[Keyword Aggr]:[Keyword Aggr]])*($D144=CLASSIFICATION[[Functional Scope Aggr]:[Functional Scope Aggr]])),
_xlpm._platform_keywords, _xlfn.TEXTSPLIT(SUBSTITUTE(SUBSTITUTE(VLOOKUP($D144,_xlpm._platform_range,3,FALSE),"+"&amp;CHAR(34),"+"),CHAR(34),""),", "),
_xlpm._exists, SUMPRODUCT(--ISNUMBER(MATCH(_xlpm._platform_keywords,_xlpm._original_keywords,0)))&gt;0,
_xlfn.IFS(AND(_xlpm._exists,LEFT($E144,1)="+"),"+",_xlpm._exists,"*",NOT(_xlpm._exists),"")
)</f>
        <v/>
      </c>
      <c r="L144" s="33" t="str" cm="1">
        <f t="array" aca="1" ref="L144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($E144=CLASSIFICATION[[Keyword Aggr]:[Keyword Aggr]])*($D144=CLASSIFICATION[[Functional Scope Aggr]:[Functional Scope Aggr]])),
_xlpm._platform_keywords, _xlfn.TEXTSPLIT(SUBSTITUTE(SUBSTITUTE(VLOOKUP($D144,_xlpm._platform_range,3,FALSE),"+"&amp;CHAR(34),"+"),CHAR(34),""),", "),
_xlpm._exists, SUMPRODUCT(--ISNUMBER(MATCH(_xlpm._platform_keywords,_xlpm._original_keywords,0)))&gt;0,
_xlfn.IFS(AND(_xlpm._exists,LEFT($E144,1)="+"),"+",_xlpm._exists,"*",NOT(_xlpm._exists),"")
)</f>
        <v/>
      </c>
      <c r="M144" s="33" t="str" cm="1">
        <f t="array" aca="1" ref="M144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($E144=CLASSIFICATION[[Keyword Aggr]:[Keyword Aggr]])*($D144=CLASSIFICATION[[Functional Scope Aggr]:[Functional Scope Aggr]])),
_xlpm._platform_keywords, _xlfn.TEXTSPLIT(SUBSTITUTE(SUBSTITUTE(VLOOKUP($D144,_xlpm._platform_range,3,FALSE),"+"&amp;CHAR(34),"+"),CHAR(34),""),", "),
_xlpm._exists, SUMPRODUCT(--ISNUMBER(MATCH(_xlpm._platform_keywords,_xlpm._original_keywords,0)))&gt;0,
_xlfn.IFS(AND(_xlpm._exists,LEFT($E144,1)="+"),"+",_xlpm._exists,"*",NOT(_xlpm._exists),"")
)</f>
        <v/>
      </c>
      <c r="N144" s="33" t="str" cm="1">
        <f t="array" aca="1" ref="N144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($E144=CLASSIFICATION[[Keyword Aggr]:[Keyword Aggr]])*($D144=CLASSIFICATION[[Functional Scope Aggr]:[Functional Scope Aggr]])),
_xlpm._platform_keywords, _xlfn.TEXTSPLIT(SUBSTITUTE(SUBSTITUTE(VLOOKUP($D144,_xlpm._platform_range,3,FALSE),"+"&amp;CHAR(34),"+"),CHAR(34),""),", "),
_xlpm._exists, SUMPRODUCT(--ISNUMBER(MATCH(_xlpm._platform_keywords,_xlpm._original_keywords,0)))&gt;0,
_xlfn.IFS(AND(_xlpm._exists,LEFT($E144,1)="+"),"+",_xlpm._exists,"*",NOT(_xlpm._exists),"")
)</f>
        <v/>
      </c>
      <c r="O144" s="33" t="str" cm="1">
        <f t="array" aca="1" ref="O144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($E144=CLASSIFICATION[[Keyword Aggr]:[Keyword Aggr]])*($D144=CLASSIFICATION[[Functional Scope Aggr]:[Functional Scope Aggr]])),
_xlpm._platform_keywords, _xlfn.TEXTSPLIT(SUBSTITUTE(SUBSTITUTE(VLOOKUP($D144,_xlpm._platform_range,3,FALSE),"+"&amp;CHAR(34),"+"),CHAR(34),""),", "),
_xlpm._exists, SUMPRODUCT(--ISNUMBER(MATCH(_xlpm._platform_keywords,_xlpm._original_keywords,0)))&gt;0,
_xlfn.IFS(AND(_xlpm._exists,LEFT($E144,1)="+"),"+",_xlpm._exists,"*",NOT(_xlpm._exists),"")
)</f>
        <v/>
      </c>
      <c r="Q144" s="33" t="str">
        <f t="shared" si="23"/>
        <v/>
      </c>
      <c r="R144" s="33" t="str">
        <f t="shared" si="24"/>
        <v/>
      </c>
      <c r="S144" s="33" t="str">
        <f t="shared" si="25"/>
        <v/>
      </c>
      <c r="T144" s="33" t="str">
        <f t="shared" si="26"/>
        <v/>
      </c>
      <c r="U144" s="33" t="str">
        <f t="shared" si="27"/>
        <v/>
      </c>
      <c r="V144" s="33" t="str">
        <f t="shared" si="28"/>
        <v/>
      </c>
    </row>
    <row r="145" spans="1:22" x14ac:dyDescent="0.25">
      <c r="A145" s="19"/>
      <c r="B145" t="s">
        <v>377</v>
      </c>
      <c r="C145" s="19" t="e" cm="1">
        <f t="array" ref="C145">_xlfn.TEXTSPLIT(A145,",")</f>
        <v>#VALUE!</v>
      </c>
      <c r="D145" s="19"/>
      <c r="E145" s="19"/>
      <c r="F145" s="36" t="e" cm="1" vm="1">
        <f t="array" ref="F145">_xlfn.TEXTJOIN(",",TRUE,_xlfn._xlws.FILTER(CLASSIFICATION[Keyword], ($E145=CLASSIFICATION[Keyword Aggr])*($D145=CLASSIFICATION[Functional Scope Aggr])))</f>
        <v>#VALUE!</v>
      </c>
      <c r="G145" s="32" t="e">
        <f t="shared" si="22"/>
        <v>#VALUE!</v>
      </c>
      <c r="H145" s="32" t="str">
        <f t="shared" si="22"/>
        <v/>
      </c>
      <c r="I145" s="32">
        <f t="shared" si="21"/>
        <v>0</v>
      </c>
      <c r="J145" s="33" t="str" cm="1">
        <f t="array" aca="1" ref="J145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($E145=CLASSIFICATION[[Keyword Aggr]:[Keyword Aggr]])*($D145=CLASSIFICATION[[Functional Scope Aggr]:[Functional Scope Aggr]])),
_xlpm._platform_keywords, _xlfn.TEXTSPLIT(SUBSTITUTE(SUBSTITUTE(VLOOKUP($D145,_xlpm._platform_range,3,FALSE),"+"&amp;CHAR(34),"+"),CHAR(34),""),", "),
_xlpm._exists, SUMPRODUCT(--ISNUMBER(MATCH(_xlpm._platform_keywords,_xlpm._original_keywords,0)))&gt;0,
_xlfn.IFS(AND(_xlpm._exists,LEFT($E145,1)="+"),"+",_xlpm._exists,"*",NOT(_xlpm._exists),"")
)</f>
        <v/>
      </c>
      <c r="K145" s="33" t="str" cm="1">
        <f t="array" aca="1" ref="K145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($E145=CLASSIFICATION[[Keyword Aggr]:[Keyword Aggr]])*($D145=CLASSIFICATION[[Functional Scope Aggr]:[Functional Scope Aggr]])),
_xlpm._platform_keywords, _xlfn.TEXTSPLIT(SUBSTITUTE(SUBSTITUTE(VLOOKUP($D145,_xlpm._platform_range,3,FALSE),"+"&amp;CHAR(34),"+"),CHAR(34),""),", "),
_xlpm._exists, SUMPRODUCT(--ISNUMBER(MATCH(_xlpm._platform_keywords,_xlpm._original_keywords,0)))&gt;0,
_xlfn.IFS(AND(_xlpm._exists,LEFT($E145,1)="+"),"+",_xlpm._exists,"*",NOT(_xlpm._exists),"")
)</f>
        <v/>
      </c>
      <c r="L145" s="33" t="str" cm="1">
        <f t="array" aca="1" ref="L145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($E145=CLASSIFICATION[[Keyword Aggr]:[Keyword Aggr]])*($D145=CLASSIFICATION[[Functional Scope Aggr]:[Functional Scope Aggr]])),
_xlpm._platform_keywords, _xlfn.TEXTSPLIT(SUBSTITUTE(SUBSTITUTE(VLOOKUP($D145,_xlpm._platform_range,3,FALSE),"+"&amp;CHAR(34),"+"),CHAR(34),""),", "),
_xlpm._exists, SUMPRODUCT(--ISNUMBER(MATCH(_xlpm._platform_keywords,_xlpm._original_keywords,0)))&gt;0,
_xlfn.IFS(AND(_xlpm._exists,LEFT($E145,1)="+"),"+",_xlpm._exists,"*",NOT(_xlpm._exists),"")
)</f>
        <v/>
      </c>
      <c r="M145" s="33" t="str" cm="1">
        <f t="array" aca="1" ref="M145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($E145=CLASSIFICATION[[Keyword Aggr]:[Keyword Aggr]])*($D145=CLASSIFICATION[[Functional Scope Aggr]:[Functional Scope Aggr]])),
_xlpm._platform_keywords, _xlfn.TEXTSPLIT(SUBSTITUTE(SUBSTITUTE(VLOOKUP($D145,_xlpm._platform_range,3,FALSE),"+"&amp;CHAR(34),"+"),CHAR(34),""),", "),
_xlpm._exists, SUMPRODUCT(--ISNUMBER(MATCH(_xlpm._platform_keywords,_xlpm._original_keywords,0)))&gt;0,
_xlfn.IFS(AND(_xlpm._exists,LEFT($E145,1)="+"),"+",_xlpm._exists,"*",NOT(_xlpm._exists),"")
)</f>
        <v/>
      </c>
      <c r="N145" s="33" t="str" cm="1">
        <f t="array" aca="1" ref="N145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($E145=CLASSIFICATION[[Keyword Aggr]:[Keyword Aggr]])*($D145=CLASSIFICATION[[Functional Scope Aggr]:[Functional Scope Aggr]])),
_xlpm._platform_keywords, _xlfn.TEXTSPLIT(SUBSTITUTE(SUBSTITUTE(VLOOKUP($D145,_xlpm._platform_range,3,FALSE),"+"&amp;CHAR(34),"+"),CHAR(34),""),", "),
_xlpm._exists, SUMPRODUCT(--ISNUMBER(MATCH(_xlpm._platform_keywords,_xlpm._original_keywords,0)))&gt;0,
_xlfn.IFS(AND(_xlpm._exists,LEFT($E145,1)="+"),"+",_xlpm._exists,"*",NOT(_xlpm._exists),"")
)</f>
        <v/>
      </c>
      <c r="O145" s="33" t="str" cm="1">
        <f t="array" aca="1" ref="O145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($E145=CLASSIFICATION[[Keyword Aggr]:[Keyword Aggr]])*($D145=CLASSIFICATION[[Functional Scope Aggr]:[Functional Scope Aggr]])),
_xlpm._platform_keywords, _xlfn.TEXTSPLIT(SUBSTITUTE(SUBSTITUTE(VLOOKUP($D145,_xlpm._platform_range,3,FALSE),"+"&amp;CHAR(34),"+"),CHAR(34),""),", "),
_xlpm._exists, SUMPRODUCT(--ISNUMBER(MATCH(_xlpm._platform_keywords,_xlpm._original_keywords,0)))&gt;0,
_xlfn.IFS(AND(_xlpm._exists,LEFT($E145,1)="+"),"+",_xlpm._exists,"*",NOT(_xlpm._exists),"")
)</f>
        <v/>
      </c>
      <c r="Q145" s="33" t="str">
        <f t="shared" si="23"/>
        <v/>
      </c>
      <c r="R145" s="33" t="str">
        <f t="shared" si="24"/>
        <v/>
      </c>
      <c r="S145" s="33" t="str">
        <f t="shared" si="25"/>
        <v/>
      </c>
      <c r="T145" s="33" t="str">
        <f t="shared" si="26"/>
        <v/>
      </c>
      <c r="U145" s="33" t="str">
        <f t="shared" si="27"/>
        <v/>
      </c>
      <c r="V145" s="33" t="str">
        <f t="shared" si="28"/>
        <v/>
      </c>
    </row>
    <row r="146" spans="1:22" x14ac:dyDescent="0.25">
      <c r="A146" s="19"/>
      <c r="B146" t="s">
        <v>377</v>
      </c>
      <c r="C146" s="19" t="e" cm="1">
        <f t="array" ref="C146">_xlfn.TEXTSPLIT(A146,",")</f>
        <v>#VALUE!</v>
      </c>
      <c r="D146" s="19"/>
      <c r="E146" s="19"/>
      <c r="F146" s="36" t="e" cm="1" vm="1">
        <f t="array" ref="F146">_xlfn.TEXTJOIN(",",TRUE,_xlfn._xlws.FILTER(CLASSIFICATION[Keyword], ($E146=CLASSIFICATION[Keyword Aggr])*($D146=CLASSIFICATION[Functional Scope Aggr])))</f>
        <v>#VALUE!</v>
      </c>
      <c r="G146" s="32" t="e">
        <f t="shared" si="22"/>
        <v>#VALUE!</v>
      </c>
      <c r="H146" s="32" t="str">
        <f t="shared" si="22"/>
        <v/>
      </c>
      <c r="I146" s="32">
        <f t="shared" ref="I146:I209" si="29">E146</f>
        <v>0</v>
      </c>
      <c r="J146" s="33" t="str" cm="1">
        <f t="array" aca="1" ref="J146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($E146=CLASSIFICATION[[Keyword Aggr]:[Keyword Aggr]])*($D146=CLASSIFICATION[[Functional Scope Aggr]:[Functional Scope Aggr]])),
_xlpm._platform_keywords, _xlfn.TEXTSPLIT(SUBSTITUTE(SUBSTITUTE(VLOOKUP($D146,_xlpm._platform_range,3,FALSE),"+"&amp;CHAR(34),"+"),CHAR(34),""),", "),
_xlpm._exists, SUMPRODUCT(--ISNUMBER(MATCH(_xlpm._platform_keywords,_xlpm._original_keywords,0)))&gt;0,
_xlfn.IFS(AND(_xlpm._exists,LEFT($E146,1)="+"),"+",_xlpm._exists,"*",NOT(_xlpm._exists),"")
)</f>
        <v/>
      </c>
      <c r="K146" s="33" t="str" cm="1">
        <f t="array" aca="1" ref="K146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($E146=CLASSIFICATION[[Keyword Aggr]:[Keyword Aggr]])*($D146=CLASSIFICATION[[Functional Scope Aggr]:[Functional Scope Aggr]])),
_xlpm._platform_keywords, _xlfn.TEXTSPLIT(SUBSTITUTE(SUBSTITUTE(VLOOKUP($D146,_xlpm._platform_range,3,FALSE),"+"&amp;CHAR(34),"+"),CHAR(34),""),", "),
_xlpm._exists, SUMPRODUCT(--ISNUMBER(MATCH(_xlpm._platform_keywords,_xlpm._original_keywords,0)))&gt;0,
_xlfn.IFS(AND(_xlpm._exists,LEFT($E146,1)="+"),"+",_xlpm._exists,"*",NOT(_xlpm._exists),"")
)</f>
        <v/>
      </c>
      <c r="L146" s="33" t="str" cm="1">
        <f t="array" aca="1" ref="L146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($E146=CLASSIFICATION[[Keyword Aggr]:[Keyword Aggr]])*($D146=CLASSIFICATION[[Functional Scope Aggr]:[Functional Scope Aggr]])),
_xlpm._platform_keywords, _xlfn.TEXTSPLIT(SUBSTITUTE(SUBSTITUTE(VLOOKUP($D146,_xlpm._platform_range,3,FALSE),"+"&amp;CHAR(34),"+"),CHAR(34),""),", "),
_xlpm._exists, SUMPRODUCT(--ISNUMBER(MATCH(_xlpm._platform_keywords,_xlpm._original_keywords,0)))&gt;0,
_xlfn.IFS(AND(_xlpm._exists,LEFT($E146,1)="+"),"+",_xlpm._exists,"*",NOT(_xlpm._exists),"")
)</f>
        <v/>
      </c>
      <c r="M146" s="33" t="str" cm="1">
        <f t="array" aca="1" ref="M146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($E146=CLASSIFICATION[[Keyword Aggr]:[Keyword Aggr]])*($D146=CLASSIFICATION[[Functional Scope Aggr]:[Functional Scope Aggr]])),
_xlpm._platform_keywords, _xlfn.TEXTSPLIT(SUBSTITUTE(SUBSTITUTE(VLOOKUP($D146,_xlpm._platform_range,3,FALSE),"+"&amp;CHAR(34),"+"),CHAR(34),""),", "),
_xlpm._exists, SUMPRODUCT(--ISNUMBER(MATCH(_xlpm._platform_keywords,_xlpm._original_keywords,0)))&gt;0,
_xlfn.IFS(AND(_xlpm._exists,LEFT($E146,1)="+"),"+",_xlpm._exists,"*",NOT(_xlpm._exists),"")
)</f>
        <v/>
      </c>
      <c r="N146" s="33" t="str" cm="1">
        <f t="array" aca="1" ref="N146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($E146=CLASSIFICATION[[Keyword Aggr]:[Keyword Aggr]])*($D146=CLASSIFICATION[[Functional Scope Aggr]:[Functional Scope Aggr]])),
_xlpm._platform_keywords, _xlfn.TEXTSPLIT(SUBSTITUTE(SUBSTITUTE(VLOOKUP($D146,_xlpm._platform_range,3,FALSE),"+"&amp;CHAR(34),"+"),CHAR(34),""),", "),
_xlpm._exists, SUMPRODUCT(--ISNUMBER(MATCH(_xlpm._platform_keywords,_xlpm._original_keywords,0)))&gt;0,
_xlfn.IFS(AND(_xlpm._exists,LEFT($E146,1)="+"),"+",_xlpm._exists,"*",NOT(_xlpm._exists),"")
)</f>
        <v/>
      </c>
      <c r="O146" s="33" t="str" cm="1">
        <f t="array" aca="1" ref="O146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($E146=CLASSIFICATION[[Keyword Aggr]:[Keyword Aggr]])*($D146=CLASSIFICATION[[Functional Scope Aggr]:[Functional Scope Aggr]])),
_xlpm._platform_keywords, _xlfn.TEXTSPLIT(SUBSTITUTE(SUBSTITUTE(VLOOKUP($D146,_xlpm._platform_range,3,FALSE),"+"&amp;CHAR(34),"+"),CHAR(34),""),", "),
_xlpm._exists, SUMPRODUCT(--ISNUMBER(MATCH(_xlpm._platform_keywords,_xlpm._original_keywords,0)))&gt;0,
_xlfn.IFS(AND(_xlpm._exists,LEFT($E146,1)="+"),"+",_xlpm._exists,"*",NOT(_xlpm._exists),"")
)</f>
        <v/>
      </c>
      <c r="Q146" s="33" t="str">
        <f t="shared" si="23"/>
        <v/>
      </c>
      <c r="R146" s="33" t="str">
        <f t="shared" si="24"/>
        <v/>
      </c>
      <c r="S146" s="33" t="str">
        <f t="shared" si="25"/>
        <v/>
      </c>
      <c r="T146" s="33" t="str">
        <f t="shared" si="26"/>
        <v/>
      </c>
      <c r="U146" s="33" t="str">
        <f t="shared" si="27"/>
        <v/>
      </c>
      <c r="V146" s="33" t="str">
        <f t="shared" si="28"/>
        <v/>
      </c>
    </row>
    <row r="147" spans="1:22" x14ac:dyDescent="0.25">
      <c r="A147" s="19"/>
      <c r="B147" t="s">
        <v>377</v>
      </c>
      <c r="C147" s="19" t="e" cm="1">
        <f t="array" ref="C147">_xlfn.TEXTSPLIT(A147,",")</f>
        <v>#VALUE!</v>
      </c>
      <c r="D147" s="19"/>
      <c r="E147" s="19"/>
      <c r="F147" s="36" t="e" cm="1" vm="1">
        <f t="array" ref="F147">_xlfn.TEXTJOIN(",",TRUE,_xlfn._xlws.FILTER(CLASSIFICATION[Keyword], ($E147=CLASSIFICATION[Keyword Aggr])*($D147=CLASSIFICATION[Functional Scope Aggr])))</f>
        <v>#VALUE!</v>
      </c>
      <c r="G147" s="32" t="e">
        <f t="shared" si="22"/>
        <v>#VALUE!</v>
      </c>
      <c r="H147" s="32" t="str">
        <f t="shared" si="22"/>
        <v/>
      </c>
      <c r="I147" s="32">
        <f t="shared" si="29"/>
        <v>0</v>
      </c>
      <c r="J147" s="33" t="str" cm="1">
        <f t="array" aca="1" ref="J147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($E147=CLASSIFICATION[[Keyword Aggr]:[Keyword Aggr]])*($D147=CLASSIFICATION[[Functional Scope Aggr]:[Functional Scope Aggr]])),
_xlpm._platform_keywords, _xlfn.TEXTSPLIT(SUBSTITUTE(SUBSTITUTE(VLOOKUP($D147,_xlpm._platform_range,3,FALSE),"+"&amp;CHAR(34),"+"),CHAR(34),""),", "),
_xlpm._exists, SUMPRODUCT(--ISNUMBER(MATCH(_xlpm._platform_keywords,_xlpm._original_keywords,0)))&gt;0,
_xlfn.IFS(AND(_xlpm._exists,LEFT($E147,1)="+"),"+",_xlpm._exists,"*",NOT(_xlpm._exists),"")
)</f>
        <v/>
      </c>
      <c r="K147" s="33" t="str" cm="1">
        <f t="array" aca="1" ref="K147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($E147=CLASSIFICATION[[Keyword Aggr]:[Keyword Aggr]])*($D147=CLASSIFICATION[[Functional Scope Aggr]:[Functional Scope Aggr]])),
_xlpm._platform_keywords, _xlfn.TEXTSPLIT(SUBSTITUTE(SUBSTITUTE(VLOOKUP($D147,_xlpm._platform_range,3,FALSE),"+"&amp;CHAR(34),"+"),CHAR(34),""),", "),
_xlpm._exists, SUMPRODUCT(--ISNUMBER(MATCH(_xlpm._platform_keywords,_xlpm._original_keywords,0)))&gt;0,
_xlfn.IFS(AND(_xlpm._exists,LEFT($E147,1)="+"),"+",_xlpm._exists,"*",NOT(_xlpm._exists),"")
)</f>
        <v/>
      </c>
      <c r="L147" s="33" t="str" cm="1">
        <f t="array" aca="1" ref="L147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($E147=CLASSIFICATION[[Keyword Aggr]:[Keyword Aggr]])*($D147=CLASSIFICATION[[Functional Scope Aggr]:[Functional Scope Aggr]])),
_xlpm._platform_keywords, _xlfn.TEXTSPLIT(SUBSTITUTE(SUBSTITUTE(VLOOKUP($D147,_xlpm._platform_range,3,FALSE),"+"&amp;CHAR(34),"+"),CHAR(34),""),", "),
_xlpm._exists, SUMPRODUCT(--ISNUMBER(MATCH(_xlpm._platform_keywords,_xlpm._original_keywords,0)))&gt;0,
_xlfn.IFS(AND(_xlpm._exists,LEFT($E147,1)="+"),"+",_xlpm._exists,"*",NOT(_xlpm._exists),"")
)</f>
        <v/>
      </c>
      <c r="M147" s="33" t="str" cm="1">
        <f t="array" aca="1" ref="M147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($E147=CLASSIFICATION[[Keyword Aggr]:[Keyword Aggr]])*($D147=CLASSIFICATION[[Functional Scope Aggr]:[Functional Scope Aggr]])),
_xlpm._platform_keywords, _xlfn.TEXTSPLIT(SUBSTITUTE(SUBSTITUTE(VLOOKUP($D147,_xlpm._platform_range,3,FALSE),"+"&amp;CHAR(34),"+"),CHAR(34),""),", "),
_xlpm._exists, SUMPRODUCT(--ISNUMBER(MATCH(_xlpm._platform_keywords,_xlpm._original_keywords,0)))&gt;0,
_xlfn.IFS(AND(_xlpm._exists,LEFT($E147,1)="+"),"+",_xlpm._exists,"*",NOT(_xlpm._exists),"")
)</f>
        <v/>
      </c>
      <c r="N147" s="33" t="str" cm="1">
        <f t="array" aca="1" ref="N147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($E147=CLASSIFICATION[[Keyword Aggr]:[Keyword Aggr]])*($D147=CLASSIFICATION[[Functional Scope Aggr]:[Functional Scope Aggr]])),
_xlpm._platform_keywords, _xlfn.TEXTSPLIT(SUBSTITUTE(SUBSTITUTE(VLOOKUP($D147,_xlpm._platform_range,3,FALSE),"+"&amp;CHAR(34),"+"),CHAR(34),""),", "),
_xlpm._exists, SUMPRODUCT(--ISNUMBER(MATCH(_xlpm._platform_keywords,_xlpm._original_keywords,0)))&gt;0,
_xlfn.IFS(AND(_xlpm._exists,LEFT($E147,1)="+"),"+",_xlpm._exists,"*",NOT(_xlpm._exists),"")
)</f>
        <v/>
      </c>
      <c r="O147" s="33" t="str" cm="1">
        <f t="array" aca="1" ref="O147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($E147=CLASSIFICATION[[Keyword Aggr]:[Keyword Aggr]])*($D147=CLASSIFICATION[[Functional Scope Aggr]:[Functional Scope Aggr]])),
_xlpm._platform_keywords, _xlfn.TEXTSPLIT(SUBSTITUTE(SUBSTITUTE(VLOOKUP($D147,_xlpm._platform_range,3,FALSE),"+"&amp;CHAR(34),"+"),CHAR(34),""),", "),
_xlpm._exists, SUMPRODUCT(--ISNUMBER(MATCH(_xlpm._platform_keywords,_xlpm._original_keywords,0)))&gt;0,
_xlfn.IFS(AND(_xlpm._exists,LEFT($E147,1)="+"),"+",_xlpm._exists,"*",NOT(_xlpm._exists),"")
)</f>
        <v/>
      </c>
      <c r="Q147" s="33" t="str">
        <f t="shared" si="23"/>
        <v/>
      </c>
      <c r="R147" s="33" t="str">
        <f t="shared" si="24"/>
        <v/>
      </c>
      <c r="S147" s="33" t="str">
        <f t="shared" si="25"/>
        <v/>
      </c>
      <c r="T147" s="33" t="str">
        <f t="shared" si="26"/>
        <v/>
      </c>
      <c r="U147" s="33" t="str">
        <f t="shared" si="27"/>
        <v/>
      </c>
      <c r="V147" s="33" t="str">
        <f t="shared" si="28"/>
        <v/>
      </c>
    </row>
    <row r="148" spans="1:22" x14ac:dyDescent="0.25">
      <c r="A148" s="19"/>
      <c r="B148" t="s">
        <v>377</v>
      </c>
      <c r="C148" s="19" t="e" cm="1">
        <f t="array" ref="C148">_xlfn.TEXTSPLIT(A148,",")</f>
        <v>#VALUE!</v>
      </c>
      <c r="D148" s="19"/>
      <c r="E148" s="19"/>
      <c r="F148" s="36" t="e" cm="1" vm="1">
        <f t="array" ref="F148">_xlfn.TEXTJOIN(",",TRUE,_xlfn._xlws.FILTER(CLASSIFICATION[Keyword], ($E148=CLASSIFICATION[Keyword Aggr])*($D148=CLASSIFICATION[Functional Scope Aggr])))</f>
        <v>#VALUE!</v>
      </c>
      <c r="G148" s="32" t="e">
        <f t="shared" si="22"/>
        <v>#VALUE!</v>
      </c>
      <c r="H148" s="32" t="str">
        <f t="shared" si="22"/>
        <v/>
      </c>
      <c r="I148" s="32">
        <f t="shared" si="29"/>
        <v>0</v>
      </c>
      <c r="J148" s="33" t="str" cm="1">
        <f t="array" aca="1" ref="J148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($E148=CLASSIFICATION[[Keyword Aggr]:[Keyword Aggr]])*($D148=CLASSIFICATION[[Functional Scope Aggr]:[Functional Scope Aggr]])),
_xlpm._platform_keywords, _xlfn.TEXTSPLIT(SUBSTITUTE(SUBSTITUTE(VLOOKUP($D148,_xlpm._platform_range,3,FALSE),"+"&amp;CHAR(34),"+"),CHAR(34),""),", "),
_xlpm._exists, SUMPRODUCT(--ISNUMBER(MATCH(_xlpm._platform_keywords,_xlpm._original_keywords,0)))&gt;0,
_xlfn.IFS(AND(_xlpm._exists,LEFT($E148,1)="+"),"+",_xlpm._exists,"*",NOT(_xlpm._exists),"")
)</f>
        <v/>
      </c>
      <c r="K148" s="33" t="str" cm="1">
        <f t="array" aca="1" ref="K148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($E148=CLASSIFICATION[[Keyword Aggr]:[Keyword Aggr]])*($D148=CLASSIFICATION[[Functional Scope Aggr]:[Functional Scope Aggr]])),
_xlpm._platform_keywords, _xlfn.TEXTSPLIT(SUBSTITUTE(SUBSTITUTE(VLOOKUP($D148,_xlpm._platform_range,3,FALSE),"+"&amp;CHAR(34),"+"),CHAR(34),""),", "),
_xlpm._exists, SUMPRODUCT(--ISNUMBER(MATCH(_xlpm._platform_keywords,_xlpm._original_keywords,0)))&gt;0,
_xlfn.IFS(AND(_xlpm._exists,LEFT($E148,1)="+"),"+",_xlpm._exists,"*",NOT(_xlpm._exists),"")
)</f>
        <v/>
      </c>
      <c r="L148" s="33" t="str" cm="1">
        <f t="array" aca="1" ref="L148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($E148=CLASSIFICATION[[Keyword Aggr]:[Keyword Aggr]])*($D148=CLASSIFICATION[[Functional Scope Aggr]:[Functional Scope Aggr]])),
_xlpm._platform_keywords, _xlfn.TEXTSPLIT(SUBSTITUTE(SUBSTITUTE(VLOOKUP($D148,_xlpm._platform_range,3,FALSE),"+"&amp;CHAR(34),"+"),CHAR(34),""),", "),
_xlpm._exists, SUMPRODUCT(--ISNUMBER(MATCH(_xlpm._platform_keywords,_xlpm._original_keywords,0)))&gt;0,
_xlfn.IFS(AND(_xlpm._exists,LEFT($E148,1)="+"),"+",_xlpm._exists,"*",NOT(_xlpm._exists),"")
)</f>
        <v/>
      </c>
      <c r="M148" s="33" t="str" cm="1">
        <f t="array" aca="1" ref="M148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($E148=CLASSIFICATION[[Keyword Aggr]:[Keyword Aggr]])*($D148=CLASSIFICATION[[Functional Scope Aggr]:[Functional Scope Aggr]])),
_xlpm._platform_keywords, _xlfn.TEXTSPLIT(SUBSTITUTE(SUBSTITUTE(VLOOKUP($D148,_xlpm._platform_range,3,FALSE),"+"&amp;CHAR(34),"+"),CHAR(34),""),", "),
_xlpm._exists, SUMPRODUCT(--ISNUMBER(MATCH(_xlpm._platform_keywords,_xlpm._original_keywords,0)))&gt;0,
_xlfn.IFS(AND(_xlpm._exists,LEFT($E148,1)="+"),"+",_xlpm._exists,"*",NOT(_xlpm._exists),"")
)</f>
        <v/>
      </c>
      <c r="N148" s="33" t="str" cm="1">
        <f t="array" aca="1" ref="N148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($E148=CLASSIFICATION[[Keyword Aggr]:[Keyword Aggr]])*($D148=CLASSIFICATION[[Functional Scope Aggr]:[Functional Scope Aggr]])),
_xlpm._platform_keywords, _xlfn.TEXTSPLIT(SUBSTITUTE(SUBSTITUTE(VLOOKUP($D148,_xlpm._platform_range,3,FALSE),"+"&amp;CHAR(34),"+"),CHAR(34),""),", "),
_xlpm._exists, SUMPRODUCT(--ISNUMBER(MATCH(_xlpm._platform_keywords,_xlpm._original_keywords,0)))&gt;0,
_xlfn.IFS(AND(_xlpm._exists,LEFT($E148,1)="+"),"+",_xlpm._exists,"*",NOT(_xlpm._exists),"")
)</f>
        <v/>
      </c>
      <c r="O148" s="33" t="str" cm="1">
        <f t="array" aca="1" ref="O148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($E148=CLASSIFICATION[[Keyword Aggr]:[Keyword Aggr]])*($D148=CLASSIFICATION[[Functional Scope Aggr]:[Functional Scope Aggr]])),
_xlpm._platform_keywords, _xlfn.TEXTSPLIT(SUBSTITUTE(SUBSTITUTE(VLOOKUP($D148,_xlpm._platform_range,3,FALSE),"+"&amp;CHAR(34),"+"),CHAR(34),""),", "),
_xlpm._exists, SUMPRODUCT(--ISNUMBER(MATCH(_xlpm._platform_keywords,_xlpm._original_keywords,0)))&gt;0,
_xlfn.IFS(AND(_xlpm._exists,LEFT($E148,1)="+"),"+",_xlpm._exists,"*",NOT(_xlpm._exists),"")
)</f>
        <v/>
      </c>
      <c r="Q148" s="33" t="str">
        <f t="shared" si="23"/>
        <v/>
      </c>
      <c r="R148" s="33" t="str">
        <f t="shared" si="24"/>
        <v/>
      </c>
      <c r="S148" s="33" t="str">
        <f t="shared" si="25"/>
        <v/>
      </c>
      <c r="T148" s="33" t="str">
        <f t="shared" si="26"/>
        <v/>
      </c>
      <c r="U148" s="33" t="str">
        <f t="shared" si="27"/>
        <v/>
      </c>
      <c r="V148" s="33" t="str">
        <f t="shared" si="28"/>
        <v/>
      </c>
    </row>
    <row r="149" spans="1:22" x14ac:dyDescent="0.25">
      <c r="A149" s="19"/>
      <c r="B149" t="s">
        <v>377</v>
      </c>
      <c r="C149" s="19" t="e" cm="1">
        <f t="array" ref="C149">_xlfn.TEXTSPLIT(A149,",")</f>
        <v>#VALUE!</v>
      </c>
      <c r="D149" s="19"/>
      <c r="E149" s="19"/>
      <c r="F149" s="36" t="e" cm="1" vm="1">
        <f t="array" ref="F149">_xlfn.TEXTJOIN(",",TRUE,_xlfn._xlws.FILTER(CLASSIFICATION[Keyword], ($E149=CLASSIFICATION[Keyword Aggr])*($D149=CLASSIFICATION[Functional Scope Aggr])))</f>
        <v>#VALUE!</v>
      </c>
      <c r="G149" s="32" t="e">
        <f t="shared" si="22"/>
        <v>#VALUE!</v>
      </c>
      <c r="H149" s="32" t="str">
        <f t="shared" si="22"/>
        <v/>
      </c>
      <c r="I149" s="32">
        <f t="shared" si="29"/>
        <v>0</v>
      </c>
      <c r="J149" s="33" t="str" cm="1">
        <f t="array" aca="1" ref="J149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($E149=CLASSIFICATION[[Keyword Aggr]:[Keyword Aggr]])*($D149=CLASSIFICATION[[Functional Scope Aggr]:[Functional Scope Aggr]])),
_xlpm._platform_keywords, _xlfn.TEXTSPLIT(SUBSTITUTE(SUBSTITUTE(VLOOKUP($D149,_xlpm._platform_range,3,FALSE),"+"&amp;CHAR(34),"+"),CHAR(34),""),", "),
_xlpm._exists, SUMPRODUCT(--ISNUMBER(MATCH(_xlpm._platform_keywords,_xlpm._original_keywords,0)))&gt;0,
_xlfn.IFS(AND(_xlpm._exists,LEFT($E149,1)="+"),"+",_xlpm._exists,"*",NOT(_xlpm._exists),"")
)</f>
        <v/>
      </c>
      <c r="K149" s="33" t="str" cm="1">
        <f t="array" aca="1" ref="K149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($E149=CLASSIFICATION[[Keyword Aggr]:[Keyword Aggr]])*($D149=CLASSIFICATION[[Functional Scope Aggr]:[Functional Scope Aggr]])),
_xlpm._platform_keywords, _xlfn.TEXTSPLIT(SUBSTITUTE(SUBSTITUTE(VLOOKUP($D149,_xlpm._platform_range,3,FALSE),"+"&amp;CHAR(34),"+"),CHAR(34),""),", "),
_xlpm._exists, SUMPRODUCT(--ISNUMBER(MATCH(_xlpm._platform_keywords,_xlpm._original_keywords,0)))&gt;0,
_xlfn.IFS(AND(_xlpm._exists,LEFT($E149,1)="+"),"+",_xlpm._exists,"*",NOT(_xlpm._exists),"")
)</f>
        <v/>
      </c>
      <c r="L149" s="33" t="str" cm="1">
        <f t="array" aca="1" ref="L149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($E149=CLASSIFICATION[[Keyword Aggr]:[Keyword Aggr]])*($D149=CLASSIFICATION[[Functional Scope Aggr]:[Functional Scope Aggr]])),
_xlpm._platform_keywords, _xlfn.TEXTSPLIT(SUBSTITUTE(SUBSTITUTE(VLOOKUP($D149,_xlpm._platform_range,3,FALSE),"+"&amp;CHAR(34),"+"),CHAR(34),""),", "),
_xlpm._exists, SUMPRODUCT(--ISNUMBER(MATCH(_xlpm._platform_keywords,_xlpm._original_keywords,0)))&gt;0,
_xlfn.IFS(AND(_xlpm._exists,LEFT($E149,1)="+"),"+",_xlpm._exists,"*",NOT(_xlpm._exists),"")
)</f>
        <v/>
      </c>
      <c r="M149" s="33" t="str" cm="1">
        <f t="array" aca="1" ref="M149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($E149=CLASSIFICATION[[Keyword Aggr]:[Keyword Aggr]])*($D149=CLASSIFICATION[[Functional Scope Aggr]:[Functional Scope Aggr]])),
_xlpm._platform_keywords, _xlfn.TEXTSPLIT(SUBSTITUTE(SUBSTITUTE(VLOOKUP($D149,_xlpm._platform_range,3,FALSE),"+"&amp;CHAR(34),"+"),CHAR(34),""),", "),
_xlpm._exists, SUMPRODUCT(--ISNUMBER(MATCH(_xlpm._platform_keywords,_xlpm._original_keywords,0)))&gt;0,
_xlfn.IFS(AND(_xlpm._exists,LEFT($E149,1)="+"),"+",_xlpm._exists,"*",NOT(_xlpm._exists),"")
)</f>
        <v/>
      </c>
      <c r="N149" s="33" t="str" cm="1">
        <f t="array" aca="1" ref="N149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($E149=CLASSIFICATION[[Keyword Aggr]:[Keyword Aggr]])*($D149=CLASSIFICATION[[Functional Scope Aggr]:[Functional Scope Aggr]])),
_xlpm._platform_keywords, _xlfn.TEXTSPLIT(SUBSTITUTE(SUBSTITUTE(VLOOKUP($D149,_xlpm._platform_range,3,FALSE),"+"&amp;CHAR(34),"+"),CHAR(34),""),", "),
_xlpm._exists, SUMPRODUCT(--ISNUMBER(MATCH(_xlpm._platform_keywords,_xlpm._original_keywords,0)))&gt;0,
_xlfn.IFS(AND(_xlpm._exists,LEFT($E149,1)="+"),"+",_xlpm._exists,"*",NOT(_xlpm._exists),"")
)</f>
        <v/>
      </c>
      <c r="O149" s="33" t="str" cm="1">
        <f t="array" aca="1" ref="O149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($E149=CLASSIFICATION[[Keyword Aggr]:[Keyword Aggr]])*($D149=CLASSIFICATION[[Functional Scope Aggr]:[Functional Scope Aggr]])),
_xlpm._platform_keywords, _xlfn.TEXTSPLIT(SUBSTITUTE(SUBSTITUTE(VLOOKUP($D149,_xlpm._platform_range,3,FALSE),"+"&amp;CHAR(34),"+"),CHAR(34),""),", "),
_xlpm._exists, SUMPRODUCT(--ISNUMBER(MATCH(_xlpm._platform_keywords,_xlpm._original_keywords,0)))&gt;0,
_xlfn.IFS(AND(_xlpm._exists,LEFT($E149,1)="+"),"+",_xlpm._exists,"*",NOT(_xlpm._exists),"")
)</f>
        <v/>
      </c>
      <c r="Q149" s="33" t="str">
        <f t="shared" si="23"/>
        <v/>
      </c>
      <c r="R149" s="33" t="str">
        <f t="shared" si="24"/>
        <v/>
      </c>
      <c r="S149" s="33" t="str">
        <f t="shared" si="25"/>
        <v/>
      </c>
      <c r="T149" s="33" t="str">
        <f t="shared" si="26"/>
        <v/>
      </c>
      <c r="U149" s="33" t="str">
        <f t="shared" si="27"/>
        <v/>
      </c>
      <c r="V149" s="33" t="str">
        <f t="shared" si="28"/>
        <v/>
      </c>
    </row>
    <row r="150" spans="1:22" x14ac:dyDescent="0.25">
      <c r="A150" s="19"/>
      <c r="B150" t="s">
        <v>377</v>
      </c>
      <c r="C150" s="19" t="e" cm="1">
        <f t="array" ref="C150">_xlfn.TEXTSPLIT(A150,",")</f>
        <v>#VALUE!</v>
      </c>
      <c r="D150" s="19"/>
      <c r="E150" s="19"/>
      <c r="F150" s="36" t="e" cm="1" vm="1">
        <f t="array" ref="F150">_xlfn.TEXTJOIN(",",TRUE,_xlfn._xlws.FILTER(CLASSIFICATION[Keyword], ($E150=CLASSIFICATION[Keyword Aggr])*($D150=CLASSIFICATION[Functional Scope Aggr])))</f>
        <v>#VALUE!</v>
      </c>
      <c r="G150" s="32" t="e">
        <f t="shared" si="22"/>
        <v>#VALUE!</v>
      </c>
      <c r="H150" s="32" t="str">
        <f t="shared" si="22"/>
        <v/>
      </c>
      <c r="I150" s="32">
        <f t="shared" si="29"/>
        <v>0</v>
      </c>
      <c r="J150" s="33" t="str" cm="1">
        <f t="array" aca="1" ref="J150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($E150=CLASSIFICATION[[Keyword Aggr]:[Keyword Aggr]])*($D150=CLASSIFICATION[[Functional Scope Aggr]:[Functional Scope Aggr]])),
_xlpm._platform_keywords, _xlfn.TEXTSPLIT(SUBSTITUTE(SUBSTITUTE(VLOOKUP($D150,_xlpm._platform_range,3,FALSE),"+"&amp;CHAR(34),"+"),CHAR(34),""),", "),
_xlpm._exists, SUMPRODUCT(--ISNUMBER(MATCH(_xlpm._platform_keywords,_xlpm._original_keywords,0)))&gt;0,
_xlfn.IFS(AND(_xlpm._exists,LEFT($E150,1)="+"),"+",_xlpm._exists,"*",NOT(_xlpm._exists),"")
)</f>
        <v/>
      </c>
      <c r="K150" s="33" t="str" cm="1">
        <f t="array" aca="1" ref="K150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($E150=CLASSIFICATION[[Keyword Aggr]:[Keyword Aggr]])*($D150=CLASSIFICATION[[Functional Scope Aggr]:[Functional Scope Aggr]])),
_xlpm._platform_keywords, _xlfn.TEXTSPLIT(SUBSTITUTE(SUBSTITUTE(VLOOKUP($D150,_xlpm._platform_range,3,FALSE),"+"&amp;CHAR(34),"+"),CHAR(34),""),", "),
_xlpm._exists, SUMPRODUCT(--ISNUMBER(MATCH(_xlpm._platform_keywords,_xlpm._original_keywords,0)))&gt;0,
_xlfn.IFS(AND(_xlpm._exists,LEFT($E150,1)="+"),"+",_xlpm._exists,"*",NOT(_xlpm._exists),"")
)</f>
        <v/>
      </c>
      <c r="L150" s="33" t="str" cm="1">
        <f t="array" aca="1" ref="L150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($E150=CLASSIFICATION[[Keyword Aggr]:[Keyword Aggr]])*($D150=CLASSIFICATION[[Functional Scope Aggr]:[Functional Scope Aggr]])),
_xlpm._platform_keywords, _xlfn.TEXTSPLIT(SUBSTITUTE(SUBSTITUTE(VLOOKUP($D150,_xlpm._platform_range,3,FALSE),"+"&amp;CHAR(34),"+"),CHAR(34),""),", "),
_xlpm._exists, SUMPRODUCT(--ISNUMBER(MATCH(_xlpm._platform_keywords,_xlpm._original_keywords,0)))&gt;0,
_xlfn.IFS(AND(_xlpm._exists,LEFT($E150,1)="+"),"+",_xlpm._exists,"*",NOT(_xlpm._exists),"")
)</f>
        <v/>
      </c>
      <c r="M150" s="33" t="str" cm="1">
        <f t="array" aca="1" ref="M150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($E150=CLASSIFICATION[[Keyword Aggr]:[Keyword Aggr]])*($D150=CLASSIFICATION[[Functional Scope Aggr]:[Functional Scope Aggr]])),
_xlpm._platform_keywords, _xlfn.TEXTSPLIT(SUBSTITUTE(SUBSTITUTE(VLOOKUP($D150,_xlpm._platform_range,3,FALSE),"+"&amp;CHAR(34),"+"),CHAR(34),""),", "),
_xlpm._exists, SUMPRODUCT(--ISNUMBER(MATCH(_xlpm._platform_keywords,_xlpm._original_keywords,0)))&gt;0,
_xlfn.IFS(AND(_xlpm._exists,LEFT($E150,1)="+"),"+",_xlpm._exists,"*",NOT(_xlpm._exists),"")
)</f>
        <v/>
      </c>
      <c r="N150" s="33" t="str" cm="1">
        <f t="array" aca="1" ref="N150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($E150=CLASSIFICATION[[Keyword Aggr]:[Keyword Aggr]])*($D150=CLASSIFICATION[[Functional Scope Aggr]:[Functional Scope Aggr]])),
_xlpm._platform_keywords, _xlfn.TEXTSPLIT(SUBSTITUTE(SUBSTITUTE(VLOOKUP($D150,_xlpm._platform_range,3,FALSE),"+"&amp;CHAR(34),"+"),CHAR(34),""),", "),
_xlpm._exists, SUMPRODUCT(--ISNUMBER(MATCH(_xlpm._platform_keywords,_xlpm._original_keywords,0)))&gt;0,
_xlfn.IFS(AND(_xlpm._exists,LEFT($E150,1)="+"),"+",_xlpm._exists,"*",NOT(_xlpm._exists),"")
)</f>
        <v/>
      </c>
      <c r="O150" s="33" t="str" cm="1">
        <f t="array" aca="1" ref="O150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($E150=CLASSIFICATION[[Keyword Aggr]:[Keyword Aggr]])*($D150=CLASSIFICATION[[Functional Scope Aggr]:[Functional Scope Aggr]])),
_xlpm._platform_keywords, _xlfn.TEXTSPLIT(SUBSTITUTE(SUBSTITUTE(VLOOKUP($D150,_xlpm._platform_range,3,FALSE),"+"&amp;CHAR(34),"+"),CHAR(34),""),", "),
_xlpm._exists, SUMPRODUCT(--ISNUMBER(MATCH(_xlpm._platform_keywords,_xlpm._original_keywords,0)))&gt;0,
_xlfn.IFS(AND(_xlpm._exists,LEFT($E150,1)="+"),"+",_xlpm._exists,"*",NOT(_xlpm._exists),"")
)</f>
        <v/>
      </c>
      <c r="Q150" s="33" t="str">
        <f t="shared" si="23"/>
        <v/>
      </c>
      <c r="R150" s="33" t="str">
        <f t="shared" si="24"/>
        <v/>
      </c>
      <c r="S150" s="33" t="str">
        <f t="shared" si="25"/>
        <v/>
      </c>
      <c r="T150" s="33" t="str">
        <f t="shared" si="26"/>
        <v/>
      </c>
      <c r="U150" s="33" t="str">
        <f t="shared" si="27"/>
        <v/>
      </c>
      <c r="V150" s="33" t="str">
        <f t="shared" si="28"/>
        <v/>
      </c>
    </row>
    <row r="151" spans="1:22" x14ac:dyDescent="0.25">
      <c r="A151" s="19"/>
      <c r="B151" t="s">
        <v>377</v>
      </c>
      <c r="C151" s="19" t="e" cm="1">
        <f t="array" ref="C151">_xlfn.TEXTSPLIT(A151,",")</f>
        <v>#VALUE!</v>
      </c>
      <c r="D151" s="19"/>
      <c r="E151" s="19"/>
      <c r="F151" s="36" t="e" cm="1" vm="1">
        <f t="array" ref="F151">_xlfn.TEXTJOIN(",",TRUE,_xlfn._xlws.FILTER(CLASSIFICATION[Keyword], ($E151=CLASSIFICATION[Keyword Aggr])*($D151=CLASSIFICATION[Functional Scope Aggr])))</f>
        <v>#VALUE!</v>
      </c>
      <c r="G151" s="32" t="e">
        <f t="shared" si="22"/>
        <v>#VALUE!</v>
      </c>
      <c r="H151" s="32" t="str">
        <f t="shared" si="22"/>
        <v/>
      </c>
      <c r="I151" s="32">
        <f t="shared" si="29"/>
        <v>0</v>
      </c>
      <c r="J151" s="33" t="str" cm="1">
        <f t="array" aca="1" ref="J151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($E151=CLASSIFICATION[[Keyword Aggr]:[Keyword Aggr]])*($D151=CLASSIFICATION[[Functional Scope Aggr]:[Functional Scope Aggr]])),
_xlpm._platform_keywords, _xlfn.TEXTSPLIT(SUBSTITUTE(SUBSTITUTE(VLOOKUP($D151,_xlpm._platform_range,3,FALSE),"+"&amp;CHAR(34),"+"),CHAR(34),""),", "),
_xlpm._exists, SUMPRODUCT(--ISNUMBER(MATCH(_xlpm._platform_keywords,_xlpm._original_keywords,0)))&gt;0,
_xlfn.IFS(AND(_xlpm._exists,LEFT($E151,1)="+"),"+",_xlpm._exists,"*",NOT(_xlpm._exists),"")
)</f>
        <v/>
      </c>
      <c r="K151" s="33" t="str" cm="1">
        <f t="array" aca="1" ref="K151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($E151=CLASSIFICATION[[Keyword Aggr]:[Keyword Aggr]])*($D151=CLASSIFICATION[[Functional Scope Aggr]:[Functional Scope Aggr]])),
_xlpm._platform_keywords, _xlfn.TEXTSPLIT(SUBSTITUTE(SUBSTITUTE(VLOOKUP($D151,_xlpm._platform_range,3,FALSE),"+"&amp;CHAR(34),"+"),CHAR(34),""),", "),
_xlpm._exists, SUMPRODUCT(--ISNUMBER(MATCH(_xlpm._platform_keywords,_xlpm._original_keywords,0)))&gt;0,
_xlfn.IFS(AND(_xlpm._exists,LEFT($E151,1)="+"),"+",_xlpm._exists,"*",NOT(_xlpm._exists),"")
)</f>
        <v/>
      </c>
      <c r="L151" s="33" t="str" cm="1">
        <f t="array" aca="1" ref="L151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($E151=CLASSIFICATION[[Keyword Aggr]:[Keyword Aggr]])*($D151=CLASSIFICATION[[Functional Scope Aggr]:[Functional Scope Aggr]])),
_xlpm._platform_keywords, _xlfn.TEXTSPLIT(SUBSTITUTE(SUBSTITUTE(VLOOKUP($D151,_xlpm._platform_range,3,FALSE),"+"&amp;CHAR(34),"+"),CHAR(34),""),", "),
_xlpm._exists, SUMPRODUCT(--ISNUMBER(MATCH(_xlpm._platform_keywords,_xlpm._original_keywords,0)))&gt;0,
_xlfn.IFS(AND(_xlpm._exists,LEFT($E151,1)="+"),"+",_xlpm._exists,"*",NOT(_xlpm._exists),"")
)</f>
        <v/>
      </c>
      <c r="M151" s="33" t="str" cm="1">
        <f t="array" aca="1" ref="M151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($E151=CLASSIFICATION[[Keyword Aggr]:[Keyword Aggr]])*($D151=CLASSIFICATION[[Functional Scope Aggr]:[Functional Scope Aggr]])),
_xlpm._platform_keywords, _xlfn.TEXTSPLIT(SUBSTITUTE(SUBSTITUTE(VLOOKUP($D151,_xlpm._platform_range,3,FALSE),"+"&amp;CHAR(34),"+"),CHAR(34),""),", "),
_xlpm._exists, SUMPRODUCT(--ISNUMBER(MATCH(_xlpm._platform_keywords,_xlpm._original_keywords,0)))&gt;0,
_xlfn.IFS(AND(_xlpm._exists,LEFT($E151,1)="+"),"+",_xlpm._exists,"*",NOT(_xlpm._exists),"")
)</f>
        <v/>
      </c>
      <c r="N151" s="33" t="str" cm="1">
        <f t="array" aca="1" ref="N151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($E151=CLASSIFICATION[[Keyword Aggr]:[Keyword Aggr]])*($D151=CLASSIFICATION[[Functional Scope Aggr]:[Functional Scope Aggr]])),
_xlpm._platform_keywords, _xlfn.TEXTSPLIT(SUBSTITUTE(SUBSTITUTE(VLOOKUP($D151,_xlpm._platform_range,3,FALSE),"+"&amp;CHAR(34),"+"),CHAR(34),""),", "),
_xlpm._exists, SUMPRODUCT(--ISNUMBER(MATCH(_xlpm._platform_keywords,_xlpm._original_keywords,0)))&gt;0,
_xlfn.IFS(AND(_xlpm._exists,LEFT($E151,1)="+"),"+",_xlpm._exists,"*",NOT(_xlpm._exists),"")
)</f>
        <v/>
      </c>
      <c r="O151" s="33" t="str" cm="1">
        <f t="array" aca="1" ref="O151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($E151=CLASSIFICATION[[Keyword Aggr]:[Keyword Aggr]])*($D151=CLASSIFICATION[[Functional Scope Aggr]:[Functional Scope Aggr]])),
_xlpm._platform_keywords, _xlfn.TEXTSPLIT(SUBSTITUTE(SUBSTITUTE(VLOOKUP($D151,_xlpm._platform_range,3,FALSE),"+"&amp;CHAR(34),"+"),CHAR(34),""),", "),
_xlpm._exists, SUMPRODUCT(--ISNUMBER(MATCH(_xlpm._platform_keywords,_xlpm._original_keywords,0)))&gt;0,
_xlfn.IFS(AND(_xlpm._exists,LEFT($E151,1)="+"),"+",_xlpm._exists,"*",NOT(_xlpm._exists),"")
)</f>
        <v/>
      </c>
      <c r="Q151" s="33" t="str">
        <f t="shared" si="23"/>
        <v/>
      </c>
      <c r="R151" s="33" t="str">
        <f t="shared" si="24"/>
        <v/>
      </c>
      <c r="S151" s="33" t="str">
        <f t="shared" si="25"/>
        <v/>
      </c>
      <c r="T151" s="33" t="str">
        <f t="shared" si="26"/>
        <v/>
      </c>
      <c r="U151" s="33" t="str">
        <f t="shared" si="27"/>
        <v/>
      </c>
      <c r="V151" s="33" t="str">
        <f t="shared" si="28"/>
        <v/>
      </c>
    </row>
    <row r="152" spans="1:22" x14ac:dyDescent="0.25">
      <c r="A152" s="19"/>
      <c r="B152" t="s">
        <v>377</v>
      </c>
      <c r="C152" s="19" t="e" cm="1">
        <f t="array" ref="C152">_xlfn.TEXTSPLIT(A152,",")</f>
        <v>#VALUE!</v>
      </c>
      <c r="D152" s="19"/>
      <c r="E152" s="19"/>
      <c r="F152" s="36" t="e" cm="1" vm="1">
        <f t="array" ref="F152">_xlfn.TEXTJOIN(",",TRUE,_xlfn._xlws.FILTER(CLASSIFICATION[Keyword], ($E152=CLASSIFICATION[Keyword Aggr])*($D152=CLASSIFICATION[Functional Scope Aggr])))</f>
        <v>#VALUE!</v>
      </c>
      <c r="G152" s="32" t="e">
        <f t="shared" si="22"/>
        <v>#VALUE!</v>
      </c>
      <c r="H152" s="32" t="str">
        <f t="shared" si="22"/>
        <v/>
      </c>
      <c r="I152" s="32">
        <f t="shared" si="29"/>
        <v>0</v>
      </c>
      <c r="J152" s="33" t="str" cm="1">
        <f t="array" aca="1" ref="J152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($E152=CLASSIFICATION[[Keyword Aggr]:[Keyword Aggr]])*($D152=CLASSIFICATION[[Functional Scope Aggr]:[Functional Scope Aggr]])),
_xlpm._platform_keywords, _xlfn.TEXTSPLIT(SUBSTITUTE(SUBSTITUTE(VLOOKUP($D152,_xlpm._platform_range,3,FALSE),"+"&amp;CHAR(34),"+"),CHAR(34),""),", "),
_xlpm._exists, SUMPRODUCT(--ISNUMBER(MATCH(_xlpm._platform_keywords,_xlpm._original_keywords,0)))&gt;0,
_xlfn.IFS(AND(_xlpm._exists,LEFT($E152,1)="+"),"+",_xlpm._exists,"*",NOT(_xlpm._exists),"")
)</f>
        <v/>
      </c>
      <c r="K152" s="33" t="str" cm="1">
        <f t="array" aca="1" ref="K152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($E152=CLASSIFICATION[[Keyword Aggr]:[Keyword Aggr]])*($D152=CLASSIFICATION[[Functional Scope Aggr]:[Functional Scope Aggr]])),
_xlpm._platform_keywords, _xlfn.TEXTSPLIT(SUBSTITUTE(SUBSTITUTE(VLOOKUP($D152,_xlpm._platform_range,3,FALSE),"+"&amp;CHAR(34),"+"),CHAR(34),""),", "),
_xlpm._exists, SUMPRODUCT(--ISNUMBER(MATCH(_xlpm._platform_keywords,_xlpm._original_keywords,0)))&gt;0,
_xlfn.IFS(AND(_xlpm._exists,LEFT($E152,1)="+"),"+",_xlpm._exists,"*",NOT(_xlpm._exists),"")
)</f>
        <v/>
      </c>
      <c r="L152" s="33" t="str" cm="1">
        <f t="array" aca="1" ref="L152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($E152=CLASSIFICATION[[Keyword Aggr]:[Keyword Aggr]])*($D152=CLASSIFICATION[[Functional Scope Aggr]:[Functional Scope Aggr]])),
_xlpm._platform_keywords, _xlfn.TEXTSPLIT(SUBSTITUTE(SUBSTITUTE(VLOOKUP($D152,_xlpm._platform_range,3,FALSE),"+"&amp;CHAR(34),"+"),CHAR(34),""),", "),
_xlpm._exists, SUMPRODUCT(--ISNUMBER(MATCH(_xlpm._platform_keywords,_xlpm._original_keywords,0)))&gt;0,
_xlfn.IFS(AND(_xlpm._exists,LEFT($E152,1)="+"),"+",_xlpm._exists,"*",NOT(_xlpm._exists),"")
)</f>
        <v/>
      </c>
      <c r="M152" s="33" t="str" cm="1">
        <f t="array" aca="1" ref="M152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($E152=CLASSIFICATION[[Keyword Aggr]:[Keyword Aggr]])*($D152=CLASSIFICATION[[Functional Scope Aggr]:[Functional Scope Aggr]])),
_xlpm._platform_keywords, _xlfn.TEXTSPLIT(SUBSTITUTE(SUBSTITUTE(VLOOKUP($D152,_xlpm._platform_range,3,FALSE),"+"&amp;CHAR(34),"+"),CHAR(34),""),", "),
_xlpm._exists, SUMPRODUCT(--ISNUMBER(MATCH(_xlpm._platform_keywords,_xlpm._original_keywords,0)))&gt;0,
_xlfn.IFS(AND(_xlpm._exists,LEFT($E152,1)="+"),"+",_xlpm._exists,"*",NOT(_xlpm._exists),"")
)</f>
        <v/>
      </c>
      <c r="N152" s="33" t="str" cm="1">
        <f t="array" aca="1" ref="N152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($E152=CLASSIFICATION[[Keyword Aggr]:[Keyword Aggr]])*($D152=CLASSIFICATION[[Functional Scope Aggr]:[Functional Scope Aggr]])),
_xlpm._platform_keywords, _xlfn.TEXTSPLIT(SUBSTITUTE(SUBSTITUTE(VLOOKUP($D152,_xlpm._platform_range,3,FALSE),"+"&amp;CHAR(34),"+"),CHAR(34),""),", "),
_xlpm._exists, SUMPRODUCT(--ISNUMBER(MATCH(_xlpm._platform_keywords,_xlpm._original_keywords,0)))&gt;0,
_xlfn.IFS(AND(_xlpm._exists,LEFT($E152,1)="+"),"+",_xlpm._exists,"*",NOT(_xlpm._exists),"")
)</f>
        <v/>
      </c>
      <c r="O152" s="33" t="str" cm="1">
        <f t="array" aca="1" ref="O152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($E152=CLASSIFICATION[[Keyword Aggr]:[Keyword Aggr]])*($D152=CLASSIFICATION[[Functional Scope Aggr]:[Functional Scope Aggr]])),
_xlpm._platform_keywords, _xlfn.TEXTSPLIT(SUBSTITUTE(SUBSTITUTE(VLOOKUP($D152,_xlpm._platform_range,3,FALSE),"+"&amp;CHAR(34),"+"),CHAR(34),""),", "),
_xlpm._exists, SUMPRODUCT(--ISNUMBER(MATCH(_xlpm._platform_keywords,_xlpm._original_keywords,0)))&gt;0,
_xlfn.IFS(AND(_xlpm._exists,LEFT($E152,1)="+"),"+",_xlpm._exists,"*",NOT(_xlpm._exists),"")
)</f>
        <v/>
      </c>
      <c r="Q152" s="33" t="str">
        <f t="shared" si="23"/>
        <v/>
      </c>
      <c r="R152" s="33" t="str">
        <f t="shared" si="24"/>
        <v/>
      </c>
      <c r="S152" s="33" t="str">
        <f t="shared" si="25"/>
        <v/>
      </c>
      <c r="T152" s="33" t="str">
        <f t="shared" si="26"/>
        <v/>
      </c>
      <c r="U152" s="33" t="str">
        <f t="shared" si="27"/>
        <v/>
      </c>
      <c r="V152" s="33" t="str">
        <f t="shared" si="28"/>
        <v/>
      </c>
    </row>
    <row r="153" spans="1:22" x14ac:dyDescent="0.25">
      <c r="A153" s="19"/>
      <c r="B153" t="s">
        <v>377</v>
      </c>
      <c r="C153" s="19" t="e" cm="1">
        <f t="array" ref="C153">_xlfn.TEXTSPLIT(A153,",")</f>
        <v>#VALUE!</v>
      </c>
      <c r="D153" s="19"/>
      <c r="E153" s="19"/>
      <c r="F153" s="36" t="e" cm="1" vm="1">
        <f t="array" ref="F153">_xlfn.TEXTJOIN(",",TRUE,_xlfn._xlws.FILTER(CLASSIFICATION[Keyword], ($E153=CLASSIFICATION[Keyword Aggr])*($D153=CLASSIFICATION[Functional Scope Aggr])))</f>
        <v>#VALUE!</v>
      </c>
      <c r="G153" s="32" t="e">
        <f t="shared" si="22"/>
        <v>#VALUE!</v>
      </c>
      <c r="H153" s="32" t="str">
        <f t="shared" si="22"/>
        <v/>
      </c>
      <c r="I153" s="32">
        <f t="shared" si="29"/>
        <v>0</v>
      </c>
      <c r="J153" s="33" t="str" cm="1">
        <f t="array" aca="1" ref="J153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($E153=CLASSIFICATION[[Keyword Aggr]:[Keyword Aggr]])*($D153=CLASSIFICATION[[Functional Scope Aggr]:[Functional Scope Aggr]])),
_xlpm._platform_keywords, _xlfn.TEXTSPLIT(SUBSTITUTE(SUBSTITUTE(VLOOKUP($D153,_xlpm._platform_range,3,FALSE),"+"&amp;CHAR(34),"+"),CHAR(34),""),", "),
_xlpm._exists, SUMPRODUCT(--ISNUMBER(MATCH(_xlpm._platform_keywords,_xlpm._original_keywords,0)))&gt;0,
_xlfn.IFS(AND(_xlpm._exists,LEFT($E153,1)="+"),"+",_xlpm._exists,"*",NOT(_xlpm._exists),"")
)</f>
        <v/>
      </c>
      <c r="K153" s="33" t="str" cm="1">
        <f t="array" aca="1" ref="K153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($E153=CLASSIFICATION[[Keyword Aggr]:[Keyword Aggr]])*($D153=CLASSIFICATION[[Functional Scope Aggr]:[Functional Scope Aggr]])),
_xlpm._platform_keywords, _xlfn.TEXTSPLIT(SUBSTITUTE(SUBSTITUTE(VLOOKUP($D153,_xlpm._platform_range,3,FALSE),"+"&amp;CHAR(34),"+"),CHAR(34),""),", "),
_xlpm._exists, SUMPRODUCT(--ISNUMBER(MATCH(_xlpm._platform_keywords,_xlpm._original_keywords,0)))&gt;0,
_xlfn.IFS(AND(_xlpm._exists,LEFT($E153,1)="+"),"+",_xlpm._exists,"*",NOT(_xlpm._exists),"")
)</f>
        <v/>
      </c>
      <c r="L153" s="33" t="str" cm="1">
        <f t="array" aca="1" ref="L153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($E153=CLASSIFICATION[[Keyword Aggr]:[Keyword Aggr]])*($D153=CLASSIFICATION[[Functional Scope Aggr]:[Functional Scope Aggr]])),
_xlpm._platform_keywords, _xlfn.TEXTSPLIT(SUBSTITUTE(SUBSTITUTE(VLOOKUP($D153,_xlpm._platform_range,3,FALSE),"+"&amp;CHAR(34),"+"),CHAR(34),""),", "),
_xlpm._exists, SUMPRODUCT(--ISNUMBER(MATCH(_xlpm._platform_keywords,_xlpm._original_keywords,0)))&gt;0,
_xlfn.IFS(AND(_xlpm._exists,LEFT($E153,1)="+"),"+",_xlpm._exists,"*",NOT(_xlpm._exists),"")
)</f>
        <v/>
      </c>
      <c r="M153" s="33" t="str" cm="1">
        <f t="array" aca="1" ref="M153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($E153=CLASSIFICATION[[Keyword Aggr]:[Keyword Aggr]])*($D153=CLASSIFICATION[[Functional Scope Aggr]:[Functional Scope Aggr]])),
_xlpm._platform_keywords, _xlfn.TEXTSPLIT(SUBSTITUTE(SUBSTITUTE(VLOOKUP($D153,_xlpm._platform_range,3,FALSE),"+"&amp;CHAR(34),"+"),CHAR(34),""),", "),
_xlpm._exists, SUMPRODUCT(--ISNUMBER(MATCH(_xlpm._platform_keywords,_xlpm._original_keywords,0)))&gt;0,
_xlfn.IFS(AND(_xlpm._exists,LEFT($E153,1)="+"),"+",_xlpm._exists,"*",NOT(_xlpm._exists),"")
)</f>
        <v/>
      </c>
      <c r="N153" s="33" t="str" cm="1">
        <f t="array" aca="1" ref="N153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($E153=CLASSIFICATION[[Keyword Aggr]:[Keyword Aggr]])*($D153=CLASSIFICATION[[Functional Scope Aggr]:[Functional Scope Aggr]])),
_xlpm._platform_keywords, _xlfn.TEXTSPLIT(SUBSTITUTE(SUBSTITUTE(VLOOKUP($D153,_xlpm._platform_range,3,FALSE),"+"&amp;CHAR(34),"+"),CHAR(34),""),", "),
_xlpm._exists, SUMPRODUCT(--ISNUMBER(MATCH(_xlpm._platform_keywords,_xlpm._original_keywords,0)))&gt;0,
_xlfn.IFS(AND(_xlpm._exists,LEFT($E153,1)="+"),"+",_xlpm._exists,"*",NOT(_xlpm._exists),"")
)</f>
        <v/>
      </c>
      <c r="O153" s="33" t="str" cm="1">
        <f t="array" aca="1" ref="O153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($E153=CLASSIFICATION[[Keyword Aggr]:[Keyword Aggr]])*($D153=CLASSIFICATION[[Functional Scope Aggr]:[Functional Scope Aggr]])),
_xlpm._platform_keywords, _xlfn.TEXTSPLIT(SUBSTITUTE(SUBSTITUTE(VLOOKUP($D153,_xlpm._platform_range,3,FALSE),"+"&amp;CHAR(34),"+"),CHAR(34),""),", "),
_xlpm._exists, SUMPRODUCT(--ISNUMBER(MATCH(_xlpm._platform_keywords,_xlpm._original_keywords,0)))&gt;0,
_xlfn.IFS(AND(_xlpm._exists,LEFT($E153,1)="+"),"+",_xlpm._exists,"*",NOT(_xlpm._exists),"")
)</f>
        <v/>
      </c>
      <c r="Q153" s="33" t="str">
        <f t="shared" si="23"/>
        <v/>
      </c>
      <c r="R153" s="33" t="str">
        <f t="shared" si="24"/>
        <v/>
      </c>
      <c r="S153" s="33" t="str">
        <f t="shared" si="25"/>
        <v/>
      </c>
      <c r="T153" s="33" t="str">
        <f t="shared" si="26"/>
        <v/>
      </c>
      <c r="U153" s="33" t="str">
        <f t="shared" si="27"/>
        <v/>
      </c>
      <c r="V153" s="33" t="str">
        <f t="shared" si="28"/>
        <v/>
      </c>
    </row>
    <row r="154" spans="1:22" x14ac:dyDescent="0.25">
      <c r="A154" s="19"/>
      <c r="B154" t="s">
        <v>377</v>
      </c>
      <c r="C154" s="19" t="e" cm="1">
        <f t="array" ref="C154">_xlfn.TEXTSPLIT(A154,",")</f>
        <v>#VALUE!</v>
      </c>
      <c r="D154" s="19"/>
      <c r="E154" s="19"/>
      <c r="F154" s="36" t="e" cm="1" vm="1">
        <f t="array" ref="F154">_xlfn.TEXTJOIN(",",TRUE,_xlfn._xlws.FILTER(CLASSIFICATION[Keyword], ($E154=CLASSIFICATION[Keyword Aggr])*($D154=CLASSIFICATION[Functional Scope Aggr])))</f>
        <v>#VALUE!</v>
      </c>
      <c r="G154" s="32" t="e">
        <f t="shared" si="22"/>
        <v>#VALUE!</v>
      </c>
      <c r="H154" s="32" t="str">
        <f t="shared" si="22"/>
        <v/>
      </c>
      <c r="I154" s="32">
        <f t="shared" si="29"/>
        <v>0</v>
      </c>
      <c r="J154" s="33" t="str" cm="1">
        <f t="array" aca="1" ref="J154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($E154=CLASSIFICATION[[Keyword Aggr]:[Keyword Aggr]])*($D154=CLASSIFICATION[[Functional Scope Aggr]:[Functional Scope Aggr]])),
_xlpm._platform_keywords, _xlfn.TEXTSPLIT(SUBSTITUTE(SUBSTITUTE(VLOOKUP($D154,_xlpm._platform_range,3,FALSE),"+"&amp;CHAR(34),"+"),CHAR(34),""),", "),
_xlpm._exists, SUMPRODUCT(--ISNUMBER(MATCH(_xlpm._platform_keywords,_xlpm._original_keywords,0)))&gt;0,
_xlfn.IFS(AND(_xlpm._exists,LEFT($E154,1)="+"),"+",_xlpm._exists,"*",NOT(_xlpm._exists),"")
)</f>
        <v/>
      </c>
      <c r="K154" s="33" t="str" cm="1">
        <f t="array" aca="1" ref="K154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($E154=CLASSIFICATION[[Keyword Aggr]:[Keyword Aggr]])*($D154=CLASSIFICATION[[Functional Scope Aggr]:[Functional Scope Aggr]])),
_xlpm._platform_keywords, _xlfn.TEXTSPLIT(SUBSTITUTE(SUBSTITUTE(VLOOKUP($D154,_xlpm._platform_range,3,FALSE),"+"&amp;CHAR(34),"+"),CHAR(34),""),", "),
_xlpm._exists, SUMPRODUCT(--ISNUMBER(MATCH(_xlpm._platform_keywords,_xlpm._original_keywords,0)))&gt;0,
_xlfn.IFS(AND(_xlpm._exists,LEFT($E154,1)="+"),"+",_xlpm._exists,"*",NOT(_xlpm._exists),"")
)</f>
        <v/>
      </c>
      <c r="L154" s="33" t="str" cm="1">
        <f t="array" aca="1" ref="L154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($E154=CLASSIFICATION[[Keyword Aggr]:[Keyword Aggr]])*($D154=CLASSIFICATION[[Functional Scope Aggr]:[Functional Scope Aggr]])),
_xlpm._platform_keywords, _xlfn.TEXTSPLIT(SUBSTITUTE(SUBSTITUTE(VLOOKUP($D154,_xlpm._platform_range,3,FALSE),"+"&amp;CHAR(34),"+"),CHAR(34),""),", "),
_xlpm._exists, SUMPRODUCT(--ISNUMBER(MATCH(_xlpm._platform_keywords,_xlpm._original_keywords,0)))&gt;0,
_xlfn.IFS(AND(_xlpm._exists,LEFT($E154,1)="+"),"+",_xlpm._exists,"*",NOT(_xlpm._exists),"")
)</f>
        <v/>
      </c>
      <c r="M154" s="33" t="str" cm="1">
        <f t="array" aca="1" ref="M154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($E154=CLASSIFICATION[[Keyword Aggr]:[Keyword Aggr]])*($D154=CLASSIFICATION[[Functional Scope Aggr]:[Functional Scope Aggr]])),
_xlpm._platform_keywords, _xlfn.TEXTSPLIT(SUBSTITUTE(SUBSTITUTE(VLOOKUP($D154,_xlpm._platform_range,3,FALSE),"+"&amp;CHAR(34),"+"),CHAR(34),""),", "),
_xlpm._exists, SUMPRODUCT(--ISNUMBER(MATCH(_xlpm._platform_keywords,_xlpm._original_keywords,0)))&gt;0,
_xlfn.IFS(AND(_xlpm._exists,LEFT($E154,1)="+"),"+",_xlpm._exists,"*",NOT(_xlpm._exists),"")
)</f>
        <v/>
      </c>
      <c r="N154" s="33" t="str" cm="1">
        <f t="array" aca="1" ref="N154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($E154=CLASSIFICATION[[Keyword Aggr]:[Keyword Aggr]])*($D154=CLASSIFICATION[[Functional Scope Aggr]:[Functional Scope Aggr]])),
_xlpm._platform_keywords, _xlfn.TEXTSPLIT(SUBSTITUTE(SUBSTITUTE(VLOOKUP($D154,_xlpm._platform_range,3,FALSE),"+"&amp;CHAR(34),"+"),CHAR(34),""),", "),
_xlpm._exists, SUMPRODUCT(--ISNUMBER(MATCH(_xlpm._platform_keywords,_xlpm._original_keywords,0)))&gt;0,
_xlfn.IFS(AND(_xlpm._exists,LEFT($E154,1)="+"),"+",_xlpm._exists,"*",NOT(_xlpm._exists),"")
)</f>
        <v/>
      </c>
      <c r="O154" s="33" t="str" cm="1">
        <f t="array" aca="1" ref="O154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($E154=CLASSIFICATION[[Keyword Aggr]:[Keyword Aggr]])*($D154=CLASSIFICATION[[Functional Scope Aggr]:[Functional Scope Aggr]])),
_xlpm._platform_keywords, _xlfn.TEXTSPLIT(SUBSTITUTE(SUBSTITUTE(VLOOKUP($D154,_xlpm._platform_range,3,FALSE),"+"&amp;CHAR(34),"+"),CHAR(34),""),", "),
_xlpm._exists, SUMPRODUCT(--ISNUMBER(MATCH(_xlpm._platform_keywords,_xlpm._original_keywords,0)))&gt;0,
_xlfn.IFS(AND(_xlpm._exists,LEFT($E154,1)="+"),"+",_xlpm._exists,"*",NOT(_xlpm._exists),"")
)</f>
        <v/>
      </c>
      <c r="Q154" s="33" t="str">
        <f t="shared" si="23"/>
        <v/>
      </c>
      <c r="R154" s="33" t="str">
        <f t="shared" si="24"/>
        <v/>
      </c>
      <c r="S154" s="33" t="str">
        <f t="shared" si="25"/>
        <v/>
      </c>
      <c r="T154" s="33" t="str">
        <f t="shared" si="26"/>
        <v/>
      </c>
      <c r="U154" s="33" t="str">
        <f t="shared" si="27"/>
        <v/>
      </c>
      <c r="V154" s="33" t="str">
        <f t="shared" si="28"/>
        <v/>
      </c>
    </row>
    <row r="155" spans="1:22" x14ac:dyDescent="0.25">
      <c r="A155" s="19"/>
      <c r="B155" t="s">
        <v>377</v>
      </c>
      <c r="C155" s="19" t="e" cm="1">
        <f t="array" ref="C155">_xlfn.TEXTSPLIT(A155,",")</f>
        <v>#VALUE!</v>
      </c>
      <c r="D155" s="19"/>
      <c r="E155" s="19"/>
      <c r="F155" s="36" t="e" cm="1" vm="1">
        <f t="array" ref="F155">_xlfn.TEXTJOIN(",",TRUE,_xlfn._xlws.FILTER(CLASSIFICATION[Keyword], ($E155=CLASSIFICATION[Keyword Aggr])*($D155=CLASSIFICATION[Functional Scope Aggr])))</f>
        <v>#VALUE!</v>
      </c>
      <c r="G155" s="32" t="e">
        <f t="shared" si="22"/>
        <v>#VALUE!</v>
      </c>
      <c r="H155" s="32" t="str">
        <f t="shared" si="22"/>
        <v/>
      </c>
      <c r="I155" s="32">
        <f t="shared" si="29"/>
        <v>0</v>
      </c>
      <c r="J155" s="33" t="str" cm="1">
        <f t="array" aca="1" ref="J155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($E155=CLASSIFICATION[[Keyword Aggr]:[Keyword Aggr]])*($D155=CLASSIFICATION[[Functional Scope Aggr]:[Functional Scope Aggr]])),
_xlpm._platform_keywords, _xlfn.TEXTSPLIT(SUBSTITUTE(SUBSTITUTE(VLOOKUP($D155,_xlpm._platform_range,3,FALSE),"+"&amp;CHAR(34),"+"),CHAR(34),""),", "),
_xlpm._exists, SUMPRODUCT(--ISNUMBER(MATCH(_xlpm._platform_keywords,_xlpm._original_keywords,0)))&gt;0,
_xlfn.IFS(AND(_xlpm._exists,LEFT($E155,1)="+"),"+",_xlpm._exists,"*",NOT(_xlpm._exists),"")
)</f>
        <v/>
      </c>
      <c r="K155" s="33" t="str" cm="1">
        <f t="array" aca="1" ref="K155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($E155=CLASSIFICATION[[Keyword Aggr]:[Keyword Aggr]])*($D155=CLASSIFICATION[[Functional Scope Aggr]:[Functional Scope Aggr]])),
_xlpm._platform_keywords, _xlfn.TEXTSPLIT(SUBSTITUTE(SUBSTITUTE(VLOOKUP($D155,_xlpm._platform_range,3,FALSE),"+"&amp;CHAR(34),"+"),CHAR(34),""),", "),
_xlpm._exists, SUMPRODUCT(--ISNUMBER(MATCH(_xlpm._platform_keywords,_xlpm._original_keywords,0)))&gt;0,
_xlfn.IFS(AND(_xlpm._exists,LEFT($E155,1)="+"),"+",_xlpm._exists,"*",NOT(_xlpm._exists),"")
)</f>
        <v/>
      </c>
      <c r="L155" s="33" t="str" cm="1">
        <f t="array" aca="1" ref="L155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($E155=CLASSIFICATION[[Keyword Aggr]:[Keyword Aggr]])*($D155=CLASSIFICATION[[Functional Scope Aggr]:[Functional Scope Aggr]])),
_xlpm._platform_keywords, _xlfn.TEXTSPLIT(SUBSTITUTE(SUBSTITUTE(VLOOKUP($D155,_xlpm._platform_range,3,FALSE),"+"&amp;CHAR(34),"+"),CHAR(34),""),", "),
_xlpm._exists, SUMPRODUCT(--ISNUMBER(MATCH(_xlpm._platform_keywords,_xlpm._original_keywords,0)))&gt;0,
_xlfn.IFS(AND(_xlpm._exists,LEFT($E155,1)="+"),"+",_xlpm._exists,"*",NOT(_xlpm._exists),"")
)</f>
        <v/>
      </c>
      <c r="M155" s="33" t="str" cm="1">
        <f t="array" aca="1" ref="M155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($E155=CLASSIFICATION[[Keyword Aggr]:[Keyword Aggr]])*($D155=CLASSIFICATION[[Functional Scope Aggr]:[Functional Scope Aggr]])),
_xlpm._platform_keywords, _xlfn.TEXTSPLIT(SUBSTITUTE(SUBSTITUTE(VLOOKUP($D155,_xlpm._platform_range,3,FALSE),"+"&amp;CHAR(34),"+"),CHAR(34),""),", "),
_xlpm._exists, SUMPRODUCT(--ISNUMBER(MATCH(_xlpm._platform_keywords,_xlpm._original_keywords,0)))&gt;0,
_xlfn.IFS(AND(_xlpm._exists,LEFT($E155,1)="+"),"+",_xlpm._exists,"*",NOT(_xlpm._exists),"")
)</f>
        <v/>
      </c>
      <c r="N155" s="33" t="str" cm="1">
        <f t="array" aca="1" ref="N155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($E155=CLASSIFICATION[[Keyword Aggr]:[Keyword Aggr]])*($D155=CLASSIFICATION[[Functional Scope Aggr]:[Functional Scope Aggr]])),
_xlpm._platform_keywords, _xlfn.TEXTSPLIT(SUBSTITUTE(SUBSTITUTE(VLOOKUP($D155,_xlpm._platform_range,3,FALSE),"+"&amp;CHAR(34),"+"),CHAR(34),""),", "),
_xlpm._exists, SUMPRODUCT(--ISNUMBER(MATCH(_xlpm._platform_keywords,_xlpm._original_keywords,0)))&gt;0,
_xlfn.IFS(AND(_xlpm._exists,LEFT($E155,1)="+"),"+",_xlpm._exists,"*",NOT(_xlpm._exists),"")
)</f>
        <v/>
      </c>
      <c r="O155" s="33" t="str" cm="1">
        <f t="array" aca="1" ref="O155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($E155=CLASSIFICATION[[Keyword Aggr]:[Keyword Aggr]])*($D155=CLASSIFICATION[[Functional Scope Aggr]:[Functional Scope Aggr]])),
_xlpm._platform_keywords, _xlfn.TEXTSPLIT(SUBSTITUTE(SUBSTITUTE(VLOOKUP($D155,_xlpm._platform_range,3,FALSE),"+"&amp;CHAR(34),"+"),CHAR(34),""),", "),
_xlpm._exists, SUMPRODUCT(--ISNUMBER(MATCH(_xlpm._platform_keywords,_xlpm._original_keywords,0)))&gt;0,
_xlfn.IFS(AND(_xlpm._exists,LEFT($E155,1)="+"),"+",_xlpm._exists,"*",NOT(_xlpm._exists),"")
)</f>
        <v/>
      </c>
      <c r="Q155" s="33" t="str">
        <f t="shared" si="23"/>
        <v/>
      </c>
      <c r="R155" s="33" t="str">
        <f t="shared" si="24"/>
        <v/>
      </c>
      <c r="S155" s="33" t="str">
        <f t="shared" si="25"/>
        <v/>
      </c>
      <c r="T155" s="33" t="str">
        <f t="shared" si="26"/>
        <v/>
      </c>
      <c r="U155" s="33" t="str">
        <f t="shared" si="27"/>
        <v/>
      </c>
      <c r="V155" s="33" t="str">
        <f t="shared" si="28"/>
        <v/>
      </c>
    </row>
    <row r="156" spans="1:22" x14ac:dyDescent="0.25">
      <c r="A156" s="19"/>
      <c r="B156" t="s">
        <v>377</v>
      </c>
      <c r="C156" s="19" t="e" cm="1">
        <f t="array" ref="C156">_xlfn.TEXTSPLIT(A156,",")</f>
        <v>#VALUE!</v>
      </c>
      <c r="D156" s="19"/>
      <c r="E156" s="19"/>
      <c r="F156" s="36" t="e" cm="1" vm="1">
        <f t="array" ref="F156">_xlfn.TEXTJOIN(",",TRUE,_xlfn._xlws.FILTER(CLASSIFICATION[Keyword], ($E156=CLASSIFICATION[Keyword Aggr])*($D156=CLASSIFICATION[Functional Scope Aggr])))</f>
        <v>#VALUE!</v>
      </c>
      <c r="G156" s="32" t="e">
        <f t="shared" si="22"/>
        <v>#VALUE!</v>
      </c>
      <c r="H156" s="32" t="str">
        <f t="shared" si="22"/>
        <v/>
      </c>
      <c r="I156" s="32">
        <f t="shared" si="29"/>
        <v>0</v>
      </c>
      <c r="J156" s="33" t="str" cm="1">
        <f t="array" aca="1" ref="J156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($E156=CLASSIFICATION[[Keyword Aggr]:[Keyword Aggr]])*($D156=CLASSIFICATION[[Functional Scope Aggr]:[Functional Scope Aggr]])),
_xlpm._platform_keywords, _xlfn.TEXTSPLIT(SUBSTITUTE(SUBSTITUTE(VLOOKUP($D156,_xlpm._platform_range,3,FALSE),"+"&amp;CHAR(34),"+"),CHAR(34),""),", "),
_xlpm._exists, SUMPRODUCT(--ISNUMBER(MATCH(_xlpm._platform_keywords,_xlpm._original_keywords,0)))&gt;0,
_xlfn.IFS(AND(_xlpm._exists,LEFT($E156,1)="+"),"+",_xlpm._exists,"*",NOT(_xlpm._exists),"")
)</f>
        <v/>
      </c>
      <c r="K156" s="33" t="str" cm="1">
        <f t="array" aca="1" ref="K156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($E156=CLASSIFICATION[[Keyword Aggr]:[Keyword Aggr]])*($D156=CLASSIFICATION[[Functional Scope Aggr]:[Functional Scope Aggr]])),
_xlpm._platform_keywords, _xlfn.TEXTSPLIT(SUBSTITUTE(SUBSTITUTE(VLOOKUP($D156,_xlpm._platform_range,3,FALSE),"+"&amp;CHAR(34),"+"),CHAR(34),""),", "),
_xlpm._exists, SUMPRODUCT(--ISNUMBER(MATCH(_xlpm._platform_keywords,_xlpm._original_keywords,0)))&gt;0,
_xlfn.IFS(AND(_xlpm._exists,LEFT($E156,1)="+"),"+",_xlpm._exists,"*",NOT(_xlpm._exists),"")
)</f>
        <v/>
      </c>
      <c r="L156" s="33" t="str" cm="1">
        <f t="array" aca="1" ref="L156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($E156=CLASSIFICATION[[Keyword Aggr]:[Keyword Aggr]])*($D156=CLASSIFICATION[[Functional Scope Aggr]:[Functional Scope Aggr]])),
_xlpm._platform_keywords, _xlfn.TEXTSPLIT(SUBSTITUTE(SUBSTITUTE(VLOOKUP($D156,_xlpm._platform_range,3,FALSE),"+"&amp;CHAR(34),"+"),CHAR(34),""),", "),
_xlpm._exists, SUMPRODUCT(--ISNUMBER(MATCH(_xlpm._platform_keywords,_xlpm._original_keywords,0)))&gt;0,
_xlfn.IFS(AND(_xlpm._exists,LEFT($E156,1)="+"),"+",_xlpm._exists,"*",NOT(_xlpm._exists),"")
)</f>
        <v/>
      </c>
      <c r="M156" s="33" t="str" cm="1">
        <f t="array" aca="1" ref="M156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($E156=CLASSIFICATION[[Keyword Aggr]:[Keyword Aggr]])*($D156=CLASSIFICATION[[Functional Scope Aggr]:[Functional Scope Aggr]])),
_xlpm._platform_keywords, _xlfn.TEXTSPLIT(SUBSTITUTE(SUBSTITUTE(VLOOKUP($D156,_xlpm._platform_range,3,FALSE),"+"&amp;CHAR(34),"+"),CHAR(34),""),", "),
_xlpm._exists, SUMPRODUCT(--ISNUMBER(MATCH(_xlpm._platform_keywords,_xlpm._original_keywords,0)))&gt;0,
_xlfn.IFS(AND(_xlpm._exists,LEFT($E156,1)="+"),"+",_xlpm._exists,"*",NOT(_xlpm._exists),"")
)</f>
        <v/>
      </c>
      <c r="N156" s="33" t="str" cm="1">
        <f t="array" aca="1" ref="N156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($E156=CLASSIFICATION[[Keyword Aggr]:[Keyword Aggr]])*($D156=CLASSIFICATION[[Functional Scope Aggr]:[Functional Scope Aggr]])),
_xlpm._platform_keywords, _xlfn.TEXTSPLIT(SUBSTITUTE(SUBSTITUTE(VLOOKUP($D156,_xlpm._platform_range,3,FALSE),"+"&amp;CHAR(34),"+"),CHAR(34),""),", "),
_xlpm._exists, SUMPRODUCT(--ISNUMBER(MATCH(_xlpm._platform_keywords,_xlpm._original_keywords,0)))&gt;0,
_xlfn.IFS(AND(_xlpm._exists,LEFT($E156,1)="+"),"+",_xlpm._exists,"*",NOT(_xlpm._exists),"")
)</f>
        <v/>
      </c>
      <c r="O156" s="33" t="str" cm="1">
        <f t="array" aca="1" ref="O156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($E156=CLASSIFICATION[[Keyword Aggr]:[Keyword Aggr]])*($D156=CLASSIFICATION[[Functional Scope Aggr]:[Functional Scope Aggr]])),
_xlpm._platform_keywords, _xlfn.TEXTSPLIT(SUBSTITUTE(SUBSTITUTE(VLOOKUP($D156,_xlpm._platform_range,3,FALSE),"+"&amp;CHAR(34),"+"),CHAR(34),""),", "),
_xlpm._exists, SUMPRODUCT(--ISNUMBER(MATCH(_xlpm._platform_keywords,_xlpm._original_keywords,0)))&gt;0,
_xlfn.IFS(AND(_xlpm._exists,LEFT($E156,1)="+"),"+",_xlpm._exists,"*",NOT(_xlpm._exists),"")
)</f>
        <v/>
      </c>
      <c r="Q156" s="33" t="str">
        <f t="shared" si="23"/>
        <v/>
      </c>
      <c r="R156" s="33" t="str">
        <f t="shared" si="24"/>
        <v/>
      </c>
      <c r="S156" s="33" t="str">
        <f t="shared" si="25"/>
        <v/>
      </c>
      <c r="T156" s="33" t="str">
        <f t="shared" si="26"/>
        <v/>
      </c>
      <c r="U156" s="33" t="str">
        <f t="shared" si="27"/>
        <v/>
      </c>
      <c r="V156" s="33" t="str">
        <f t="shared" si="28"/>
        <v/>
      </c>
    </row>
    <row r="157" spans="1:22" x14ac:dyDescent="0.25">
      <c r="A157" s="19"/>
      <c r="B157" t="s">
        <v>377</v>
      </c>
      <c r="C157" s="19" t="e" cm="1">
        <f t="array" ref="C157">_xlfn.TEXTSPLIT(A157,",")</f>
        <v>#VALUE!</v>
      </c>
      <c r="D157" s="19"/>
      <c r="E157" s="19"/>
      <c r="F157" s="36" t="e" cm="1" vm="1">
        <f t="array" ref="F157">_xlfn.TEXTJOIN(",",TRUE,_xlfn._xlws.FILTER(CLASSIFICATION[Keyword], ($E157=CLASSIFICATION[Keyword Aggr])*($D157=CLASSIFICATION[Functional Scope Aggr])))</f>
        <v>#VALUE!</v>
      </c>
      <c r="G157" s="32" t="e">
        <f t="shared" si="22"/>
        <v>#VALUE!</v>
      </c>
      <c r="H157" s="32" t="str">
        <f t="shared" si="22"/>
        <v/>
      </c>
      <c r="I157" s="32">
        <f t="shared" si="29"/>
        <v>0</v>
      </c>
      <c r="J157" s="33" t="str" cm="1">
        <f t="array" aca="1" ref="J157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($E157=CLASSIFICATION[[Keyword Aggr]:[Keyword Aggr]])*($D157=CLASSIFICATION[[Functional Scope Aggr]:[Functional Scope Aggr]])),
_xlpm._platform_keywords, _xlfn.TEXTSPLIT(SUBSTITUTE(SUBSTITUTE(VLOOKUP($D157,_xlpm._platform_range,3,FALSE),"+"&amp;CHAR(34),"+"),CHAR(34),""),", "),
_xlpm._exists, SUMPRODUCT(--ISNUMBER(MATCH(_xlpm._platform_keywords,_xlpm._original_keywords,0)))&gt;0,
_xlfn.IFS(AND(_xlpm._exists,LEFT($E157,1)="+"),"+",_xlpm._exists,"*",NOT(_xlpm._exists),"")
)</f>
        <v/>
      </c>
      <c r="K157" s="33" t="str" cm="1">
        <f t="array" aca="1" ref="K157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($E157=CLASSIFICATION[[Keyword Aggr]:[Keyword Aggr]])*($D157=CLASSIFICATION[[Functional Scope Aggr]:[Functional Scope Aggr]])),
_xlpm._platform_keywords, _xlfn.TEXTSPLIT(SUBSTITUTE(SUBSTITUTE(VLOOKUP($D157,_xlpm._platform_range,3,FALSE),"+"&amp;CHAR(34),"+"),CHAR(34),""),", "),
_xlpm._exists, SUMPRODUCT(--ISNUMBER(MATCH(_xlpm._platform_keywords,_xlpm._original_keywords,0)))&gt;0,
_xlfn.IFS(AND(_xlpm._exists,LEFT($E157,1)="+"),"+",_xlpm._exists,"*",NOT(_xlpm._exists),"")
)</f>
        <v/>
      </c>
      <c r="L157" s="33" t="str" cm="1">
        <f t="array" aca="1" ref="L157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($E157=CLASSIFICATION[[Keyword Aggr]:[Keyword Aggr]])*($D157=CLASSIFICATION[[Functional Scope Aggr]:[Functional Scope Aggr]])),
_xlpm._platform_keywords, _xlfn.TEXTSPLIT(SUBSTITUTE(SUBSTITUTE(VLOOKUP($D157,_xlpm._platform_range,3,FALSE),"+"&amp;CHAR(34),"+"),CHAR(34),""),", "),
_xlpm._exists, SUMPRODUCT(--ISNUMBER(MATCH(_xlpm._platform_keywords,_xlpm._original_keywords,0)))&gt;0,
_xlfn.IFS(AND(_xlpm._exists,LEFT($E157,1)="+"),"+",_xlpm._exists,"*",NOT(_xlpm._exists),"")
)</f>
        <v/>
      </c>
      <c r="M157" s="33" t="str" cm="1">
        <f t="array" aca="1" ref="M157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($E157=CLASSIFICATION[[Keyword Aggr]:[Keyword Aggr]])*($D157=CLASSIFICATION[[Functional Scope Aggr]:[Functional Scope Aggr]])),
_xlpm._platform_keywords, _xlfn.TEXTSPLIT(SUBSTITUTE(SUBSTITUTE(VLOOKUP($D157,_xlpm._platform_range,3,FALSE),"+"&amp;CHAR(34),"+"),CHAR(34),""),", "),
_xlpm._exists, SUMPRODUCT(--ISNUMBER(MATCH(_xlpm._platform_keywords,_xlpm._original_keywords,0)))&gt;0,
_xlfn.IFS(AND(_xlpm._exists,LEFT($E157,1)="+"),"+",_xlpm._exists,"*",NOT(_xlpm._exists),"")
)</f>
        <v/>
      </c>
      <c r="N157" s="33" t="str" cm="1">
        <f t="array" aca="1" ref="N157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($E157=CLASSIFICATION[[Keyword Aggr]:[Keyword Aggr]])*($D157=CLASSIFICATION[[Functional Scope Aggr]:[Functional Scope Aggr]])),
_xlpm._platform_keywords, _xlfn.TEXTSPLIT(SUBSTITUTE(SUBSTITUTE(VLOOKUP($D157,_xlpm._platform_range,3,FALSE),"+"&amp;CHAR(34),"+"),CHAR(34),""),", "),
_xlpm._exists, SUMPRODUCT(--ISNUMBER(MATCH(_xlpm._platform_keywords,_xlpm._original_keywords,0)))&gt;0,
_xlfn.IFS(AND(_xlpm._exists,LEFT($E157,1)="+"),"+",_xlpm._exists,"*",NOT(_xlpm._exists),"")
)</f>
        <v/>
      </c>
      <c r="O157" s="33" t="str" cm="1">
        <f t="array" aca="1" ref="O157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($E157=CLASSIFICATION[[Keyword Aggr]:[Keyword Aggr]])*($D157=CLASSIFICATION[[Functional Scope Aggr]:[Functional Scope Aggr]])),
_xlpm._platform_keywords, _xlfn.TEXTSPLIT(SUBSTITUTE(SUBSTITUTE(VLOOKUP($D157,_xlpm._platform_range,3,FALSE),"+"&amp;CHAR(34),"+"),CHAR(34),""),", "),
_xlpm._exists, SUMPRODUCT(--ISNUMBER(MATCH(_xlpm._platform_keywords,_xlpm._original_keywords,0)))&gt;0,
_xlfn.IFS(AND(_xlpm._exists,LEFT($E157,1)="+"),"+",_xlpm._exists,"*",NOT(_xlpm._exists),"")
)</f>
        <v/>
      </c>
      <c r="Q157" s="33" t="str">
        <f t="shared" si="23"/>
        <v/>
      </c>
      <c r="R157" s="33" t="str">
        <f t="shared" si="24"/>
        <v/>
      </c>
      <c r="S157" s="33" t="str">
        <f t="shared" si="25"/>
        <v/>
      </c>
      <c r="T157" s="33" t="str">
        <f t="shared" si="26"/>
        <v/>
      </c>
      <c r="U157" s="33" t="str">
        <f t="shared" si="27"/>
        <v/>
      </c>
      <c r="V157" s="33" t="str">
        <f t="shared" si="28"/>
        <v/>
      </c>
    </row>
    <row r="158" spans="1:22" x14ac:dyDescent="0.25">
      <c r="A158" s="19"/>
      <c r="B158" t="s">
        <v>377</v>
      </c>
      <c r="C158" s="19" t="e" cm="1">
        <f t="array" ref="C158">_xlfn.TEXTSPLIT(A158,",")</f>
        <v>#VALUE!</v>
      </c>
      <c r="D158" s="19"/>
      <c r="E158" s="19"/>
      <c r="F158" s="36" t="e" cm="1" vm="1">
        <f t="array" ref="F158">_xlfn.TEXTJOIN(",",TRUE,_xlfn._xlws.FILTER(CLASSIFICATION[Keyword], ($E158=CLASSIFICATION[Keyword Aggr])*($D158=CLASSIFICATION[Functional Scope Aggr])))</f>
        <v>#VALUE!</v>
      </c>
      <c r="G158" s="32" t="e">
        <f t="shared" si="22"/>
        <v>#VALUE!</v>
      </c>
      <c r="H158" s="32" t="str">
        <f t="shared" si="22"/>
        <v/>
      </c>
      <c r="I158" s="32">
        <f t="shared" si="29"/>
        <v>0</v>
      </c>
      <c r="J158" s="33" t="str" cm="1">
        <f t="array" aca="1" ref="J158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($E158=CLASSIFICATION[[Keyword Aggr]:[Keyword Aggr]])*($D158=CLASSIFICATION[[Functional Scope Aggr]:[Functional Scope Aggr]])),
_xlpm._platform_keywords, _xlfn.TEXTSPLIT(SUBSTITUTE(SUBSTITUTE(VLOOKUP($D158,_xlpm._platform_range,3,FALSE),"+"&amp;CHAR(34),"+"),CHAR(34),""),", "),
_xlpm._exists, SUMPRODUCT(--ISNUMBER(MATCH(_xlpm._platform_keywords,_xlpm._original_keywords,0)))&gt;0,
_xlfn.IFS(AND(_xlpm._exists,LEFT($E158,1)="+"),"+",_xlpm._exists,"*",NOT(_xlpm._exists),"")
)</f>
        <v/>
      </c>
      <c r="K158" s="33" t="str" cm="1">
        <f t="array" aca="1" ref="K158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($E158=CLASSIFICATION[[Keyword Aggr]:[Keyword Aggr]])*($D158=CLASSIFICATION[[Functional Scope Aggr]:[Functional Scope Aggr]])),
_xlpm._platform_keywords, _xlfn.TEXTSPLIT(SUBSTITUTE(SUBSTITUTE(VLOOKUP($D158,_xlpm._platform_range,3,FALSE),"+"&amp;CHAR(34),"+"),CHAR(34),""),", "),
_xlpm._exists, SUMPRODUCT(--ISNUMBER(MATCH(_xlpm._platform_keywords,_xlpm._original_keywords,0)))&gt;0,
_xlfn.IFS(AND(_xlpm._exists,LEFT($E158,1)="+"),"+",_xlpm._exists,"*",NOT(_xlpm._exists),"")
)</f>
        <v/>
      </c>
      <c r="L158" s="33" t="str" cm="1">
        <f t="array" aca="1" ref="L158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($E158=CLASSIFICATION[[Keyword Aggr]:[Keyword Aggr]])*($D158=CLASSIFICATION[[Functional Scope Aggr]:[Functional Scope Aggr]])),
_xlpm._platform_keywords, _xlfn.TEXTSPLIT(SUBSTITUTE(SUBSTITUTE(VLOOKUP($D158,_xlpm._platform_range,3,FALSE),"+"&amp;CHAR(34),"+"),CHAR(34),""),", "),
_xlpm._exists, SUMPRODUCT(--ISNUMBER(MATCH(_xlpm._platform_keywords,_xlpm._original_keywords,0)))&gt;0,
_xlfn.IFS(AND(_xlpm._exists,LEFT($E158,1)="+"),"+",_xlpm._exists,"*",NOT(_xlpm._exists),"")
)</f>
        <v/>
      </c>
      <c r="M158" s="33" t="str" cm="1">
        <f t="array" aca="1" ref="M158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($E158=CLASSIFICATION[[Keyword Aggr]:[Keyword Aggr]])*($D158=CLASSIFICATION[[Functional Scope Aggr]:[Functional Scope Aggr]])),
_xlpm._platform_keywords, _xlfn.TEXTSPLIT(SUBSTITUTE(SUBSTITUTE(VLOOKUP($D158,_xlpm._platform_range,3,FALSE),"+"&amp;CHAR(34),"+"),CHAR(34),""),", "),
_xlpm._exists, SUMPRODUCT(--ISNUMBER(MATCH(_xlpm._platform_keywords,_xlpm._original_keywords,0)))&gt;0,
_xlfn.IFS(AND(_xlpm._exists,LEFT($E158,1)="+"),"+",_xlpm._exists,"*",NOT(_xlpm._exists),"")
)</f>
        <v/>
      </c>
      <c r="N158" s="33" t="str" cm="1">
        <f t="array" aca="1" ref="N158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($E158=CLASSIFICATION[[Keyword Aggr]:[Keyword Aggr]])*($D158=CLASSIFICATION[[Functional Scope Aggr]:[Functional Scope Aggr]])),
_xlpm._platform_keywords, _xlfn.TEXTSPLIT(SUBSTITUTE(SUBSTITUTE(VLOOKUP($D158,_xlpm._platform_range,3,FALSE),"+"&amp;CHAR(34),"+"),CHAR(34),""),", "),
_xlpm._exists, SUMPRODUCT(--ISNUMBER(MATCH(_xlpm._platform_keywords,_xlpm._original_keywords,0)))&gt;0,
_xlfn.IFS(AND(_xlpm._exists,LEFT($E158,1)="+"),"+",_xlpm._exists,"*",NOT(_xlpm._exists),"")
)</f>
        <v/>
      </c>
      <c r="O158" s="33" t="str" cm="1">
        <f t="array" aca="1" ref="O158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($E158=CLASSIFICATION[[Keyword Aggr]:[Keyword Aggr]])*($D158=CLASSIFICATION[[Functional Scope Aggr]:[Functional Scope Aggr]])),
_xlpm._platform_keywords, _xlfn.TEXTSPLIT(SUBSTITUTE(SUBSTITUTE(VLOOKUP($D158,_xlpm._platform_range,3,FALSE),"+"&amp;CHAR(34),"+"),CHAR(34),""),", "),
_xlpm._exists, SUMPRODUCT(--ISNUMBER(MATCH(_xlpm._platform_keywords,_xlpm._original_keywords,0)))&gt;0,
_xlfn.IFS(AND(_xlpm._exists,LEFT($E158,1)="+"),"+",_xlpm._exists,"*",NOT(_xlpm._exists),"")
)</f>
        <v/>
      </c>
      <c r="Q158" s="33" t="str">
        <f t="shared" si="23"/>
        <v/>
      </c>
      <c r="R158" s="33" t="str">
        <f t="shared" si="24"/>
        <v/>
      </c>
      <c r="S158" s="33" t="str">
        <f t="shared" si="25"/>
        <v/>
      </c>
      <c r="T158" s="33" t="str">
        <f t="shared" si="26"/>
        <v/>
      </c>
      <c r="U158" s="33" t="str">
        <f t="shared" si="27"/>
        <v/>
      </c>
      <c r="V158" s="33" t="str">
        <f t="shared" si="28"/>
        <v/>
      </c>
    </row>
    <row r="159" spans="1:22" x14ac:dyDescent="0.25">
      <c r="A159" s="19"/>
      <c r="B159" t="s">
        <v>377</v>
      </c>
      <c r="C159" s="19" t="e" cm="1">
        <f t="array" ref="C159">_xlfn.TEXTSPLIT(A159,",")</f>
        <v>#VALUE!</v>
      </c>
      <c r="D159" s="19"/>
      <c r="E159" s="19"/>
      <c r="F159" s="36" t="e" cm="1" vm="1">
        <f t="array" ref="F159">_xlfn.TEXTJOIN(",",TRUE,_xlfn._xlws.FILTER(CLASSIFICATION[Keyword], ($E159=CLASSIFICATION[Keyword Aggr])*($D159=CLASSIFICATION[Functional Scope Aggr])))</f>
        <v>#VALUE!</v>
      </c>
      <c r="G159" s="32" t="e">
        <f t="shared" si="22"/>
        <v>#VALUE!</v>
      </c>
      <c r="H159" s="32" t="str">
        <f t="shared" si="22"/>
        <v/>
      </c>
      <c r="I159" s="32">
        <f t="shared" si="29"/>
        <v>0</v>
      </c>
      <c r="J159" s="33" t="str" cm="1">
        <f t="array" aca="1" ref="J159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($E159=CLASSIFICATION[[Keyword Aggr]:[Keyword Aggr]])*($D159=CLASSIFICATION[[Functional Scope Aggr]:[Functional Scope Aggr]])),
_xlpm._platform_keywords, _xlfn.TEXTSPLIT(SUBSTITUTE(SUBSTITUTE(VLOOKUP($D159,_xlpm._platform_range,3,FALSE),"+"&amp;CHAR(34),"+"),CHAR(34),""),", "),
_xlpm._exists, SUMPRODUCT(--ISNUMBER(MATCH(_xlpm._platform_keywords,_xlpm._original_keywords,0)))&gt;0,
_xlfn.IFS(AND(_xlpm._exists,LEFT($E159,1)="+"),"+",_xlpm._exists,"*",NOT(_xlpm._exists),"")
)</f>
        <v/>
      </c>
      <c r="K159" s="33" t="str" cm="1">
        <f t="array" aca="1" ref="K159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($E159=CLASSIFICATION[[Keyword Aggr]:[Keyword Aggr]])*($D159=CLASSIFICATION[[Functional Scope Aggr]:[Functional Scope Aggr]])),
_xlpm._platform_keywords, _xlfn.TEXTSPLIT(SUBSTITUTE(SUBSTITUTE(VLOOKUP($D159,_xlpm._platform_range,3,FALSE),"+"&amp;CHAR(34),"+"),CHAR(34),""),", "),
_xlpm._exists, SUMPRODUCT(--ISNUMBER(MATCH(_xlpm._platform_keywords,_xlpm._original_keywords,0)))&gt;0,
_xlfn.IFS(AND(_xlpm._exists,LEFT($E159,1)="+"),"+",_xlpm._exists,"*",NOT(_xlpm._exists),"")
)</f>
        <v/>
      </c>
      <c r="L159" s="33" t="str" cm="1">
        <f t="array" aca="1" ref="L159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($E159=CLASSIFICATION[[Keyword Aggr]:[Keyword Aggr]])*($D159=CLASSIFICATION[[Functional Scope Aggr]:[Functional Scope Aggr]])),
_xlpm._platform_keywords, _xlfn.TEXTSPLIT(SUBSTITUTE(SUBSTITUTE(VLOOKUP($D159,_xlpm._platform_range,3,FALSE),"+"&amp;CHAR(34),"+"),CHAR(34),""),", "),
_xlpm._exists, SUMPRODUCT(--ISNUMBER(MATCH(_xlpm._platform_keywords,_xlpm._original_keywords,0)))&gt;0,
_xlfn.IFS(AND(_xlpm._exists,LEFT($E159,1)="+"),"+",_xlpm._exists,"*",NOT(_xlpm._exists),"")
)</f>
        <v/>
      </c>
      <c r="M159" s="33" t="str" cm="1">
        <f t="array" aca="1" ref="M159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($E159=CLASSIFICATION[[Keyword Aggr]:[Keyword Aggr]])*($D159=CLASSIFICATION[[Functional Scope Aggr]:[Functional Scope Aggr]])),
_xlpm._platform_keywords, _xlfn.TEXTSPLIT(SUBSTITUTE(SUBSTITUTE(VLOOKUP($D159,_xlpm._platform_range,3,FALSE),"+"&amp;CHAR(34),"+"),CHAR(34),""),", "),
_xlpm._exists, SUMPRODUCT(--ISNUMBER(MATCH(_xlpm._platform_keywords,_xlpm._original_keywords,0)))&gt;0,
_xlfn.IFS(AND(_xlpm._exists,LEFT($E159,1)="+"),"+",_xlpm._exists,"*",NOT(_xlpm._exists),"")
)</f>
        <v/>
      </c>
      <c r="N159" s="33" t="str" cm="1">
        <f t="array" aca="1" ref="N159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($E159=CLASSIFICATION[[Keyword Aggr]:[Keyword Aggr]])*($D159=CLASSIFICATION[[Functional Scope Aggr]:[Functional Scope Aggr]])),
_xlpm._platform_keywords, _xlfn.TEXTSPLIT(SUBSTITUTE(SUBSTITUTE(VLOOKUP($D159,_xlpm._platform_range,3,FALSE),"+"&amp;CHAR(34),"+"),CHAR(34),""),", "),
_xlpm._exists, SUMPRODUCT(--ISNUMBER(MATCH(_xlpm._platform_keywords,_xlpm._original_keywords,0)))&gt;0,
_xlfn.IFS(AND(_xlpm._exists,LEFT($E159,1)="+"),"+",_xlpm._exists,"*",NOT(_xlpm._exists),"")
)</f>
        <v/>
      </c>
      <c r="O159" s="33" t="str" cm="1">
        <f t="array" aca="1" ref="O159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($E159=CLASSIFICATION[[Keyword Aggr]:[Keyword Aggr]])*($D159=CLASSIFICATION[[Functional Scope Aggr]:[Functional Scope Aggr]])),
_xlpm._platform_keywords, _xlfn.TEXTSPLIT(SUBSTITUTE(SUBSTITUTE(VLOOKUP($D159,_xlpm._platform_range,3,FALSE),"+"&amp;CHAR(34),"+"),CHAR(34),""),", "),
_xlpm._exists, SUMPRODUCT(--ISNUMBER(MATCH(_xlpm._platform_keywords,_xlpm._original_keywords,0)))&gt;0,
_xlfn.IFS(AND(_xlpm._exists,LEFT($E159,1)="+"),"+",_xlpm._exists,"*",NOT(_xlpm._exists),"")
)</f>
        <v/>
      </c>
      <c r="Q159" s="33" t="str">
        <f t="shared" si="23"/>
        <v/>
      </c>
      <c r="R159" s="33" t="str">
        <f t="shared" si="24"/>
        <v/>
      </c>
      <c r="S159" s="33" t="str">
        <f t="shared" si="25"/>
        <v/>
      </c>
      <c r="T159" s="33" t="str">
        <f t="shared" si="26"/>
        <v/>
      </c>
      <c r="U159" s="33" t="str">
        <f t="shared" si="27"/>
        <v/>
      </c>
      <c r="V159" s="33" t="str">
        <f t="shared" si="28"/>
        <v/>
      </c>
    </row>
    <row r="160" spans="1:22" x14ac:dyDescent="0.25">
      <c r="A160" s="19"/>
      <c r="B160" t="s">
        <v>377</v>
      </c>
      <c r="C160" s="19" t="e" cm="1">
        <f t="array" ref="C160">_xlfn.TEXTSPLIT(A160,",")</f>
        <v>#VALUE!</v>
      </c>
      <c r="D160" s="19"/>
      <c r="E160" s="19"/>
      <c r="F160" s="36" t="e" cm="1" vm="1">
        <f t="array" ref="F160">_xlfn.TEXTJOIN(",",TRUE,_xlfn._xlws.FILTER(CLASSIFICATION[Keyword], ($E160=CLASSIFICATION[Keyword Aggr])*($D160=CLASSIFICATION[Functional Scope Aggr])))</f>
        <v>#VALUE!</v>
      </c>
      <c r="G160" s="32" t="e">
        <f t="shared" si="22"/>
        <v>#VALUE!</v>
      </c>
      <c r="H160" s="32" t="str">
        <f t="shared" si="22"/>
        <v/>
      </c>
      <c r="I160" s="32">
        <f t="shared" si="29"/>
        <v>0</v>
      </c>
      <c r="J160" s="33" t="str" cm="1">
        <f t="array" aca="1" ref="J160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($E160=CLASSIFICATION[[Keyword Aggr]:[Keyword Aggr]])*($D160=CLASSIFICATION[[Functional Scope Aggr]:[Functional Scope Aggr]])),
_xlpm._platform_keywords, _xlfn.TEXTSPLIT(SUBSTITUTE(SUBSTITUTE(VLOOKUP($D160,_xlpm._platform_range,3,FALSE),"+"&amp;CHAR(34),"+"),CHAR(34),""),", "),
_xlpm._exists, SUMPRODUCT(--ISNUMBER(MATCH(_xlpm._platform_keywords,_xlpm._original_keywords,0)))&gt;0,
_xlfn.IFS(AND(_xlpm._exists,LEFT($E160,1)="+"),"+",_xlpm._exists,"*",NOT(_xlpm._exists),"")
)</f>
        <v/>
      </c>
      <c r="K160" s="33" t="str" cm="1">
        <f t="array" aca="1" ref="K160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($E160=CLASSIFICATION[[Keyword Aggr]:[Keyword Aggr]])*($D160=CLASSIFICATION[[Functional Scope Aggr]:[Functional Scope Aggr]])),
_xlpm._platform_keywords, _xlfn.TEXTSPLIT(SUBSTITUTE(SUBSTITUTE(VLOOKUP($D160,_xlpm._platform_range,3,FALSE),"+"&amp;CHAR(34),"+"),CHAR(34),""),", "),
_xlpm._exists, SUMPRODUCT(--ISNUMBER(MATCH(_xlpm._platform_keywords,_xlpm._original_keywords,0)))&gt;0,
_xlfn.IFS(AND(_xlpm._exists,LEFT($E160,1)="+"),"+",_xlpm._exists,"*",NOT(_xlpm._exists),"")
)</f>
        <v/>
      </c>
      <c r="L160" s="33" t="str" cm="1">
        <f t="array" aca="1" ref="L160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($E160=CLASSIFICATION[[Keyword Aggr]:[Keyword Aggr]])*($D160=CLASSIFICATION[[Functional Scope Aggr]:[Functional Scope Aggr]])),
_xlpm._platform_keywords, _xlfn.TEXTSPLIT(SUBSTITUTE(SUBSTITUTE(VLOOKUP($D160,_xlpm._platform_range,3,FALSE),"+"&amp;CHAR(34),"+"),CHAR(34),""),", "),
_xlpm._exists, SUMPRODUCT(--ISNUMBER(MATCH(_xlpm._platform_keywords,_xlpm._original_keywords,0)))&gt;0,
_xlfn.IFS(AND(_xlpm._exists,LEFT($E160,1)="+"),"+",_xlpm._exists,"*",NOT(_xlpm._exists),"")
)</f>
        <v/>
      </c>
      <c r="M160" s="33" t="str" cm="1">
        <f t="array" aca="1" ref="M160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($E160=CLASSIFICATION[[Keyword Aggr]:[Keyword Aggr]])*($D160=CLASSIFICATION[[Functional Scope Aggr]:[Functional Scope Aggr]])),
_xlpm._platform_keywords, _xlfn.TEXTSPLIT(SUBSTITUTE(SUBSTITUTE(VLOOKUP($D160,_xlpm._platform_range,3,FALSE),"+"&amp;CHAR(34),"+"),CHAR(34),""),", "),
_xlpm._exists, SUMPRODUCT(--ISNUMBER(MATCH(_xlpm._platform_keywords,_xlpm._original_keywords,0)))&gt;0,
_xlfn.IFS(AND(_xlpm._exists,LEFT($E160,1)="+"),"+",_xlpm._exists,"*",NOT(_xlpm._exists),"")
)</f>
        <v/>
      </c>
      <c r="N160" s="33" t="str" cm="1">
        <f t="array" aca="1" ref="N160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($E160=CLASSIFICATION[[Keyword Aggr]:[Keyword Aggr]])*($D160=CLASSIFICATION[[Functional Scope Aggr]:[Functional Scope Aggr]])),
_xlpm._platform_keywords, _xlfn.TEXTSPLIT(SUBSTITUTE(SUBSTITUTE(VLOOKUP($D160,_xlpm._platform_range,3,FALSE),"+"&amp;CHAR(34),"+"),CHAR(34),""),", "),
_xlpm._exists, SUMPRODUCT(--ISNUMBER(MATCH(_xlpm._platform_keywords,_xlpm._original_keywords,0)))&gt;0,
_xlfn.IFS(AND(_xlpm._exists,LEFT($E160,1)="+"),"+",_xlpm._exists,"*",NOT(_xlpm._exists),"")
)</f>
        <v/>
      </c>
      <c r="O160" s="33" t="str" cm="1">
        <f t="array" aca="1" ref="O160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($E160=CLASSIFICATION[[Keyword Aggr]:[Keyword Aggr]])*($D160=CLASSIFICATION[[Functional Scope Aggr]:[Functional Scope Aggr]])),
_xlpm._platform_keywords, _xlfn.TEXTSPLIT(SUBSTITUTE(SUBSTITUTE(VLOOKUP($D160,_xlpm._platform_range,3,FALSE),"+"&amp;CHAR(34),"+"),CHAR(34),""),", "),
_xlpm._exists, SUMPRODUCT(--ISNUMBER(MATCH(_xlpm._platform_keywords,_xlpm._original_keywords,0)))&gt;0,
_xlfn.IFS(AND(_xlpm._exists,LEFT($E160,1)="+"),"+",_xlpm._exists,"*",NOT(_xlpm._exists),"")
)</f>
        <v/>
      </c>
      <c r="Q160" s="33" t="str">
        <f t="shared" si="23"/>
        <v/>
      </c>
      <c r="R160" s="33" t="str">
        <f t="shared" si="24"/>
        <v/>
      </c>
      <c r="S160" s="33" t="str">
        <f t="shared" si="25"/>
        <v/>
      </c>
      <c r="T160" s="33" t="str">
        <f t="shared" si="26"/>
        <v/>
      </c>
      <c r="U160" s="33" t="str">
        <f t="shared" si="27"/>
        <v/>
      </c>
      <c r="V160" s="33" t="str">
        <f t="shared" si="28"/>
        <v/>
      </c>
    </row>
    <row r="161" spans="1:22" x14ac:dyDescent="0.25">
      <c r="A161" s="19"/>
      <c r="B161" t="s">
        <v>377</v>
      </c>
      <c r="C161" s="19" t="e" cm="1">
        <f t="array" ref="C161">_xlfn.TEXTSPLIT(A161,",")</f>
        <v>#VALUE!</v>
      </c>
      <c r="D161" s="19"/>
      <c r="E161" s="19"/>
      <c r="F161" s="36" t="e" cm="1" vm="1">
        <f t="array" ref="F161">_xlfn.TEXTJOIN(",",TRUE,_xlfn._xlws.FILTER(CLASSIFICATION[Keyword], ($E161=CLASSIFICATION[Keyword Aggr])*($D161=CLASSIFICATION[Functional Scope Aggr])))</f>
        <v>#VALUE!</v>
      </c>
      <c r="G161" s="32" t="e">
        <f t="shared" si="22"/>
        <v>#VALUE!</v>
      </c>
      <c r="H161" s="32" t="str">
        <f t="shared" si="22"/>
        <v/>
      </c>
      <c r="I161" s="32">
        <f t="shared" si="29"/>
        <v>0</v>
      </c>
      <c r="J161" s="33" t="str" cm="1">
        <f t="array" aca="1" ref="J161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($E161=CLASSIFICATION[[Keyword Aggr]:[Keyword Aggr]])*($D161=CLASSIFICATION[[Functional Scope Aggr]:[Functional Scope Aggr]])),
_xlpm._platform_keywords, _xlfn.TEXTSPLIT(SUBSTITUTE(SUBSTITUTE(VLOOKUP($D161,_xlpm._platform_range,3,FALSE),"+"&amp;CHAR(34),"+"),CHAR(34),""),", "),
_xlpm._exists, SUMPRODUCT(--ISNUMBER(MATCH(_xlpm._platform_keywords,_xlpm._original_keywords,0)))&gt;0,
_xlfn.IFS(AND(_xlpm._exists,LEFT($E161,1)="+"),"+",_xlpm._exists,"*",NOT(_xlpm._exists),"")
)</f>
        <v/>
      </c>
      <c r="K161" s="33" t="str" cm="1">
        <f t="array" aca="1" ref="K161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($E161=CLASSIFICATION[[Keyword Aggr]:[Keyword Aggr]])*($D161=CLASSIFICATION[[Functional Scope Aggr]:[Functional Scope Aggr]])),
_xlpm._platform_keywords, _xlfn.TEXTSPLIT(SUBSTITUTE(SUBSTITUTE(VLOOKUP($D161,_xlpm._platform_range,3,FALSE),"+"&amp;CHAR(34),"+"),CHAR(34),""),", "),
_xlpm._exists, SUMPRODUCT(--ISNUMBER(MATCH(_xlpm._platform_keywords,_xlpm._original_keywords,0)))&gt;0,
_xlfn.IFS(AND(_xlpm._exists,LEFT($E161,1)="+"),"+",_xlpm._exists,"*",NOT(_xlpm._exists),"")
)</f>
        <v/>
      </c>
      <c r="L161" s="33" t="str" cm="1">
        <f t="array" aca="1" ref="L161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($E161=CLASSIFICATION[[Keyword Aggr]:[Keyword Aggr]])*($D161=CLASSIFICATION[[Functional Scope Aggr]:[Functional Scope Aggr]])),
_xlpm._platform_keywords, _xlfn.TEXTSPLIT(SUBSTITUTE(SUBSTITUTE(VLOOKUP($D161,_xlpm._platform_range,3,FALSE),"+"&amp;CHAR(34),"+"),CHAR(34),""),", "),
_xlpm._exists, SUMPRODUCT(--ISNUMBER(MATCH(_xlpm._platform_keywords,_xlpm._original_keywords,0)))&gt;0,
_xlfn.IFS(AND(_xlpm._exists,LEFT($E161,1)="+"),"+",_xlpm._exists,"*",NOT(_xlpm._exists),"")
)</f>
        <v/>
      </c>
      <c r="M161" s="33" t="str" cm="1">
        <f t="array" aca="1" ref="M161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($E161=CLASSIFICATION[[Keyword Aggr]:[Keyword Aggr]])*($D161=CLASSIFICATION[[Functional Scope Aggr]:[Functional Scope Aggr]])),
_xlpm._platform_keywords, _xlfn.TEXTSPLIT(SUBSTITUTE(SUBSTITUTE(VLOOKUP($D161,_xlpm._platform_range,3,FALSE),"+"&amp;CHAR(34),"+"),CHAR(34),""),", "),
_xlpm._exists, SUMPRODUCT(--ISNUMBER(MATCH(_xlpm._platform_keywords,_xlpm._original_keywords,0)))&gt;0,
_xlfn.IFS(AND(_xlpm._exists,LEFT($E161,1)="+"),"+",_xlpm._exists,"*",NOT(_xlpm._exists),"")
)</f>
        <v/>
      </c>
      <c r="N161" s="33" t="str" cm="1">
        <f t="array" aca="1" ref="N161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($E161=CLASSIFICATION[[Keyword Aggr]:[Keyword Aggr]])*($D161=CLASSIFICATION[[Functional Scope Aggr]:[Functional Scope Aggr]])),
_xlpm._platform_keywords, _xlfn.TEXTSPLIT(SUBSTITUTE(SUBSTITUTE(VLOOKUP($D161,_xlpm._platform_range,3,FALSE),"+"&amp;CHAR(34),"+"),CHAR(34),""),", "),
_xlpm._exists, SUMPRODUCT(--ISNUMBER(MATCH(_xlpm._platform_keywords,_xlpm._original_keywords,0)))&gt;0,
_xlfn.IFS(AND(_xlpm._exists,LEFT($E161,1)="+"),"+",_xlpm._exists,"*",NOT(_xlpm._exists),"")
)</f>
        <v/>
      </c>
      <c r="O161" s="33" t="str" cm="1">
        <f t="array" aca="1" ref="O161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($E161=CLASSIFICATION[[Keyword Aggr]:[Keyword Aggr]])*($D161=CLASSIFICATION[[Functional Scope Aggr]:[Functional Scope Aggr]])),
_xlpm._platform_keywords, _xlfn.TEXTSPLIT(SUBSTITUTE(SUBSTITUTE(VLOOKUP($D161,_xlpm._platform_range,3,FALSE),"+"&amp;CHAR(34),"+"),CHAR(34),""),", "),
_xlpm._exists, SUMPRODUCT(--ISNUMBER(MATCH(_xlpm._platform_keywords,_xlpm._original_keywords,0)))&gt;0,
_xlfn.IFS(AND(_xlpm._exists,LEFT($E161,1)="+"),"+",_xlpm._exists,"*",NOT(_xlpm._exists),"")
)</f>
        <v/>
      </c>
      <c r="Q161" s="33" t="str">
        <f t="shared" si="23"/>
        <v/>
      </c>
      <c r="R161" s="33" t="str">
        <f t="shared" si="24"/>
        <v/>
      </c>
      <c r="S161" s="33" t="str">
        <f t="shared" si="25"/>
        <v/>
      </c>
      <c r="T161" s="33" t="str">
        <f t="shared" si="26"/>
        <v/>
      </c>
      <c r="U161" s="33" t="str">
        <f t="shared" si="27"/>
        <v/>
      </c>
      <c r="V161" s="33" t="str">
        <f t="shared" si="28"/>
        <v/>
      </c>
    </row>
    <row r="162" spans="1:22" x14ac:dyDescent="0.25">
      <c r="A162" s="19"/>
      <c r="B162" t="s">
        <v>377</v>
      </c>
      <c r="C162" s="19" t="e" cm="1">
        <f t="array" ref="C162">_xlfn.TEXTSPLIT(A162,",")</f>
        <v>#VALUE!</v>
      </c>
      <c r="D162" s="19"/>
      <c r="E162" s="19"/>
      <c r="F162" s="36" t="e" cm="1" vm="1">
        <f t="array" ref="F162">_xlfn.TEXTJOIN(",",TRUE,_xlfn._xlws.FILTER(CLASSIFICATION[Keyword], ($E162=CLASSIFICATION[Keyword Aggr])*($D162=CLASSIFICATION[Functional Scope Aggr])))</f>
        <v>#VALUE!</v>
      </c>
      <c r="G162" s="32" t="e">
        <f t="shared" si="22"/>
        <v>#VALUE!</v>
      </c>
      <c r="H162" s="32" t="str">
        <f t="shared" si="22"/>
        <v/>
      </c>
      <c r="I162" s="32">
        <f t="shared" si="29"/>
        <v>0</v>
      </c>
      <c r="J162" s="33" t="str" cm="1">
        <f t="array" aca="1" ref="J162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($E162=CLASSIFICATION[[Keyword Aggr]:[Keyword Aggr]])*($D162=CLASSIFICATION[[Functional Scope Aggr]:[Functional Scope Aggr]])),
_xlpm._platform_keywords, _xlfn.TEXTSPLIT(SUBSTITUTE(SUBSTITUTE(VLOOKUP($D162,_xlpm._platform_range,3,FALSE),"+"&amp;CHAR(34),"+"),CHAR(34),""),", "),
_xlpm._exists, SUMPRODUCT(--ISNUMBER(MATCH(_xlpm._platform_keywords,_xlpm._original_keywords,0)))&gt;0,
_xlfn.IFS(AND(_xlpm._exists,LEFT($E162,1)="+"),"+",_xlpm._exists,"*",NOT(_xlpm._exists),"")
)</f>
        <v/>
      </c>
      <c r="K162" s="33" t="str" cm="1">
        <f t="array" aca="1" ref="K162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($E162=CLASSIFICATION[[Keyword Aggr]:[Keyword Aggr]])*($D162=CLASSIFICATION[[Functional Scope Aggr]:[Functional Scope Aggr]])),
_xlpm._platform_keywords, _xlfn.TEXTSPLIT(SUBSTITUTE(SUBSTITUTE(VLOOKUP($D162,_xlpm._platform_range,3,FALSE),"+"&amp;CHAR(34),"+"),CHAR(34),""),", "),
_xlpm._exists, SUMPRODUCT(--ISNUMBER(MATCH(_xlpm._platform_keywords,_xlpm._original_keywords,0)))&gt;0,
_xlfn.IFS(AND(_xlpm._exists,LEFT($E162,1)="+"),"+",_xlpm._exists,"*",NOT(_xlpm._exists),"")
)</f>
        <v/>
      </c>
      <c r="L162" s="33" t="str" cm="1">
        <f t="array" aca="1" ref="L162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($E162=CLASSIFICATION[[Keyword Aggr]:[Keyword Aggr]])*($D162=CLASSIFICATION[[Functional Scope Aggr]:[Functional Scope Aggr]])),
_xlpm._platform_keywords, _xlfn.TEXTSPLIT(SUBSTITUTE(SUBSTITUTE(VLOOKUP($D162,_xlpm._platform_range,3,FALSE),"+"&amp;CHAR(34),"+"),CHAR(34),""),", "),
_xlpm._exists, SUMPRODUCT(--ISNUMBER(MATCH(_xlpm._platform_keywords,_xlpm._original_keywords,0)))&gt;0,
_xlfn.IFS(AND(_xlpm._exists,LEFT($E162,1)="+"),"+",_xlpm._exists,"*",NOT(_xlpm._exists),"")
)</f>
        <v/>
      </c>
      <c r="M162" s="33" t="str" cm="1">
        <f t="array" aca="1" ref="M162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($E162=CLASSIFICATION[[Keyword Aggr]:[Keyword Aggr]])*($D162=CLASSIFICATION[[Functional Scope Aggr]:[Functional Scope Aggr]])),
_xlpm._platform_keywords, _xlfn.TEXTSPLIT(SUBSTITUTE(SUBSTITUTE(VLOOKUP($D162,_xlpm._platform_range,3,FALSE),"+"&amp;CHAR(34),"+"),CHAR(34),""),", "),
_xlpm._exists, SUMPRODUCT(--ISNUMBER(MATCH(_xlpm._platform_keywords,_xlpm._original_keywords,0)))&gt;0,
_xlfn.IFS(AND(_xlpm._exists,LEFT($E162,1)="+"),"+",_xlpm._exists,"*",NOT(_xlpm._exists),"")
)</f>
        <v/>
      </c>
      <c r="N162" s="33" t="str" cm="1">
        <f t="array" aca="1" ref="N162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($E162=CLASSIFICATION[[Keyword Aggr]:[Keyword Aggr]])*($D162=CLASSIFICATION[[Functional Scope Aggr]:[Functional Scope Aggr]])),
_xlpm._platform_keywords, _xlfn.TEXTSPLIT(SUBSTITUTE(SUBSTITUTE(VLOOKUP($D162,_xlpm._platform_range,3,FALSE),"+"&amp;CHAR(34),"+"),CHAR(34),""),", "),
_xlpm._exists, SUMPRODUCT(--ISNUMBER(MATCH(_xlpm._platform_keywords,_xlpm._original_keywords,0)))&gt;0,
_xlfn.IFS(AND(_xlpm._exists,LEFT($E162,1)="+"),"+",_xlpm._exists,"*",NOT(_xlpm._exists),"")
)</f>
        <v/>
      </c>
      <c r="O162" s="33" t="str" cm="1">
        <f t="array" aca="1" ref="O162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($E162=CLASSIFICATION[[Keyword Aggr]:[Keyword Aggr]])*($D162=CLASSIFICATION[[Functional Scope Aggr]:[Functional Scope Aggr]])),
_xlpm._platform_keywords, _xlfn.TEXTSPLIT(SUBSTITUTE(SUBSTITUTE(VLOOKUP($D162,_xlpm._platform_range,3,FALSE),"+"&amp;CHAR(34),"+"),CHAR(34),""),", "),
_xlpm._exists, SUMPRODUCT(--ISNUMBER(MATCH(_xlpm._platform_keywords,_xlpm._original_keywords,0)))&gt;0,
_xlfn.IFS(AND(_xlpm._exists,LEFT($E162,1)="+"),"+",_xlpm._exists,"*",NOT(_xlpm._exists),"")
)</f>
        <v/>
      </c>
      <c r="Q162" s="33" t="str">
        <f t="shared" si="23"/>
        <v/>
      </c>
      <c r="R162" s="33" t="str">
        <f t="shared" si="24"/>
        <v/>
      </c>
      <c r="S162" s="33" t="str">
        <f t="shared" si="25"/>
        <v/>
      </c>
      <c r="T162" s="33" t="str">
        <f t="shared" si="26"/>
        <v/>
      </c>
      <c r="U162" s="33" t="str">
        <f t="shared" si="27"/>
        <v/>
      </c>
      <c r="V162" s="33" t="str">
        <f t="shared" si="28"/>
        <v/>
      </c>
    </row>
    <row r="163" spans="1:22" x14ac:dyDescent="0.25">
      <c r="A163" s="19"/>
      <c r="B163" t="s">
        <v>377</v>
      </c>
      <c r="C163" s="19" t="e" cm="1">
        <f t="array" ref="C163">_xlfn.TEXTSPLIT(A163,",")</f>
        <v>#VALUE!</v>
      </c>
      <c r="D163" s="19"/>
      <c r="E163" s="19"/>
      <c r="F163" s="36" t="e" cm="1" vm="1">
        <f t="array" ref="F163">_xlfn.TEXTJOIN(",",TRUE,_xlfn._xlws.FILTER(CLASSIFICATION[Keyword], ($E163=CLASSIFICATION[Keyword Aggr])*($D163=CLASSIFICATION[Functional Scope Aggr])))</f>
        <v>#VALUE!</v>
      </c>
      <c r="G163" s="32" t="e">
        <f t="shared" si="22"/>
        <v>#VALUE!</v>
      </c>
      <c r="H163" s="32" t="str">
        <f t="shared" si="22"/>
        <v/>
      </c>
      <c r="I163" s="32">
        <f t="shared" si="29"/>
        <v>0</v>
      </c>
      <c r="J163" s="33" t="str" cm="1">
        <f t="array" aca="1" ref="J163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($E163=CLASSIFICATION[[Keyword Aggr]:[Keyword Aggr]])*($D163=CLASSIFICATION[[Functional Scope Aggr]:[Functional Scope Aggr]])),
_xlpm._platform_keywords, _xlfn.TEXTSPLIT(SUBSTITUTE(SUBSTITUTE(VLOOKUP($D163,_xlpm._platform_range,3,FALSE),"+"&amp;CHAR(34),"+"),CHAR(34),""),", "),
_xlpm._exists, SUMPRODUCT(--ISNUMBER(MATCH(_xlpm._platform_keywords,_xlpm._original_keywords,0)))&gt;0,
_xlfn.IFS(AND(_xlpm._exists,LEFT($E163,1)="+"),"+",_xlpm._exists,"*",NOT(_xlpm._exists),"")
)</f>
        <v/>
      </c>
      <c r="K163" s="33" t="str" cm="1">
        <f t="array" aca="1" ref="K163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($E163=CLASSIFICATION[[Keyword Aggr]:[Keyword Aggr]])*($D163=CLASSIFICATION[[Functional Scope Aggr]:[Functional Scope Aggr]])),
_xlpm._platform_keywords, _xlfn.TEXTSPLIT(SUBSTITUTE(SUBSTITUTE(VLOOKUP($D163,_xlpm._platform_range,3,FALSE),"+"&amp;CHAR(34),"+"),CHAR(34),""),", "),
_xlpm._exists, SUMPRODUCT(--ISNUMBER(MATCH(_xlpm._platform_keywords,_xlpm._original_keywords,0)))&gt;0,
_xlfn.IFS(AND(_xlpm._exists,LEFT($E163,1)="+"),"+",_xlpm._exists,"*",NOT(_xlpm._exists),"")
)</f>
        <v/>
      </c>
      <c r="L163" s="33" t="str" cm="1">
        <f t="array" aca="1" ref="L163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($E163=CLASSIFICATION[[Keyword Aggr]:[Keyword Aggr]])*($D163=CLASSIFICATION[[Functional Scope Aggr]:[Functional Scope Aggr]])),
_xlpm._platform_keywords, _xlfn.TEXTSPLIT(SUBSTITUTE(SUBSTITUTE(VLOOKUP($D163,_xlpm._platform_range,3,FALSE),"+"&amp;CHAR(34),"+"),CHAR(34),""),", "),
_xlpm._exists, SUMPRODUCT(--ISNUMBER(MATCH(_xlpm._platform_keywords,_xlpm._original_keywords,0)))&gt;0,
_xlfn.IFS(AND(_xlpm._exists,LEFT($E163,1)="+"),"+",_xlpm._exists,"*",NOT(_xlpm._exists),"")
)</f>
        <v/>
      </c>
      <c r="M163" s="33" t="str" cm="1">
        <f t="array" aca="1" ref="M163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($E163=CLASSIFICATION[[Keyword Aggr]:[Keyword Aggr]])*($D163=CLASSIFICATION[[Functional Scope Aggr]:[Functional Scope Aggr]])),
_xlpm._platform_keywords, _xlfn.TEXTSPLIT(SUBSTITUTE(SUBSTITUTE(VLOOKUP($D163,_xlpm._platform_range,3,FALSE),"+"&amp;CHAR(34),"+"),CHAR(34),""),", "),
_xlpm._exists, SUMPRODUCT(--ISNUMBER(MATCH(_xlpm._platform_keywords,_xlpm._original_keywords,0)))&gt;0,
_xlfn.IFS(AND(_xlpm._exists,LEFT($E163,1)="+"),"+",_xlpm._exists,"*",NOT(_xlpm._exists),"")
)</f>
        <v/>
      </c>
      <c r="N163" s="33" t="str" cm="1">
        <f t="array" aca="1" ref="N163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($E163=CLASSIFICATION[[Keyword Aggr]:[Keyword Aggr]])*($D163=CLASSIFICATION[[Functional Scope Aggr]:[Functional Scope Aggr]])),
_xlpm._platform_keywords, _xlfn.TEXTSPLIT(SUBSTITUTE(SUBSTITUTE(VLOOKUP($D163,_xlpm._platform_range,3,FALSE),"+"&amp;CHAR(34),"+"),CHAR(34),""),", "),
_xlpm._exists, SUMPRODUCT(--ISNUMBER(MATCH(_xlpm._platform_keywords,_xlpm._original_keywords,0)))&gt;0,
_xlfn.IFS(AND(_xlpm._exists,LEFT($E163,1)="+"),"+",_xlpm._exists,"*",NOT(_xlpm._exists),"")
)</f>
        <v/>
      </c>
      <c r="O163" s="33" t="str" cm="1">
        <f t="array" aca="1" ref="O163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($E163=CLASSIFICATION[[Keyword Aggr]:[Keyword Aggr]])*($D163=CLASSIFICATION[[Functional Scope Aggr]:[Functional Scope Aggr]])),
_xlpm._platform_keywords, _xlfn.TEXTSPLIT(SUBSTITUTE(SUBSTITUTE(VLOOKUP($D163,_xlpm._platform_range,3,FALSE),"+"&amp;CHAR(34),"+"),CHAR(34),""),", "),
_xlpm._exists, SUMPRODUCT(--ISNUMBER(MATCH(_xlpm._platform_keywords,_xlpm._original_keywords,0)))&gt;0,
_xlfn.IFS(AND(_xlpm._exists,LEFT($E163,1)="+"),"+",_xlpm._exists,"*",NOT(_xlpm._exists),"")
)</f>
        <v/>
      </c>
      <c r="Q163" s="33" t="str">
        <f t="shared" si="23"/>
        <v/>
      </c>
      <c r="R163" s="33" t="str">
        <f t="shared" si="24"/>
        <v/>
      </c>
      <c r="S163" s="33" t="str">
        <f t="shared" si="25"/>
        <v/>
      </c>
      <c r="T163" s="33" t="str">
        <f t="shared" si="26"/>
        <v/>
      </c>
      <c r="U163" s="33" t="str">
        <f t="shared" si="27"/>
        <v/>
      </c>
      <c r="V163" s="33" t="str">
        <f t="shared" si="28"/>
        <v/>
      </c>
    </row>
    <row r="164" spans="1:22" x14ac:dyDescent="0.25">
      <c r="A164" s="19"/>
      <c r="B164" t="s">
        <v>377</v>
      </c>
      <c r="C164" s="19" t="e" cm="1">
        <f t="array" ref="C164">_xlfn.TEXTSPLIT(A164,",")</f>
        <v>#VALUE!</v>
      </c>
      <c r="D164" s="19"/>
      <c r="E164" s="19"/>
      <c r="F164" s="36" t="e" cm="1" vm="1">
        <f t="array" ref="F164">_xlfn.TEXTJOIN(",",TRUE,_xlfn._xlws.FILTER(CLASSIFICATION[Keyword], ($E164=CLASSIFICATION[Keyword Aggr])*($D164=CLASSIFICATION[Functional Scope Aggr])))</f>
        <v>#VALUE!</v>
      </c>
      <c r="G164" s="32" t="e">
        <f t="shared" si="22"/>
        <v>#VALUE!</v>
      </c>
      <c r="H164" s="32" t="str">
        <f t="shared" si="22"/>
        <v/>
      </c>
      <c r="I164" s="32">
        <f t="shared" si="29"/>
        <v>0</v>
      </c>
      <c r="J164" s="33" t="str" cm="1">
        <f t="array" aca="1" ref="J164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($E164=CLASSIFICATION[[Keyword Aggr]:[Keyword Aggr]])*($D164=CLASSIFICATION[[Functional Scope Aggr]:[Functional Scope Aggr]])),
_xlpm._platform_keywords, _xlfn.TEXTSPLIT(SUBSTITUTE(SUBSTITUTE(VLOOKUP($D164,_xlpm._platform_range,3,FALSE),"+"&amp;CHAR(34),"+"),CHAR(34),""),", "),
_xlpm._exists, SUMPRODUCT(--ISNUMBER(MATCH(_xlpm._platform_keywords,_xlpm._original_keywords,0)))&gt;0,
_xlfn.IFS(AND(_xlpm._exists,LEFT($E164,1)="+"),"+",_xlpm._exists,"*",NOT(_xlpm._exists),"")
)</f>
        <v/>
      </c>
      <c r="K164" s="33" t="str" cm="1">
        <f t="array" aca="1" ref="K164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($E164=CLASSIFICATION[[Keyword Aggr]:[Keyword Aggr]])*($D164=CLASSIFICATION[[Functional Scope Aggr]:[Functional Scope Aggr]])),
_xlpm._platform_keywords, _xlfn.TEXTSPLIT(SUBSTITUTE(SUBSTITUTE(VLOOKUP($D164,_xlpm._platform_range,3,FALSE),"+"&amp;CHAR(34),"+"),CHAR(34),""),", "),
_xlpm._exists, SUMPRODUCT(--ISNUMBER(MATCH(_xlpm._platform_keywords,_xlpm._original_keywords,0)))&gt;0,
_xlfn.IFS(AND(_xlpm._exists,LEFT($E164,1)="+"),"+",_xlpm._exists,"*",NOT(_xlpm._exists),"")
)</f>
        <v/>
      </c>
      <c r="L164" s="33" t="str" cm="1">
        <f t="array" aca="1" ref="L164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($E164=CLASSIFICATION[[Keyword Aggr]:[Keyword Aggr]])*($D164=CLASSIFICATION[[Functional Scope Aggr]:[Functional Scope Aggr]])),
_xlpm._platform_keywords, _xlfn.TEXTSPLIT(SUBSTITUTE(SUBSTITUTE(VLOOKUP($D164,_xlpm._platform_range,3,FALSE),"+"&amp;CHAR(34),"+"),CHAR(34),""),", "),
_xlpm._exists, SUMPRODUCT(--ISNUMBER(MATCH(_xlpm._platform_keywords,_xlpm._original_keywords,0)))&gt;0,
_xlfn.IFS(AND(_xlpm._exists,LEFT($E164,1)="+"),"+",_xlpm._exists,"*",NOT(_xlpm._exists),"")
)</f>
        <v/>
      </c>
      <c r="M164" s="33" t="str" cm="1">
        <f t="array" aca="1" ref="M164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($E164=CLASSIFICATION[[Keyword Aggr]:[Keyword Aggr]])*($D164=CLASSIFICATION[[Functional Scope Aggr]:[Functional Scope Aggr]])),
_xlpm._platform_keywords, _xlfn.TEXTSPLIT(SUBSTITUTE(SUBSTITUTE(VLOOKUP($D164,_xlpm._platform_range,3,FALSE),"+"&amp;CHAR(34),"+"),CHAR(34),""),", "),
_xlpm._exists, SUMPRODUCT(--ISNUMBER(MATCH(_xlpm._platform_keywords,_xlpm._original_keywords,0)))&gt;0,
_xlfn.IFS(AND(_xlpm._exists,LEFT($E164,1)="+"),"+",_xlpm._exists,"*",NOT(_xlpm._exists),"")
)</f>
        <v/>
      </c>
      <c r="N164" s="33" t="str" cm="1">
        <f t="array" aca="1" ref="N164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($E164=CLASSIFICATION[[Keyword Aggr]:[Keyword Aggr]])*($D164=CLASSIFICATION[[Functional Scope Aggr]:[Functional Scope Aggr]])),
_xlpm._platform_keywords, _xlfn.TEXTSPLIT(SUBSTITUTE(SUBSTITUTE(VLOOKUP($D164,_xlpm._platform_range,3,FALSE),"+"&amp;CHAR(34),"+"),CHAR(34),""),", "),
_xlpm._exists, SUMPRODUCT(--ISNUMBER(MATCH(_xlpm._platform_keywords,_xlpm._original_keywords,0)))&gt;0,
_xlfn.IFS(AND(_xlpm._exists,LEFT($E164,1)="+"),"+",_xlpm._exists,"*",NOT(_xlpm._exists),"")
)</f>
        <v/>
      </c>
      <c r="O164" s="33" t="str" cm="1">
        <f t="array" aca="1" ref="O164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($E164=CLASSIFICATION[[Keyword Aggr]:[Keyword Aggr]])*($D164=CLASSIFICATION[[Functional Scope Aggr]:[Functional Scope Aggr]])),
_xlpm._platform_keywords, _xlfn.TEXTSPLIT(SUBSTITUTE(SUBSTITUTE(VLOOKUP($D164,_xlpm._platform_range,3,FALSE),"+"&amp;CHAR(34),"+"),CHAR(34),""),", "),
_xlpm._exists, SUMPRODUCT(--ISNUMBER(MATCH(_xlpm._platform_keywords,_xlpm._original_keywords,0)))&gt;0,
_xlfn.IFS(AND(_xlpm._exists,LEFT($E164,1)="+"),"+",_xlpm._exists,"*",NOT(_xlpm._exists),"")
)</f>
        <v/>
      </c>
      <c r="Q164" s="33" t="str">
        <f t="shared" si="23"/>
        <v/>
      </c>
      <c r="R164" s="33" t="str">
        <f t="shared" si="24"/>
        <v/>
      </c>
      <c r="S164" s="33" t="str">
        <f t="shared" si="25"/>
        <v/>
      </c>
      <c r="T164" s="33" t="str">
        <f t="shared" si="26"/>
        <v/>
      </c>
      <c r="U164" s="33" t="str">
        <f t="shared" si="27"/>
        <v/>
      </c>
      <c r="V164" s="33" t="str">
        <f t="shared" si="28"/>
        <v/>
      </c>
    </row>
    <row r="165" spans="1:22" x14ac:dyDescent="0.25">
      <c r="A165" s="19"/>
      <c r="B165" t="s">
        <v>377</v>
      </c>
      <c r="C165" s="19" t="e" cm="1">
        <f t="array" ref="C165">_xlfn.TEXTSPLIT(A165,",")</f>
        <v>#VALUE!</v>
      </c>
      <c r="D165" s="19"/>
      <c r="E165" s="19"/>
      <c r="F165" s="36" t="e" cm="1" vm="1">
        <f t="array" ref="F165">_xlfn.TEXTJOIN(",",TRUE,_xlfn._xlws.FILTER(CLASSIFICATION[Keyword], ($E165=CLASSIFICATION[Keyword Aggr])*($D165=CLASSIFICATION[Functional Scope Aggr])))</f>
        <v>#VALUE!</v>
      </c>
      <c r="G165" s="32" t="e">
        <f t="shared" si="22"/>
        <v>#VALUE!</v>
      </c>
      <c r="H165" s="32" t="str">
        <f t="shared" si="22"/>
        <v/>
      </c>
      <c r="I165" s="32">
        <f t="shared" si="29"/>
        <v>0</v>
      </c>
      <c r="J165" s="33" t="str" cm="1">
        <f t="array" aca="1" ref="J165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($E165=CLASSIFICATION[[Keyword Aggr]:[Keyword Aggr]])*($D165=CLASSIFICATION[[Functional Scope Aggr]:[Functional Scope Aggr]])),
_xlpm._platform_keywords, _xlfn.TEXTSPLIT(SUBSTITUTE(SUBSTITUTE(VLOOKUP($D165,_xlpm._platform_range,3,FALSE),"+"&amp;CHAR(34),"+"),CHAR(34),""),", "),
_xlpm._exists, SUMPRODUCT(--ISNUMBER(MATCH(_xlpm._platform_keywords,_xlpm._original_keywords,0)))&gt;0,
_xlfn.IFS(AND(_xlpm._exists,LEFT($E165,1)="+"),"+",_xlpm._exists,"*",NOT(_xlpm._exists),"")
)</f>
        <v/>
      </c>
      <c r="K165" s="33" t="str" cm="1">
        <f t="array" aca="1" ref="K165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($E165=CLASSIFICATION[[Keyword Aggr]:[Keyword Aggr]])*($D165=CLASSIFICATION[[Functional Scope Aggr]:[Functional Scope Aggr]])),
_xlpm._platform_keywords, _xlfn.TEXTSPLIT(SUBSTITUTE(SUBSTITUTE(VLOOKUP($D165,_xlpm._platform_range,3,FALSE),"+"&amp;CHAR(34),"+"),CHAR(34),""),", "),
_xlpm._exists, SUMPRODUCT(--ISNUMBER(MATCH(_xlpm._platform_keywords,_xlpm._original_keywords,0)))&gt;0,
_xlfn.IFS(AND(_xlpm._exists,LEFT($E165,1)="+"),"+",_xlpm._exists,"*",NOT(_xlpm._exists),"")
)</f>
        <v/>
      </c>
      <c r="L165" s="33" t="str" cm="1">
        <f t="array" aca="1" ref="L165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($E165=CLASSIFICATION[[Keyword Aggr]:[Keyword Aggr]])*($D165=CLASSIFICATION[[Functional Scope Aggr]:[Functional Scope Aggr]])),
_xlpm._platform_keywords, _xlfn.TEXTSPLIT(SUBSTITUTE(SUBSTITUTE(VLOOKUP($D165,_xlpm._platform_range,3,FALSE),"+"&amp;CHAR(34),"+"),CHAR(34),""),", "),
_xlpm._exists, SUMPRODUCT(--ISNUMBER(MATCH(_xlpm._platform_keywords,_xlpm._original_keywords,0)))&gt;0,
_xlfn.IFS(AND(_xlpm._exists,LEFT($E165,1)="+"),"+",_xlpm._exists,"*",NOT(_xlpm._exists),"")
)</f>
        <v/>
      </c>
      <c r="M165" s="33" t="str" cm="1">
        <f t="array" aca="1" ref="M165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($E165=CLASSIFICATION[[Keyword Aggr]:[Keyword Aggr]])*($D165=CLASSIFICATION[[Functional Scope Aggr]:[Functional Scope Aggr]])),
_xlpm._platform_keywords, _xlfn.TEXTSPLIT(SUBSTITUTE(SUBSTITUTE(VLOOKUP($D165,_xlpm._platform_range,3,FALSE),"+"&amp;CHAR(34),"+"),CHAR(34),""),", "),
_xlpm._exists, SUMPRODUCT(--ISNUMBER(MATCH(_xlpm._platform_keywords,_xlpm._original_keywords,0)))&gt;0,
_xlfn.IFS(AND(_xlpm._exists,LEFT($E165,1)="+"),"+",_xlpm._exists,"*",NOT(_xlpm._exists),"")
)</f>
        <v/>
      </c>
      <c r="N165" s="33" t="str" cm="1">
        <f t="array" aca="1" ref="N165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($E165=CLASSIFICATION[[Keyword Aggr]:[Keyword Aggr]])*($D165=CLASSIFICATION[[Functional Scope Aggr]:[Functional Scope Aggr]])),
_xlpm._platform_keywords, _xlfn.TEXTSPLIT(SUBSTITUTE(SUBSTITUTE(VLOOKUP($D165,_xlpm._platform_range,3,FALSE),"+"&amp;CHAR(34),"+"),CHAR(34),""),", "),
_xlpm._exists, SUMPRODUCT(--ISNUMBER(MATCH(_xlpm._platform_keywords,_xlpm._original_keywords,0)))&gt;0,
_xlfn.IFS(AND(_xlpm._exists,LEFT($E165,1)="+"),"+",_xlpm._exists,"*",NOT(_xlpm._exists),"")
)</f>
        <v/>
      </c>
      <c r="O165" s="33" t="str" cm="1">
        <f t="array" aca="1" ref="O165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($E165=CLASSIFICATION[[Keyword Aggr]:[Keyword Aggr]])*($D165=CLASSIFICATION[[Functional Scope Aggr]:[Functional Scope Aggr]])),
_xlpm._platform_keywords, _xlfn.TEXTSPLIT(SUBSTITUTE(SUBSTITUTE(VLOOKUP($D165,_xlpm._platform_range,3,FALSE),"+"&amp;CHAR(34),"+"),CHAR(34),""),", "),
_xlpm._exists, SUMPRODUCT(--ISNUMBER(MATCH(_xlpm._platform_keywords,_xlpm._original_keywords,0)))&gt;0,
_xlfn.IFS(AND(_xlpm._exists,LEFT($E165,1)="+"),"+",_xlpm._exists,"*",NOT(_xlpm._exists),"")
)</f>
        <v/>
      </c>
      <c r="Q165" s="33" t="str">
        <f t="shared" si="23"/>
        <v/>
      </c>
      <c r="R165" s="33" t="str">
        <f t="shared" si="24"/>
        <v/>
      </c>
      <c r="S165" s="33" t="str">
        <f t="shared" si="25"/>
        <v/>
      </c>
      <c r="T165" s="33" t="str">
        <f t="shared" si="26"/>
        <v/>
      </c>
      <c r="U165" s="33" t="str">
        <f t="shared" si="27"/>
        <v/>
      </c>
      <c r="V165" s="33" t="str">
        <f t="shared" si="28"/>
        <v/>
      </c>
    </row>
    <row r="166" spans="1:22" x14ac:dyDescent="0.25">
      <c r="A166" s="19"/>
      <c r="B166" t="s">
        <v>377</v>
      </c>
      <c r="C166" s="19" t="e" cm="1">
        <f t="array" ref="C166">_xlfn.TEXTSPLIT(A166,",")</f>
        <v>#VALUE!</v>
      </c>
      <c r="D166" s="19"/>
      <c r="E166" s="19"/>
      <c r="F166" s="36" t="e" cm="1" vm="1">
        <f t="array" ref="F166">_xlfn.TEXTJOIN(",",TRUE,_xlfn._xlws.FILTER(CLASSIFICATION[Keyword], ($E166=CLASSIFICATION[Keyword Aggr])*($D166=CLASSIFICATION[Functional Scope Aggr])))</f>
        <v>#VALUE!</v>
      </c>
      <c r="G166" s="32" t="e">
        <f t="shared" si="22"/>
        <v>#VALUE!</v>
      </c>
      <c r="H166" s="32" t="str">
        <f t="shared" si="22"/>
        <v/>
      </c>
      <c r="I166" s="32">
        <f t="shared" si="29"/>
        <v>0</v>
      </c>
      <c r="J166" s="33" t="str" cm="1">
        <f t="array" aca="1" ref="J166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($E166=CLASSIFICATION[[Keyword Aggr]:[Keyword Aggr]])*($D166=CLASSIFICATION[[Functional Scope Aggr]:[Functional Scope Aggr]])),
_xlpm._platform_keywords, _xlfn.TEXTSPLIT(SUBSTITUTE(SUBSTITUTE(VLOOKUP($D166,_xlpm._platform_range,3,FALSE),"+"&amp;CHAR(34),"+"),CHAR(34),""),", "),
_xlpm._exists, SUMPRODUCT(--ISNUMBER(MATCH(_xlpm._platform_keywords,_xlpm._original_keywords,0)))&gt;0,
_xlfn.IFS(AND(_xlpm._exists,LEFT($E166,1)="+"),"+",_xlpm._exists,"*",NOT(_xlpm._exists),"")
)</f>
        <v/>
      </c>
      <c r="K166" s="33" t="str" cm="1">
        <f t="array" aca="1" ref="K166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($E166=CLASSIFICATION[[Keyword Aggr]:[Keyword Aggr]])*($D166=CLASSIFICATION[[Functional Scope Aggr]:[Functional Scope Aggr]])),
_xlpm._platform_keywords, _xlfn.TEXTSPLIT(SUBSTITUTE(SUBSTITUTE(VLOOKUP($D166,_xlpm._platform_range,3,FALSE),"+"&amp;CHAR(34),"+"),CHAR(34),""),", "),
_xlpm._exists, SUMPRODUCT(--ISNUMBER(MATCH(_xlpm._platform_keywords,_xlpm._original_keywords,0)))&gt;0,
_xlfn.IFS(AND(_xlpm._exists,LEFT($E166,1)="+"),"+",_xlpm._exists,"*",NOT(_xlpm._exists),"")
)</f>
        <v/>
      </c>
      <c r="L166" s="33" t="str" cm="1">
        <f t="array" aca="1" ref="L166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($E166=CLASSIFICATION[[Keyword Aggr]:[Keyword Aggr]])*($D166=CLASSIFICATION[[Functional Scope Aggr]:[Functional Scope Aggr]])),
_xlpm._platform_keywords, _xlfn.TEXTSPLIT(SUBSTITUTE(SUBSTITUTE(VLOOKUP($D166,_xlpm._platform_range,3,FALSE),"+"&amp;CHAR(34),"+"),CHAR(34),""),", "),
_xlpm._exists, SUMPRODUCT(--ISNUMBER(MATCH(_xlpm._platform_keywords,_xlpm._original_keywords,0)))&gt;0,
_xlfn.IFS(AND(_xlpm._exists,LEFT($E166,1)="+"),"+",_xlpm._exists,"*",NOT(_xlpm._exists),"")
)</f>
        <v/>
      </c>
      <c r="M166" s="33" t="str" cm="1">
        <f t="array" aca="1" ref="M166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($E166=CLASSIFICATION[[Keyword Aggr]:[Keyword Aggr]])*($D166=CLASSIFICATION[[Functional Scope Aggr]:[Functional Scope Aggr]])),
_xlpm._platform_keywords, _xlfn.TEXTSPLIT(SUBSTITUTE(SUBSTITUTE(VLOOKUP($D166,_xlpm._platform_range,3,FALSE),"+"&amp;CHAR(34),"+"),CHAR(34),""),", "),
_xlpm._exists, SUMPRODUCT(--ISNUMBER(MATCH(_xlpm._platform_keywords,_xlpm._original_keywords,0)))&gt;0,
_xlfn.IFS(AND(_xlpm._exists,LEFT($E166,1)="+"),"+",_xlpm._exists,"*",NOT(_xlpm._exists),"")
)</f>
        <v/>
      </c>
      <c r="N166" s="33" t="str" cm="1">
        <f t="array" aca="1" ref="N166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($E166=CLASSIFICATION[[Keyword Aggr]:[Keyword Aggr]])*($D166=CLASSIFICATION[[Functional Scope Aggr]:[Functional Scope Aggr]])),
_xlpm._platform_keywords, _xlfn.TEXTSPLIT(SUBSTITUTE(SUBSTITUTE(VLOOKUP($D166,_xlpm._platform_range,3,FALSE),"+"&amp;CHAR(34),"+"),CHAR(34),""),", "),
_xlpm._exists, SUMPRODUCT(--ISNUMBER(MATCH(_xlpm._platform_keywords,_xlpm._original_keywords,0)))&gt;0,
_xlfn.IFS(AND(_xlpm._exists,LEFT($E166,1)="+"),"+",_xlpm._exists,"*",NOT(_xlpm._exists),"")
)</f>
        <v/>
      </c>
      <c r="O166" s="33" t="str" cm="1">
        <f t="array" aca="1" ref="O166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($E166=CLASSIFICATION[[Keyword Aggr]:[Keyword Aggr]])*($D166=CLASSIFICATION[[Functional Scope Aggr]:[Functional Scope Aggr]])),
_xlpm._platform_keywords, _xlfn.TEXTSPLIT(SUBSTITUTE(SUBSTITUTE(VLOOKUP($D166,_xlpm._platform_range,3,FALSE),"+"&amp;CHAR(34),"+"),CHAR(34),""),", "),
_xlpm._exists, SUMPRODUCT(--ISNUMBER(MATCH(_xlpm._platform_keywords,_xlpm._original_keywords,0)))&gt;0,
_xlfn.IFS(AND(_xlpm._exists,LEFT($E166,1)="+"),"+",_xlpm._exists,"*",NOT(_xlpm._exists),"")
)</f>
        <v/>
      </c>
      <c r="Q166" s="33" t="str">
        <f t="shared" si="23"/>
        <v/>
      </c>
      <c r="R166" s="33" t="str">
        <f t="shared" si="24"/>
        <v/>
      </c>
      <c r="S166" s="33" t="str">
        <f t="shared" si="25"/>
        <v/>
      </c>
      <c r="T166" s="33" t="str">
        <f t="shared" si="26"/>
        <v/>
      </c>
      <c r="U166" s="33" t="str">
        <f t="shared" si="27"/>
        <v/>
      </c>
      <c r="V166" s="33" t="str">
        <f t="shared" si="28"/>
        <v/>
      </c>
    </row>
    <row r="167" spans="1:22" x14ac:dyDescent="0.25">
      <c r="A167" s="19"/>
      <c r="B167" t="s">
        <v>377</v>
      </c>
      <c r="C167" s="19" t="e" cm="1">
        <f t="array" ref="C167">_xlfn.TEXTSPLIT(A167,",")</f>
        <v>#VALUE!</v>
      </c>
      <c r="D167" s="19"/>
      <c r="E167" s="19"/>
      <c r="F167" s="36" t="e" cm="1" vm="1">
        <f t="array" ref="F167">_xlfn.TEXTJOIN(",",TRUE,_xlfn._xlws.FILTER(CLASSIFICATION[Keyword], ($E167=CLASSIFICATION[Keyword Aggr])*($D167=CLASSIFICATION[Functional Scope Aggr])))</f>
        <v>#VALUE!</v>
      </c>
      <c r="G167" s="32" t="e">
        <f t="shared" si="22"/>
        <v>#VALUE!</v>
      </c>
      <c r="H167" s="32" t="str">
        <f t="shared" si="22"/>
        <v/>
      </c>
      <c r="I167" s="32">
        <f t="shared" si="29"/>
        <v>0</v>
      </c>
      <c r="J167" s="33" t="str" cm="1">
        <f t="array" aca="1" ref="J167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($E167=CLASSIFICATION[[Keyword Aggr]:[Keyword Aggr]])*($D167=CLASSIFICATION[[Functional Scope Aggr]:[Functional Scope Aggr]])),
_xlpm._platform_keywords, _xlfn.TEXTSPLIT(SUBSTITUTE(SUBSTITUTE(VLOOKUP($D167,_xlpm._platform_range,3,FALSE),"+"&amp;CHAR(34),"+"),CHAR(34),""),", "),
_xlpm._exists, SUMPRODUCT(--ISNUMBER(MATCH(_xlpm._platform_keywords,_xlpm._original_keywords,0)))&gt;0,
_xlfn.IFS(AND(_xlpm._exists,LEFT($E167,1)="+"),"+",_xlpm._exists,"*",NOT(_xlpm._exists),"")
)</f>
        <v/>
      </c>
      <c r="K167" s="33" t="str" cm="1">
        <f t="array" aca="1" ref="K167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($E167=CLASSIFICATION[[Keyword Aggr]:[Keyword Aggr]])*($D167=CLASSIFICATION[[Functional Scope Aggr]:[Functional Scope Aggr]])),
_xlpm._platform_keywords, _xlfn.TEXTSPLIT(SUBSTITUTE(SUBSTITUTE(VLOOKUP($D167,_xlpm._platform_range,3,FALSE),"+"&amp;CHAR(34),"+"),CHAR(34),""),", "),
_xlpm._exists, SUMPRODUCT(--ISNUMBER(MATCH(_xlpm._platform_keywords,_xlpm._original_keywords,0)))&gt;0,
_xlfn.IFS(AND(_xlpm._exists,LEFT($E167,1)="+"),"+",_xlpm._exists,"*",NOT(_xlpm._exists),"")
)</f>
        <v/>
      </c>
      <c r="L167" s="33" t="str" cm="1">
        <f t="array" aca="1" ref="L167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($E167=CLASSIFICATION[[Keyword Aggr]:[Keyword Aggr]])*($D167=CLASSIFICATION[[Functional Scope Aggr]:[Functional Scope Aggr]])),
_xlpm._platform_keywords, _xlfn.TEXTSPLIT(SUBSTITUTE(SUBSTITUTE(VLOOKUP($D167,_xlpm._platform_range,3,FALSE),"+"&amp;CHAR(34),"+"),CHAR(34),""),", "),
_xlpm._exists, SUMPRODUCT(--ISNUMBER(MATCH(_xlpm._platform_keywords,_xlpm._original_keywords,0)))&gt;0,
_xlfn.IFS(AND(_xlpm._exists,LEFT($E167,1)="+"),"+",_xlpm._exists,"*",NOT(_xlpm._exists),"")
)</f>
        <v/>
      </c>
      <c r="M167" s="33" t="str" cm="1">
        <f t="array" aca="1" ref="M167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($E167=CLASSIFICATION[[Keyword Aggr]:[Keyword Aggr]])*($D167=CLASSIFICATION[[Functional Scope Aggr]:[Functional Scope Aggr]])),
_xlpm._platform_keywords, _xlfn.TEXTSPLIT(SUBSTITUTE(SUBSTITUTE(VLOOKUP($D167,_xlpm._platform_range,3,FALSE),"+"&amp;CHAR(34),"+"),CHAR(34),""),", "),
_xlpm._exists, SUMPRODUCT(--ISNUMBER(MATCH(_xlpm._platform_keywords,_xlpm._original_keywords,0)))&gt;0,
_xlfn.IFS(AND(_xlpm._exists,LEFT($E167,1)="+"),"+",_xlpm._exists,"*",NOT(_xlpm._exists),"")
)</f>
        <v/>
      </c>
      <c r="N167" s="33" t="str" cm="1">
        <f t="array" aca="1" ref="N167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($E167=CLASSIFICATION[[Keyword Aggr]:[Keyword Aggr]])*($D167=CLASSIFICATION[[Functional Scope Aggr]:[Functional Scope Aggr]])),
_xlpm._platform_keywords, _xlfn.TEXTSPLIT(SUBSTITUTE(SUBSTITUTE(VLOOKUP($D167,_xlpm._platform_range,3,FALSE),"+"&amp;CHAR(34),"+"),CHAR(34),""),", "),
_xlpm._exists, SUMPRODUCT(--ISNUMBER(MATCH(_xlpm._platform_keywords,_xlpm._original_keywords,0)))&gt;0,
_xlfn.IFS(AND(_xlpm._exists,LEFT($E167,1)="+"),"+",_xlpm._exists,"*",NOT(_xlpm._exists),"")
)</f>
        <v/>
      </c>
      <c r="O167" s="33" t="str" cm="1">
        <f t="array" aca="1" ref="O167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($E167=CLASSIFICATION[[Keyword Aggr]:[Keyword Aggr]])*($D167=CLASSIFICATION[[Functional Scope Aggr]:[Functional Scope Aggr]])),
_xlpm._platform_keywords, _xlfn.TEXTSPLIT(SUBSTITUTE(SUBSTITUTE(VLOOKUP($D167,_xlpm._platform_range,3,FALSE),"+"&amp;CHAR(34),"+"),CHAR(34),""),", "),
_xlpm._exists, SUMPRODUCT(--ISNUMBER(MATCH(_xlpm._platform_keywords,_xlpm._original_keywords,0)))&gt;0,
_xlfn.IFS(AND(_xlpm._exists,LEFT($E167,1)="+"),"+",_xlpm._exists,"*",NOT(_xlpm._exists),"")
)</f>
        <v/>
      </c>
      <c r="Q167" s="33" t="str">
        <f t="shared" si="23"/>
        <v/>
      </c>
      <c r="R167" s="33" t="str">
        <f t="shared" si="24"/>
        <v/>
      </c>
      <c r="S167" s="33" t="str">
        <f t="shared" si="25"/>
        <v/>
      </c>
      <c r="T167" s="33" t="str">
        <f t="shared" si="26"/>
        <v/>
      </c>
      <c r="U167" s="33" t="str">
        <f t="shared" si="27"/>
        <v/>
      </c>
      <c r="V167" s="33" t="str">
        <f t="shared" si="28"/>
        <v/>
      </c>
    </row>
    <row r="168" spans="1:22" x14ac:dyDescent="0.25">
      <c r="A168" s="19"/>
      <c r="B168" t="s">
        <v>377</v>
      </c>
      <c r="C168" s="19" t="e" cm="1">
        <f t="array" ref="C168">_xlfn.TEXTSPLIT(A168,",")</f>
        <v>#VALUE!</v>
      </c>
      <c r="D168" s="19"/>
      <c r="E168" s="19"/>
      <c r="F168" s="36" t="e" cm="1" vm="1">
        <f t="array" ref="F168">_xlfn.TEXTJOIN(",",TRUE,_xlfn._xlws.FILTER(CLASSIFICATION[Keyword], ($E168=CLASSIFICATION[Keyword Aggr])*($D168=CLASSIFICATION[Functional Scope Aggr])))</f>
        <v>#VALUE!</v>
      </c>
      <c r="G168" s="32" t="e">
        <f t="shared" si="22"/>
        <v>#VALUE!</v>
      </c>
      <c r="H168" s="32" t="str">
        <f t="shared" si="22"/>
        <v/>
      </c>
      <c r="I168" s="32">
        <f t="shared" si="29"/>
        <v>0</v>
      </c>
      <c r="J168" s="33" t="str" cm="1">
        <f t="array" aca="1" ref="J168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($E168=CLASSIFICATION[[Keyword Aggr]:[Keyword Aggr]])*($D168=CLASSIFICATION[[Functional Scope Aggr]:[Functional Scope Aggr]])),
_xlpm._platform_keywords, _xlfn.TEXTSPLIT(SUBSTITUTE(SUBSTITUTE(VLOOKUP($D168,_xlpm._platform_range,3,FALSE),"+"&amp;CHAR(34),"+"),CHAR(34),""),", "),
_xlpm._exists, SUMPRODUCT(--ISNUMBER(MATCH(_xlpm._platform_keywords,_xlpm._original_keywords,0)))&gt;0,
_xlfn.IFS(AND(_xlpm._exists,LEFT($E168,1)="+"),"+",_xlpm._exists,"*",NOT(_xlpm._exists),"")
)</f>
        <v/>
      </c>
      <c r="K168" s="33" t="str" cm="1">
        <f t="array" aca="1" ref="K168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($E168=CLASSIFICATION[[Keyword Aggr]:[Keyword Aggr]])*($D168=CLASSIFICATION[[Functional Scope Aggr]:[Functional Scope Aggr]])),
_xlpm._platform_keywords, _xlfn.TEXTSPLIT(SUBSTITUTE(SUBSTITUTE(VLOOKUP($D168,_xlpm._platform_range,3,FALSE),"+"&amp;CHAR(34),"+"),CHAR(34),""),", "),
_xlpm._exists, SUMPRODUCT(--ISNUMBER(MATCH(_xlpm._platform_keywords,_xlpm._original_keywords,0)))&gt;0,
_xlfn.IFS(AND(_xlpm._exists,LEFT($E168,1)="+"),"+",_xlpm._exists,"*",NOT(_xlpm._exists),"")
)</f>
        <v/>
      </c>
      <c r="L168" s="33" t="str" cm="1">
        <f t="array" aca="1" ref="L168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($E168=CLASSIFICATION[[Keyword Aggr]:[Keyword Aggr]])*($D168=CLASSIFICATION[[Functional Scope Aggr]:[Functional Scope Aggr]])),
_xlpm._platform_keywords, _xlfn.TEXTSPLIT(SUBSTITUTE(SUBSTITUTE(VLOOKUP($D168,_xlpm._platform_range,3,FALSE),"+"&amp;CHAR(34),"+"),CHAR(34),""),", "),
_xlpm._exists, SUMPRODUCT(--ISNUMBER(MATCH(_xlpm._platform_keywords,_xlpm._original_keywords,0)))&gt;0,
_xlfn.IFS(AND(_xlpm._exists,LEFT($E168,1)="+"),"+",_xlpm._exists,"*",NOT(_xlpm._exists),"")
)</f>
        <v/>
      </c>
      <c r="M168" s="33" t="str" cm="1">
        <f t="array" aca="1" ref="M168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($E168=CLASSIFICATION[[Keyword Aggr]:[Keyword Aggr]])*($D168=CLASSIFICATION[[Functional Scope Aggr]:[Functional Scope Aggr]])),
_xlpm._platform_keywords, _xlfn.TEXTSPLIT(SUBSTITUTE(SUBSTITUTE(VLOOKUP($D168,_xlpm._platform_range,3,FALSE),"+"&amp;CHAR(34),"+"),CHAR(34),""),", "),
_xlpm._exists, SUMPRODUCT(--ISNUMBER(MATCH(_xlpm._platform_keywords,_xlpm._original_keywords,0)))&gt;0,
_xlfn.IFS(AND(_xlpm._exists,LEFT($E168,1)="+"),"+",_xlpm._exists,"*",NOT(_xlpm._exists),"")
)</f>
        <v/>
      </c>
      <c r="N168" s="33" t="str" cm="1">
        <f t="array" aca="1" ref="N168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($E168=CLASSIFICATION[[Keyword Aggr]:[Keyword Aggr]])*($D168=CLASSIFICATION[[Functional Scope Aggr]:[Functional Scope Aggr]])),
_xlpm._platform_keywords, _xlfn.TEXTSPLIT(SUBSTITUTE(SUBSTITUTE(VLOOKUP($D168,_xlpm._platform_range,3,FALSE),"+"&amp;CHAR(34),"+"),CHAR(34),""),", "),
_xlpm._exists, SUMPRODUCT(--ISNUMBER(MATCH(_xlpm._platform_keywords,_xlpm._original_keywords,0)))&gt;0,
_xlfn.IFS(AND(_xlpm._exists,LEFT($E168,1)="+"),"+",_xlpm._exists,"*",NOT(_xlpm._exists),"")
)</f>
        <v/>
      </c>
      <c r="O168" s="33" t="str" cm="1">
        <f t="array" aca="1" ref="O168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($E168=CLASSIFICATION[[Keyword Aggr]:[Keyword Aggr]])*($D168=CLASSIFICATION[[Functional Scope Aggr]:[Functional Scope Aggr]])),
_xlpm._platform_keywords, _xlfn.TEXTSPLIT(SUBSTITUTE(SUBSTITUTE(VLOOKUP($D168,_xlpm._platform_range,3,FALSE),"+"&amp;CHAR(34),"+"),CHAR(34),""),", "),
_xlpm._exists, SUMPRODUCT(--ISNUMBER(MATCH(_xlpm._platform_keywords,_xlpm._original_keywords,0)))&gt;0,
_xlfn.IFS(AND(_xlpm._exists,LEFT($E168,1)="+"),"+",_xlpm._exists,"*",NOT(_xlpm._exists),"")
)</f>
        <v/>
      </c>
      <c r="Q168" s="33" t="str">
        <f t="shared" si="23"/>
        <v/>
      </c>
      <c r="R168" s="33" t="str">
        <f t="shared" si="24"/>
        <v/>
      </c>
      <c r="S168" s="33" t="str">
        <f t="shared" si="25"/>
        <v/>
      </c>
      <c r="T168" s="33" t="str">
        <f t="shared" si="26"/>
        <v/>
      </c>
      <c r="U168" s="33" t="str">
        <f t="shared" si="27"/>
        <v/>
      </c>
      <c r="V168" s="33" t="str">
        <f t="shared" si="28"/>
        <v/>
      </c>
    </row>
    <row r="169" spans="1:22" x14ac:dyDescent="0.25">
      <c r="A169" s="19"/>
      <c r="B169" t="s">
        <v>377</v>
      </c>
      <c r="C169" s="19" t="e" cm="1">
        <f t="array" ref="C169">_xlfn.TEXTSPLIT(A169,",")</f>
        <v>#VALUE!</v>
      </c>
      <c r="D169" s="19"/>
      <c r="E169" s="19"/>
      <c r="F169" s="36" t="e" cm="1" vm="1">
        <f t="array" ref="F169">_xlfn.TEXTJOIN(",",TRUE,_xlfn._xlws.FILTER(CLASSIFICATION[Keyword], ($E169=CLASSIFICATION[Keyword Aggr])*($D169=CLASSIFICATION[Functional Scope Aggr])))</f>
        <v>#VALUE!</v>
      </c>
      <c r="G169" s="32" t="e">
        <f t="shared" si="22"/>
        <v>#VALUE!</v>
      </c>
      <c r="H169" s="32" t="str">
        <f t="shared" si="22"/>
        <v/>
      </c>
      <c r="I169" s="32">
        <f t="shared" si="29"/>
        <v>0</v>
      </c>
      <c r="J169" s="33" t="str" cm="1">
        <f t="array" aca="1" ref="J169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($E169=CLASSIFICATION[[Keyword Aggr]:[Keyword Aggr]])*($D169=CLASSIFICATION[[Functional Scope Aggr]:[Functional Scope Aggr]])),
_xlpm._platform_keywords, _xlfn.TEXTSPLIT(SUBSTITUTE(SUBSTITUTE(VLOOKUP($D169,_xlpm._platform_range,3,FALSE),"+"&amp;CHAR(34),"+"),CHAR(34),""),", "),
_xlpm._exists, SUMPRODUCT(--ISNUMBER(MATCH(_xlpm._platform_keywords,_xlpm._original_keywords,0)))&gt;0,
_xlfn.IFS(AND(_xlpm._exists,LEFT($E169,1)="+"),"+",_xlpm._exists,"*",NOT(_xlpm._exists),"")
)</f>
        <v/>
      </c>
      <c r="K169" s="33" t="str" cm="1">
        <f t="array" aca="1" ref="K169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($E169=CLASSIFICATION[[Keyword Aggr]:[Keyword Aggr]])*($D169=CLASSIFICATION[[Functional Scope Aggr]:[Functional Scope Aggr]])),
_xlpm._platform_keywords, _xlfn.TEXTSPLIT(SUBSTITUTE(SUBSTITUTE(VLOOKUP($D169,_xlpm._platform_range,3,FALSE),"+"&amp;CHAR(34),"+"),CHAR(34),""),", "),
_xlpm._exists, SUMPRODUCT(--ISNUMBER(MATCH(_xlpm._platform_keywords,_xlpm._original_keywords,0)))&gt;0,
_xlfn.IFS(AND(_xlpm._exists,LEFT($E169,1)="+"),"+",_xlpm._exists,"*",NOT(_xlpm._exists),"")
)</f>
        <v/>
      </c>
      <c r="L169" s="33" t="str" cm="1">
        <f t="array" aca="1" ref="L169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($E169=CLASSIFICATION[[Keyword Aggr]:[Keyword Aggr]])*($D169=CLASSIFICATION[[Functional Scope Aggr]:[Functional Scope Aggr]])),
_xlpm._platform_keywords, _xlfn.TEXTSPLIT(SUBSTITUTE(SUBSTITUTE(VLOOKUP($D169,_xlpm._platform_range,3,FALSE),"+"&amp;CHAR(34),"+"),CHAR(34),""),", "),
_xlpm._exists, SUMPRODUCT(--ISNUMBER(MATCH(_xlpm._platform_keywords,_xlpm._original_keywords,0)))&gt;0,
_xlfn.IFS(AND(_xlpm._exists,LEFT($E169,1)="+"),"+",_xlpm._exists,"*",NOT(_xlpm._exists),"")
)</f>
        <v/>
      </c>
      <c r="M169" s="33" t="str" cm="1">
        <f t="array" aca="1" ref="M169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($E169=CLASSIFICATION[[Keyword Aggr]:[Keyword Aggr]])*($D169=CLASSIFICATION[[Functional Scope Aggr]:[Functional Scope Aggr]])),
_xlpm._platform_keywords, _xlfn.TEXTSPLIT(SUBSTITUTE(SUBSTITUTE(VLOOKUP($D169,_xlpm._platform_range,3,FALSE),"+"&amp;CHAR(34),"+"),CHAR(34),""),", "),
_xlpm._exists, SUMPRODUCT(--ISNUMBER(MATCH(_xlpm._platform_keywords,_xlpm._original_keywords,0)))&gt;0,
_xlfn.IFS(AND(_xlpm._exists,LEFT($E169,1)="+"),"+",_xlpm._exists,"*",NOT(_xlpm._exists),"")
)</f>
        <v/>
      </c>
      <c r="N169" s="33" t="str" cm="1">
        <f t="array" aca="1" ref="N169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($E169=CLASSIFICATION[[Keyword Aggr]:[Keyword Aggr]])*($D169=CLASSIFICATION[[Functional Scope Aggr]:[Functional Scope Aggr]])),
_xlpm._platform_keywords, _xlfn.TEXTSPLIT(SUBSTITUTE(SUBSTITUTE(VLOOKUP($D169,_xlpm._platform_range,3,FALSE),"+"&amp;CHAR(34),"+"),CHAR(34),""),", "),
_xlpm._exists, SUMPRODUCT(--ISNUMBER(MATCH(_xlpm._platform_keywords,_xlpm._original_keywords,0)))&gt;0,
_xlfn.IFS(AND(_xlpm._exists,LEFT($E169,1)="+"),"+",_xlpm._exists,"*",NOT(_xlpm._exists),"")
)</f>
        <v/>
      </c>
      <c r="O169" s="33" t="str" cm="1">
        <f t="array" aca="1" ref="O169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($E169=CLASSIFICATION[[Keyword Aggr]:[Keyword Aggr]])*($D169=CLASSIFICATION[[Functional Scope Aggr]:[Functional Scope Aggr]])),
_xlpm._platform_keywords, _xlfn.TEXTSPLIT(SUBSTITUTE(SUBSTITUTE(VLOOKUP($D169,_xlpm._platform_range,3,FALSE),"+"&amp;CHAR(34),"+"),CHAR(34),""),", "),
_xlpm._exists, SUMPRODUCT(--ISNUMBER(MATCH(_xlpm._platform_keywords,_xlpm._original_keywords,0)))&gt;0,
_xlfn.IFS(AND(_xlpm._exists,LEFT($E169,1)="+"),"+",_xlpm._exists,"*",NOT(_xlpm._exists),"")
)</f>
        <v/>
      </c>
      <c r="Q169" s="33" t="str">
        <f t="shared" si="23"/>
        <v/>
      </c>
      <c r="R169" s="33" t="str">
        <f t="shared" si="24"/>
        <v/>
      </c>
      <c r="S169" s="33" t="str">
        <f t="shared" si="25"/>
        <v/>
      </c>
      <c r="T169" s="33" t="str">
        <f t="shared" si="26"/>
        <v/>
      </c>
      <c r="U169" s="33" t="str">
        <f t="shared" si="27"/>
        <v/>
      </c>
      <c r="V169" s="33" t="str">
        <f t="shared" si="28"/>
        <v/>
      </c>
    </row>
    <row r="170" spans="1:22" x14ac:dyDescent="0.25">
      <c r="A170" s="19"/>
      <c r="B170" t="s">
        <v>377</v>
      </c>
      <c r="C170" s="19" t="e" cm="1">
        <f t="array" ref="C170">_xlfn.TEXTSPLIT(A170,",")</f>
        <v>#VALUE!</v>
      </c>
      <c r="D170" s="19"/>
      <c r="E170" s="19"/>
      <c r="F170" s="36" t="e" cm="1" vm="1">
        <f t="array" ref="F170">_xlfn.TEXTJOIN(",",TRUE,_xlfn._xlws.FILTER(CLASSIFICATION[Keyword], ($E170=CLASSIFICATION[Keyword Aggr])*($D170=CLASSIFICATION[Functional Scope Aggr])))</f>
        <v>#VALUE!</v>
      </c>
      <c r="G170" s="32" t="e">
        <f t="shared" si="22"/>
        <v>#VALUE!</v>
      </c>
      <c r="H170" s="32" t="str">
        <f t="shared" si="22"/>
        <v/>
      </c>
      <c r="I170" s="32">
        <f t="shared" si="29"/>
        <v>0</v>
      </c>
      <c r="J170" s="33" t="str" cm="1">
        <f t="array" aca="1" ref="J170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($E170=CLASSIFICATION[[Keyword Aggr]:[Keyword Aggr]])*($D170=CLASSIFICATION[[Functional Scope Aggr]:[Functional Scope Aggr]])),
_xlpm._platform_keywords, _xlfn.TEXTSPLIT(SUBSTITUTE(SUBSTITUTE(VLOOKUP($D170,_xlpm._platform_range,3,FALSE),"+"&amp;CHAR(34),"+"),CHAR(34),""),", "),
_xlpm._exists, SUMPRODUCT(--ISNUMBER(MATCH(_xlpm._platform_keywords,_xlpm._original_keywords,0)))&gt;0,
_xlfn.IFS(AND(_xlpm._exists,LEFT($E170,1)="+"),"+",_xlpm._exists,"*",NOT(_xlpm._exists),"")
)</f>
        <v/>
      </c>
      <c r="K170" s="33" t="str" cm="1">
        <f t="array" aca="1" ref="K170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($E170=CLASSIFICATION[[Keyword Aggr]:[Keyword Aggr]])*($D170=CLASSIFICATION[[Functional Scope Aggr]:[Functional Scope Aggr]])),
_xlpm._platform_keywords, _xlfn.TEXTSPLIT(SUBSTITUTE(SUBSTITUTE(VLOOKUP($D170,_xlpm._platform_range,3,FALSE),"+"&amp;CHAR(34),"+"),CHAR(34),""),", "),
_xlpm._exists, SUMPRODUCT(--ISNUMBER(MATCH(_xlpm._platform_keywords,_xlpm._original_keywords,0)))&gt;0,
_xlfn.IFS(AND(_xlpm._exists,LEFT($E170,1)="+"),"+",_xlpm._exists,"*",NOT(_xlpm._exists),"")
)</f>
        <v/>
      </c>
      <c r="L170" s="33" t="str" cm="1">
        <f t="array" aca="1" ref="L170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($E170=CLASSIFICATION[[Keyword Aggr]:[Keyword Aggr]])*($D170=CLASSIFICATION[[Functional Scope Aggr]:[Functional Scope Aggr]])),
_xlpm._platform_keywords, _xlfn.TEXTSPLIT(SUBSTITUTE(SUBSTITUTE(VLOOKUP($D170,_xlpm._platform_range,3,FALSE),"+"&amp;CHAR(34),"+"),CHAR(34),""),", "),
_xlpm._exists, SUMPRODUCT(--ISNUMBER(MATCH(_xlpm._platform_keywords,_xlpm._original_keywords,0)))&gt;0,
_xlfn.IFS(AND(_xlpm._exists,LEFT($E170,1)="+"),"+",_xlpm._exists,"*",NOT(_xlpm._exists),"")
)</f>
        <v/>
      </c>
      <c r="M170" s="33" t="str" cm="1">
        <f t="array" aca="1" ref="M170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($E170=CLASSIFICATION[[Keyword Aggr]:[Keyword Aggr]])*($D170=CLASSIFICATION[[Functional Scope Aggr]:[Functional Scope Aggr]])),
_xlpm._platform_keywords, _xlfn.TEXTSPLIT(SUBSTITUTE(SUBSTITUTE(VLOOKUP($D170,_xlpm._platform_range,3,FALSE),"+"&amp;CHAR(34),"+"),CHAR(34),""),", "),
_xlpm._exists, SUMPRODUCT(--ISNUMBER(MATCH(_xlpm._platform_keywords,_xlpm._original_keywords,0)))&gt;0,
_xlfn.IFS(AND(_xlpm._exists,LEFT($E170,1)="+"),"+",_xlpm._exists,"*",NOT(_xlpm._exists),"")
)</f>
        <v/>
      </c>
      <c r="N170" s="33" t="str" cm="1">
        <f t="array" aca="1" ref="N170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($E170=CLASSIFICATION[[Keyword Aggr]:[Keyword Aggr]])*($D170=CLASSIFICATION[[Functional Scope Aggr]:[Functional Scope Aggr]])),
_xlpm._platform_keywords, _xlfn.TEXTSPLIT(SUBSTITUTE(SUBSTITUTE(VLOOKUP($D170,_xlpm._platform_range,3,FALSE),"+"&amp;CHAR(34),"+"),CHAR(34),""),", "),
_xlpm._exists, SUMPRODUCT(--ISNUMBER(MATCH(_xlpm._platform_keywords,_xlpm._original_keywords,0)))&gt;0,
_xlfn.IFS(AND(_xlpm._exists,LEFT($E170,1)="+"),"+",_xlpm._exists,"*",NOT(_xlpm._exists),"")
)</f>
        <v/>
      </c>
      <c r="O170" s="33" t="str" cm="1">
        <f t="array" aca="1" ref="O170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($E170=CLASSIFICATION[[Keyword Aggr]:[Keyword Aggr]])*($D170=CLASSIFICATION[[Functional Scope Aggr]:[Functional Scope Aggr]])),
_xlpm._platform_keywords, _xlfn.TEXTSPLIT(SUBSTITUTE(SUBSTITUTE(VLOOKUP($D170,_xlpm._platform_range,3,FALSE),"+"&amp;CHAR(34),"+"),CHAR(34),""),", "),
_xlpm._exists, SUMPRODUCT(--ISNUMBER(MATCH(_xlpm._platform_keywords,_xlpm._original_keywords,0)))&gt;0,
_xlfn.IFS(AND(_xlpm._exists,LEFT($E170,1)="+"),"+",_xlpm._exists,"*",NOT(_xlpm._exists),"")
)</f>
        <v/>
      </c>
      <c r="Q170" s="33" t="str">
        <f t="shared" si="23"/>
        <v/>
      </c>
      <c r="R170" s="33" t="str">
        <f t="shared" si="24"/>
        <v/>
      </c>
      <c r="S170" s="33" t="str">
        <f t="shared" si="25"/>
        <v/>
      </c>
      <c r="T170" s="33" t="str">
        <f t="shared" si="26"/>
        <v/>
      </c>
      <c r="U170" s="33" t="str">
        <f t="shared" si="27"/>
        <v/>
      </c>
      <c r="V170" s="33" t="str">
        <f t="shared" si="28"/>
        <v/>
      </c>
    </row>
    <row r="171" spans="1:22" x14ac:dyDescent="0.25">
      <c r="A171" s="19"/>
      <c r="B171" t="s">
        <v>377</v>
      </c>
      <c r="C171" s="19" t="e" cm="1">
        <f t="array" ref="C171">_xlfn.TEXTSPLIT(A171,",")</f>
        <v>#VALUE!</v>
      </c>
      <c r="D171" s="19"/>
      <c r="E171" s="19"/>
      <c r="F171" s="36" t="e" cm="1" vm="1">
        <f t="array" ref="F171">_xlfn.TEXTJOIN(",",TRUE,_xlfn._xlws.FILTER(CLASSIFICATION[Keyword], ($E171=CLASSIFICATION[Keyword Aggr])*($D171=CLASSIFICATION[Functional Scope Aggr])))</f>
        <v>#VALUE!</v>
      </c>
      <c r="G171" s="32" t="e">
        <f t="shared" si="22"/>
        <v>#VALUE!</v>
      </c>
      <c r="H171" s="32" t="str">
        <f t="shared" si="22"/>
        <v/>
      </c>
      <c r="I171" s="32">
        <f t="shared" si="29"/>
        <v>0</v>
      </c>
      <c r="J171" s="33" t="str" cm="1">
        <f t="array" aca="1" ref="J171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($E171=CLASSIFICATION[[Keyword Aggr]:[Keyword Aggr]])*($D171=CLASSIFICATION[[Functional Scope Aggr]:[Functional Scope Aggr]])),
_xlpm._platform_keywords, _xlfn.TEXTSPLIT(SUBSTITUTE(SUBSTITUTE(VLOOKUP($D171,_xlpm._platform_range,3,FALSE),"+"&amp;CHAR(34),"+"),CHAR(34),""),", "),
_xlpm._exists, SUMPRODUCT(--ISNUMBER(MATCH(_xlpm._platform_keywords,_xlpm._original_keywords,0)))&gt;0,
_xlfn.IFS(AND(_xlpm._exists,LEFT($E171,1)="+"),"+",_xlpm._exists,"*",NOT(_xlpm._exists),"")
)</f>
        <v/>
      </c>
      <c r="K171" s="33" t="str" cm="1">
        <f t="array" aca="1" ref="K171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($E171=CLASSIFICATION[[Keyword Aggr]:[Keyword Aggr]])*($D171=CLASSIFICATION[[Functional Scope Aggr]:[Functional Scope Aggr]])),
_xlpm._platform_keywords, _xlfn.TEXTSPLIT(SUBSTITUTE(SUBSTITUTE(VLOOKUP($D171,_xlpm._platform_range,3,FALSE),"+"&amp;CHAR(34),"+"),CHAR(34),""),", "),
_xlpm._exists, SUMPRODUCT(--ISNUMBER(MATCH(_xlpm._platform_keywords,_xlpm._original_keywords,0)))&gt;0,
_xlfn.IFS(AND(_xlpm._exists,LEFT($E171,1)="+"),"+",_xlpm._exists,"*",NOT(_xlpm._exists),"")
)</f>
        <v/>
      </c>
      <c r="L171" s="33" t="str" cm="1">
        <f t="array" aca="1" ref="L171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($E171=CLASSIFICATION[[Keyword Aggr]:[Keyword Aggr]])*($D171=CLASSIFICATION[[Functional Scope Aggr]:[Functional Scope Aggr]])),
_xlpm._platform_keywords, _xlfn.TEXTSPLIT(SUBSTITUTE(SUBSTITUTE(VLOOKUP($D171,_xlpm._platform_range,3,FALSE),"+"&amp;CHAR(34),"+"),CHAR(34),""),", "),
_xlpm._exists, SUMPRODUCT(--ISNUMBER(MATCH(_xlpm._platform_keywords,_xlpm._original_keywords,0)))&gt;0,
_xlfn.IFS(AND(_xlpm._exists,LEFT($E171,1)="+"),"+",_xlpm._exists,"*",NOT(_xlpm._exists),"")
)</f>
        <v/>
      </c>
      <c r="M171" s="33" t="str" cm="1">
        <f t="array" aca="1" ref="M171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($E171=CLASSIFICATION[[Keyword Aggr]:[Keyword Aggr]])*($D171=CLASSIFICATION[[Functional Scope Aggr]:[Functional Scope Aggr]])),
_xlpm._platform_keywords, _xlfn.TEXTSPLIT(SUBSTITUTE(SUBSTITUTE(VLOOKUP($D171,_xlpm._platform_range,3,FALSE),"+"&amp;CHAR(34),"+"),CHAR(34),""),", "),
_xlpm._exists, SUMPRODUCT(--ISNUMBER(MATCH(_xlpm._platform_keywords,_xlpm._original_keywords,0)))&gt;0,
_xlfn.IFS(AND(_xlpm._exists,LEFT($E171,1)="+"),"+",_xlpm._exists,"*",NOT(_xlpm._exists),"")
)</f>
        <v/>
      </c>
      <c r="N171" s="33" t="str" cm="1">
        <f t="array" aca="1" ref="N171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($E171=CLASSIFICATION[[Keyword Aggr]:[Keyword Aggr]])*($D171=CLASSIFICATION[[Functional Scope Aggr]:[Functional Scope Aggr]])),
_xlpm._platform_keywords, _xlfn.TEXTSPLIT(SUBSTITUTE(SUBSTITUTE(VLOOKUP($D171,_xlpm._platform_range,3,FALSE),"+"&amp;CHAR(34),"+"),CHAR(34),""),", "),
_xlpm._exists, SUMPRODUCT(--ISNUMBER(MATCH(_xlpm._platform_keywords,_xlpm._original_keywords,0)))&gt;0,
_xlfn.IFS(AND(_xlpm._exists,LEFT($E171,1)="+"),"+",_xlpm._exists,"*",NOT(_xlpm._exists),"")
)</f>
        <v/>
      </c>
      <c r="O171" s="33" t="str" cm="1">
        <f t="array" aca="1" ref="O171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($E171=CLASSIFICATION[[Keyword Aggr]:[Keyword Aggr]])*($D171=CLASSIFICATION[[Functional Scope Aggr]:[Functional Scope Aggr]])),
_xlpm._platform_keywords, _xlfn.TEXTSPLIT(SUBSTITUTE(SUBSTITUTE(VLOOKUP($D171,_xlpm._platform_range,3,FALSE),"+"&amp;CHAR(34),"+"),CHAR(34),""),", "),
_xlpm._exists, SUMPRODUCT(--ISNUMBER(MATCH(_xlpm._platform_keywords,_xlpm._original_keywords,0)))&gt;0,
_xlfn.IFS(AND(_xlpm._exists,LEFT($E171,1)="+"),"+",_xlpm._exists,"*",NOT(_xlpm._exists),"")
)</f>
        <v/>
      </c>
      <c r="Q171" s="33" t="str">
        <f t="shared" si="23"/>
        <v/>
      </c>
      <c r="R171" s="33" t="str">
        <f t="shared" si="24"/>
        <v/>
      </c>
      <c r="S171" s="33" t="str">
        <f t="shared" si="25"/>
        <v/>
      </c>
      <c r="T171" s="33" t="str">
        <f t="shared" si="26"/>
        <v/>
      </c>
      <c r="U171" s="33" t="str">
        <f t="shared" si="27"/>
        <v/>
      </c>
      <c r="V171" s="33" t="str">
        <f t="shared" si="28"/>
        <v/>
      </c>
    </row>
    <row r="172" spans="1:22" x14ac:dyDescent="0.25">
      <c r="A172" s="19"/>
      <c r="B172" t="s">
        <v>377</v>
      </c>
      <c r="C172" s="19" t="e" cm="1">
        <f t="array" ref="C172">_xlfn.TEXTSPLIT(A172,",")</f>
        <v>#VALUE!</v>
      </c>
      <c r="D172" s="19"/>
      <c r="E172" s="19"/>
      <c r="F172" s="36" t="e" cm="1" vm="1">
        <f t="array" ref="F172">_xlfn.TEXTJOIN(",",TRUE,_xlfn._xlws.FILTER(CLASSIFICATION[Keyword], ($E172=CLASSIFICATION[Keyword Aggr])*($D172=CLASSIFICATION[Functional Scope Aggr])))</f>
        <v>#VALUE!</v>
      </c>
      <c r="G172" s="32" t="e">
        <f t="shared" si="22"/>
        <v>#VALUE!</v>
      </c>
      <c r="H172" s="32" t="str">
        <f t="shared" si="22"/>
        <v/>
      </c>
      <c r="I172" s="32">
        <f t="shared" si="29"/>
        <v>0</v>
      </c>
      <c r="J172" s="33" t="str" cm="1">
        <f t="array" aca="1" ref="J172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($E172=CLASSIFICATION[[Keyword Aggr]:[Keyword Aggr]])*($D172=CLASSIFICATION[[Functional Scope Aggr]:[Functional Scope Aggr]])),
_xlpm._platform_keywords, _xlfn.TEXTSPLIT(SUBSTITUTE(SUBSTITUTE(VLOOKUP($D172,_xlpm._platform_range,3,FALSE),"+"&amp;CHAR(34),"+"),CHAR(34),""),", "),
_xlpm._exists, SUMPRODUCT(--ISNUMBER(MATCH(_xlpm._platform_keywords,_xlpm._original_keywords,0)))&gt;0,
_xlfn.IFS(AND(_xlpm._exists,LEFT($E172,1)="+"),"+",_xlpm._exists,"*",NOT(_xlpm._exists),"")
)</f>
        <v/>
      </c>
      <c r="K172" s="33" t="str" cm="1">
        <f t="array" aca="1" ref="K172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($E172=CLASSIFICATION[[Keyword Aggr]:[Keyword Aggr]])*($D172=CLASSIFICATION[[Functional Scope Aggr]:[Functional Scope Aggr]])),
_xlpm._platform_keywords, _xlfn.TEXTSPLIT(SUBSTITUTE(SUBSTITUTE(VLOOKUP($D172,_xlpm._platform_range,3,FALSE),"+"&amp;CHAR(34),"+"),CHAR(34),""),", "),
_xlpm._exists, SUMPRODUCT(--ISNUMBER(MATCH(_xlpm._platform_keywords,_xlpm._original_keywords,0)))&gt;0,
_xlfn.IFS(AND(_xlpm._exists,LEFT($E172,1)="+"),"+",_xlpm._exists,"*",NOT(_xlpm._exists),"")
)</f>
        <v/>
      </c>
      <c r="L172" s="33" t="str" cm="1">
        <f t="array" aca="1" ref="L172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($E172=CLASSIFICATION[[Keyword Aggr]:[Keyword Aggr]])*($D172=CLASSIFICATION[[Functional Scope Aggr]:[Functional Scope Aggr]])),
_xlpm._platform_keywords, _xlfn.TEXTSPLIT(SUBSTITUTE(SUBSTITUTE(VLOOKUP($D172,_xlpm._platform_range,3,FALSE),"+"&amp;CHAR(34),"+"),CHAR(34),""),", "),
_xlpm._exists, SUMPRODUCT(--ISNUMBER(MATCH(_xlpm._platform_keywords,_xlpm._original_keywords,0)))&gt;0,
_xlfn.IFS(AND(_xlpm._exists,LEFT($E172,1)="+"),"+",_xlpm._exists,"*",NOT(_xlpm._exists),"")
)</f>
        <v/>
      </c>
      <c r="M172" s="33" t="str" cm="1">
        <f t="array" aca="1" ref="M172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($E172=CLASSIFICATION[[Keyword Aggr]:[Keyword Aggr]])*($D172=CLASSIFICATION[[Functional Scope Aggr]:[Functional Scope Aggr]])),
_xlpm._platform_keywords, _xlfn.TEXTSPLIT(SUBSTITUTE(SUBSTITUTE(VLOOKUP($D172,_xlpm._platform_range,3,FALSE),"+"&amp;CHAR(34),"+"),CHAR(34),""),", "),
_xlpm._exists, SUMPRODUCT(--ISNUMBER(MATCH(_xlpm._platform_keywords,_xlpm._original_keywords,0)))&gt;0,
_xlfn.IFS(AND(_xlpm._exists,LEFT($E172,1)="+"),"+",_xlpm._exists,"*",NOT(_xlpm._exists),"")
)</f>
        <v/>
      </c>
      <c r="N172" s="33" t="str" cm="1">
        <f t="array" aca="1" ref="N172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($E172=CLASSIFICATION[[Keyword Aggr]:[Keyword Aggr]])*($D172=CLASSIFICATION[[Functional Scope Aggr]:[Functional Scope Aggr]])),
_xlpm._platform_keywords, _xlfn.TEXTSPLIT(SUBSTITUTE(SUBSTITUTE(VLOOKUP($D172,_xlpm._platform_range,3,FALSE),"+"&amp;CHAR(34),"+"),CHAR(34),""),", "),
_xlpm._exists, SUMPRODUCT(--ISNUMBER(MATCH(_xlpm._platform_keywords,_xlpm._original_keywords,0)))&gt;0,
_xlfn.IFS(AND(_xlpm._exists,LEFT($E172,1)="+"),"+",_xlpm._exists,"*",NOT(_xlpm._exists),"")
)</f>
        <v/>
      </c>
      <c r="O172" s="33" t="str" cm="1">
        <f t="array" aca="1" ref="O172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($E172=CLASSIFICATION[[Keyword Aggr]:[Keyword Aggr]])*($D172=CLASSIFICATION[[Functional Scope Aggr]:[Functional Scope Aggr]])),
_xlpm._platform_keywords, _xlfn.TEXTSPLIT(SUBSTITUTE(SUBSTITUTE(VLOOKUP($D172,_xlpm._platform_range,3,FALSE),"+"&amp;CHAR(34),"+"),CHAR(34),""),", "),
_xlpm._exists, SUMPRODUCT(--ISNUMBER(MATCH(_xlpm._platform_keywords,_xlpm._original_keywords,0)))&gt;0,
_xlfn.IFS(AND(_xlpm._exists,LEFT($E172,1)="+"),"+",_xlpm._exists,"*",NOT(_xlpm._exists),"")
)</f>
        <v/>
      </c>
      <c r="Q172" s="33" t="str">
        <f t="shared" si="23"/>
        <v/>
      </c>
      <c r="R172" s="33" t="str">
        <f t="shared" si="24"/>
        <v/>
      </c>
      <c r="S172" s="33" t="str">
        <f t="shared" si="25"/>
        <v/>
      </c>
      <c r="T172" s="33" t="str">
        <f t="shared" si="26"/>
        <v/>
      </c>
      <c r="U172" s="33" t="str">
        <f t="shared" si="27"/>
        <v/>
      </c>
      <c r="V172" s="33" t="str">
        <f t="shared" si="28"/>
        <v/>
      </c>
    </row>
    <row r="173" spans="1:22" x14ac:dyDescent="0.25">
      <c r="A173" s="19"/>
      <c r="B173" t="s">
        <v>377</v>
      </c>
      <c r="C173" s="19" t="e" cm="1">
        <f t="array" ref="C173">_xlfn.TEXTSPLIT(A173,",")</f>
        <v>#VALUE!</v>
      </c>
      <c r="D173" s="19"/>
      <c r="E173" s="19"/>
      <c r="F173" s="36" t="e" cm="1" vm="1">
        <f t="array" ref="F173">_xlfn.TEXTJOIN(",",TRUE,_xlfn._xlws.FILTER(CLASSIFICATION[Keyword], ($E173=CLASSIFICATION[Keyword Aggr])*($D173=CLASSIFICATION[Functional Scope Aggr])))</f>
        <v>#VALUE!</v>
      </c>
      <c r="G173" s="32" t="e">
        <f t="shared" si="22"/>
        <v>#VALUE!</v>
      </c>
      <c r="H173" s="32" t="str">
        <f t="shared" si="22"/>
        <v/>
      </c>
      <c r="I173" s="32">
        <f t="shared" si="29"/>
        <v>0</v>
      </c>
      <c r="J173" s="33" t="str" cm="1">
        <f t="array" aca="1" ref="J173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($E173=CLASSIFICATION[[Keyword Aggr]:[Keyword Aggr]])*($D173=CLASSIFICATION[[Functional Scope Aggr]:[Functional Scope Aggr]])),
_xlpm._platform_keywords, _xlfn.TEXTSPLIT(SUBSTITUTE(SUBSTITUTE(VLOOKUP($D173,_xlpm._platform_range,3,FALSE),"+"&amp;CHAR(34),"+"),CHAR(34),""),", "),
_xlpm._exists, SUMPRODUCT(--ISNUMBER(MATCH(_xlpm._platform_keywords,_xlpm._original_keywords,0)))&gt;0,
_xlfn.IFS(AND(_xlpm._exists,LEFT($E173,1)="+"),"+",_xlpm._exists,"*",NOT(_xlpm._exists),"")
)</f>
        <v/>
      </c>
      <c r="K173" s="33" t="str" cm="1">
        <f t="array" aca="1" ref="K173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($E173=CLASSIFICATION[[Keyword Aggr]:[Keyword Aggr]])*($D173=CLASSIFICATION[[Functional Scope Aggr]:[Functional Scope Aggr]])),
_xlpm._platform_keywords, _xlfn.TEXTSPLIT(SUBSTITUTE(SUBSTITUTE(VLOOKUP($D173,_xlpm._platform_range,3,FALSE),"+"&amp;CHAR(34),"+"),CHAR(34),""),", "),
_xlpm._exists, SUMPRODUCT(--ISNUMBER(MATCH(_xlpm._platform_keywords,_xlpm._original_keywords,0)))&gt;0,
_xlfn.IFS(AND(_xlpm._exists,LEFT($E173,1)="+"),"+",_xlpm._exists,"*",NOT(_xlpm._exists),"")
)</f>
        <v/>
      </c>
      <c r="L173" s="33" t="str" cm="1">
        <f t="array" aca="1" ref="L173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($E173=CLASSIFICATION[[Keyword Aggr]:[Keyword Aggr]])*($D173=CLASSIFICATION[[Functional Scope Aggr]:[Functional Scope Aggr]])),
_xlpm._platform_keywords, _xlfn.TEXTSPLIT(SUBSTITUTE(SUBSTITUTE(VLOOKUP($D173,_xlpm._platform_range,3,FALSE),"+"&amp;CHAR(34),"+"),CHAR(34),""),", "),
_xlpm._exists, SUMPRODUCT(--ISNUMBER(MATCH(_xlpm._platform_keywords,_xlpm._original_keywords,0)))&gt;0,
_xlfn.IFS(AND(_xlpm._exists,LEFT($E173,1)="+"),"+",_xlpm._exists,"*",NOT(_xlpm._exists),"")
)</f>
        <v/>
      </c>
      <c r="M173" s="33" t="str" cm="1">
        <f t="array" aca="1" ref="M173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($E173=CLASSIFICATION[[Keyword Aggr]:[Keyword Aggr]])*($D173=CLASSIFICATION[[Functional Scope Aggr]:[Functional Scope Aggr]])),
_xlpm._platform_keywords, _xlfn.TEXTSPLIT(SUBSTITUTE(SUBSTITUTE(VLOOKUP($D173,_xlpm._platform_range,3,FALSE),"+"&amp;CHAR(34),"+"),CHAR(34),""),", "),
_xlpm._exists, SUMPRODUCT(--ISNUMBER(MATCH(_xlpm._platform_keywords,_xlpm._original_keywords,0)))&gt;0,
_xlfn.IFS(AND(_xlpm._exists,LEFT($E173,1)="+"),"+",_xlpm._exists,"*",NOT(_xlpm._exists),"")
)</f>
        <v/>
      </c>
      <c r="N173" s="33" t="str" cm="1">
        <f t="array" aca="1" ref="N173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($E173=CLASSIFICATION[[Keyword Aggr]:[Keyword Aggr]])*($D173=CLASSIFICATION[[Functional Scope Aggr]:[Functional Scope Aggr]])),
_xlpm._platform_keywords, _xlfn.TEXTSPLIT(SUBSTITUTE(SUBSTITUTE(VLOOKUP($D173,_xlpm._platform_range,3,FALSE),"+"&amp;CHAR(34),"+"),CHAR(34),""),", "),
_xlpm._exists, SUMPRODUCT(--ISNUMBER(MATCH(_xlpm._platform_keywords,_xlpm._original_keywords,0)))&gt;0,
_xlfn.IFS(AND(_xlpm._exists,LEFT($E173,1)="+"),"+",_xlpm._exists,"*",NOT(_xlpm._exists),"")
)</f>
        <v/>
      </c>
      <c r="O173" s="33" t="str" cm="1">
        <f t="array" aca="1" ref="O173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($E173=CLASSIFICATION[[Keyword Aggr]:[Keyword Aggr]])*($D173=CLASSIFICATION[[Functional Scope Aggr]:[Functional Scope Aggr]])),
_xlpm._platform_keywords, _xlfn.TEXTSPLIT(SUBSTITUTE(SUBSTITUTE(VLOOKUP($D173,_xlpm._platform_range,3,FALSE),"+"&amp;CHAR(34),"+"),CHAR(34),""),", "),
_xlpm._exists, SUMPRODUCT(--ISNUMBER(MATCH(_xlpm._platform_keywords,_xlpm._original_keywords,0)))&gt;0,
_xlfn.IFS(AND(_xlpm._exists,LEFT($E173,1)="+"),"+",_xlpm._exists,"*",NOT(_xlpm._exists),"")
)</f>
        <v/>
      </c>
      <c r="Q173" s="33" t="str">
        <f t="shared" si="23"/>
        <v/>
      </c>
      <c r="R173" s="33" t="str">
        <f t="shared" si="24"/>
        <v/>
      </c>
      <c r="S173" s="33" t="str">
        <f t="shared" si="25"/>
        <v/>
      </c>
      <c r="T173" s="33" t="str">
        <f t="shared" si="26"/>
        <v/>
      </c>
      <c r="U173" s="33" t="str">
        <f t="shared" si="27"/>
        <v/>
      </c>
      <c r="V173" s="33" t="str">
        <f t="shared" si="28"/>
        <v/>
      </c>
    </row>
    <row r="174" spans="1:22" x14ac:dyDescent="0.25">
      <c r="A174" s="19"/>
      <c r="B174" t="s">
        <v>377</v>
      </c>
      <c r="C174" s="19" t="e" cm="1">
        <f t="array" ref="C174">_xlfn.TEXTSPLIT(A174,",")</f>
        <v>#VALUE!</v>
      </c>
      <c r="D174" s="19"/>
      <c r="E174" s="19"/>
      <c r="F174" s="36" t="e" cm="1" vm="1">
        <f t="array" ref="F174">_xlfn.TEXTJOIN(",",TRUE,_xlfn._xlws.FILTER(CLASSIFICATION[Keyword], ($E174=CLASSIFICATION[Keyword Aggr])*($D174=CLASSIFICATION[Functional Scope Aggr])))</f>
        <v>#VALUE!</v>
      </c>
      <c r="G174" s="32" t="e">
        <f t="shared" si="22"/>
        <v>#VALUE!</v>
      </c>
      <c r="H174" s="32" t="str">
        <f t="shared" si="22"/>
        <v/>
      </c>
      <c r="I174" s="32">
        <f t="shared" si="29"/>
        <v>0</v>
      </c>
      <c r="J174" s="33" t="str" cm="1">
        <f t="array" aca="1" ref="J174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($E174=CLASSIFICATION[[Keyword Aggr]:[Keyword Aggr]])*($D174=CLASSIFICATION[[Functional Scope Aggr]:[Functional Scope Aggr]])),
_xlpm._platform_keywords, _xlfn.TEXTSPLIT(SUBSTITUTE(SUBSTITUTE(VLOOKUP($D174,_xlpm._platform_range,3,FALSE),"+"&amp;CHAR(34),"+"),CHAR(34),""),", "),
_xlpm._exists, SUMPRODUCT(--ISNUMBER(MATCH(_xlpm._platform_keywords,_xlpm._original_keywords,0)))&gt;0,
_xlfn.IFS(AND(_xlpm._exists,LEFT($E174,1)="+"),"+",_xlpm._exists,"*",NOT(_xlpm._exists),"")
)</f>
        <v/>
      </c>
      <c r="K174" s="33" t="str" cm="1">
        <f t="array" aca="1" ref="K174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($E174=CLASSIFICATION[[Keyword Aggr]:[Keyword Aggr]])*($D174=CLASSIFICATION[[Functional Scope Aggr]:[Functional Scope Aggr]])),
_xlpm._platform_keywords, _xlfn.TEXTSPLIT(SUBSTITUTE(SUBSTITUTE(VLOOKUP($D174,_xlpm._platform_range,3,FALSE),"+"&amp;CHAR(34),"+"),CHAR(34),""),", "),
_xlpm._exists, SUMPRODUCT(--ISNUMBER(MATCH(_xlpm._platform_keywords,_xlpm._original_keywords,0)))&gt;0,
_xlfn.IFS(AND(_xlpm._exists,LEFT($E174,1)="+"),"+",_xlpm._exists,"*",NOT(_xlpm._exists),"")
)</f>
        <v/>
      </c>
      <c r="L174" s="33" t="str" cm="1">
        <f t="array" aca="1" ref="L174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($E174=CLASSIFICATION[[Keyword Aggr]:[Keyword Aggr]])*($D174=CLASSIFICATION[[Functional Scope Aggr]:[Functional Scope Aggr]])),
_xlpm._platform_keywords, _xlfn.TEXTSPLIT(SUBSTITUTE(SUBSTITUTE(VLOOKUP($D174,_xlpm._platform_range,3,FALSE),"+"&amp;CHAR(34),"+"),CHAR(34),""),", "),
_xlpm._exists, SUMPRODUCT(--ISNUMBER(MATCH(_xlpm._platform_keywords,_xlpm._original_keywords,0)))&gt;0,
_xlfn.IFS(AND(_xlpm._exists,LEFT($E174,1)="+"),"+",_xlpm._exists,"*",NOT(_xlpm._exists),"")
)</f>
        <v/>
      </c>
      <c r="M174" s="33" t="str" cm="1">
        <f t="array" aca="1" ref="M174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($E174=CLASSIFICATION[[Keyword Aggr]:[Keyword Aggr]])*($D174=CLASSIFICATION[[Functional Scope Aggr]:[Functional Scope Aggr]])),
_xlpm._platform_keywords, _xlfn.TEXTSPLIT(SUBSTITUTE(SUBSTITUTE(VLOOKUP($D174,_xlpm._platform_range,3,FALSE),"+"&amp;CHAR(34),"+"),CHAR(34),""),", "),
_xlpm._exists, SUMPRODUCT(--ISNUMBER(MATCH(_xlpm._platform_keywords,_xlpm._original_keywords,0)))&gt;0,
_xlfn.IFS(AND(_xlpm._exists,LEFT($E174,1)="+"),"+",_xlpm._exists,"*",NOT(_xlpm._exists),"")
)</f>
        <v/>
      </c>
      <c r="N174" s="33" t="str" cm="1">
        <f t="array" aca="1" ref="N174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($E174=CLASSIFICATION[[Keyword Aggr]:[Keyword Aggr]])*($D174=CLASSIFICATION[[Functional Scope Aggr]:[Functional Scope Aggr]])),
_xlpm._platform_keywords, _xlfn.TEXTSPLIT(SUBSTITUTE(SUBSTITUTE(VLOOKUP($D174,_xlpm._platform_range,3,FALSE),"+"&amp;CHAR(34),"+"),CHAR(34),""),", "),
_xlpm._exists, SUMPRODUCT(--ISNUMBER(MATCH(_xlpm._platform_keywords,_xlpm._original_keywords,0)))&gt;0,
_xlfn.IFS(AND(_xlpm._exists,LEFT($E174,1)="+"),"+",_xlpm._exists,"*",NOT(_xlpm._exists),"")
)</f>
        <v/>
      </c>
      <c r="O174" s="33" t="str" cm="1">
        <f t="array" aca="1" ref="O174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($E174=CLASSIFICATION[[Keyword Aggr]:[Keyword Aggr]])*($D174=CLASSIFICATION[[Functional Scope Aggr]:[Functional Scope Aggr]])),
_xlpm._platform_keywords, _xlfn.TEXTSPLIT(SUBSTITUTE(SUBSTITUTE(VLOOKUP($D174,_xlpm._platform_range,3,FALSE),"+"&amp;CHAR(34),"+"),CHAR(34),""),", "),
_xlpm._exists, SUMPRODUCT(--ISNUMBER(MATCH(_xlpm._platform_keywords,_xlpm._original_keywords,0)))&gt;0,
_xlfn.IFS(AND(_xlpm._exists,LEFT($E174,1)="+"),"+",_xlpm._exists,"*",NOT(_xlpm._exists),"")
)</f>
        <v/>
      </c>
      <c r="Q174" s="33" t="str">
        <f t="shared" si="23"/>
        <v/>
      </c>
      <c r="R174" s="33" t="str">
        <f t="shared" si="24"/>
        <v/>
      </c>
      <c r="S174" s="33" t="str">
        <f t="shared" si="25"/>
        <v/>
      </c>
      <c r="T174" s="33" t="str">
        <f t="shared" si="26"/>
        <v/>
      </c>
      <c r="U174" s="33" t="str">
        <f t="shared" si="27"/>
        <v/>
      </c>
      <c r="V174" s="33" t="str">
        <f t="shared" si="28"/>
        <v/>
      </c>
    </row>
    <row r="175" spans="1:22" x14ac:dyDescent="0.25">
      <c r="A175" s="19"/>
      <c r="B175" t="s">
        <v>377</v>
      </c>
      <c r="C175" s="19" t="e" cm="1">
        <f t="array" ref="C175">_xlfn.TEXTSPLIT(A175,",")</f>
        <v>#VALUE!</v>
      </c>
      <c r="D175" s="19"/>
      <c r="E175" s="19"/>
      <c r="F175" s="36" t="e" cm="1" vm="1">
        <f t="array" ref="F175">_xlfn.TEXTJOIN(",",TRUE,_xlfn._xlws.FILTER(CLASSIFICATION[Keyword], ($E175=CLASSIFICATION[Keyword Aggr])*($D175=CLASSIFICATION[Functional Scope Aggr])))</f>
        <v>#VALUE!</v>
      </c>
      <c r="G175" s="32" t="e">
        <f t="shared" si="22"/>
        <v>#VALUE!</v>
      </c>
      <c r="H175" s="32" t="str">
        <f t="shared" si="22"/>
        <v/>
      </c>
      <c r="I175" s="32">
        <f t="shared" si="29"/>
        <v>0</v>
      </c>
      <c r="J175" s="33" t="str" cm="1">
        <f t="array" aca="1" ref="J175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($E175=CLASSIFICATION[[Keyword Aggr]:[Keyword Aggr]])*($D175=CLASSIFICATION[[Functional Scope Aggr]:[Functional Scope Aggr]])),
_xlpm._platform_keywords, _xlfn.TEXTSPLIT(SUBSTITUTE(SUBSTITUTE(VLOOKUP($D175,_xlpm._platform_range,3,FALSE),"+"&amp;CHAR(34),"+"),CHAR(34),""),", "),
_xlpm._exists, SUMPRODUCT(--ISNUMBER(MATCH(_xlpm._platform_keywords,_xlpm._original_keywords,0)))&gt;0,
_xlfn.IFS(AND(_xlpm._exists,LEFT($E175,1)="+"),"+",_xlpm._exists,"*",NOT(_xlpm._exists),"")
)</f>
        <v/>
      </c>
      <c r="K175" s="33" t="str" cm="1">
        <f t="array" aca="1" ref="K175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($E175=CLASSIFICATION[[Keyword Aggr]:[Keyword Aggr]])*($D175=CLASSIFICATION[[Functional Scope Aggr]:[Functional Scope Aggr]])),
_xlpm._platform_keywords, _xlfn.TEXTSPLIT(SUBSTITUTE(SUBSTITUTE(VLOOKUP($D175,_xlpm._platform_range,3,FALSE),"+"&amp;CHAR(34),"+"),CHAR(34),""),", "),
_xlpm._exists, SUMPRODUCT(--ISNUMBER(MATCH(_xlpm._platform_keywords,_xlpm._original_keywords,0)))&gt;0,
_xlfn.IFS(AND(_xlpm._exists,LEFT($E175,1)="+"),"+",_xlpm._exists,"*",NOT(_xlpm._exists),"")
)</f>
        <v/>
      </c>
      <c r="L175" s="33" t="str" cm="1">
        <f t="array" aca="1" ref="L175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($E175=CLASSIFICATION[[Keyword Aggr]:[Keyword Aggr]])*($D175=CLASSIFICATION[[Functional Scope Aggr]:[Functional Scope Aggr]])),
_xlpm._platform_keywords, _xlfn.TEXTSPLIT(SUBSTITUTE(SUBSTITUTE(VLOOKUP($D175,_xlpm._platform_range,3,FALSE),"+"&amp;CHAR(34),"+"),CHAR(34),""),", "),
_xlpm._exists, SUMPRODUCT(--ISNUMBER(MATCH(_xlpm._platform_keywords,_xlpm._original_keywords,0)))&gt;0,
_xlfn.IFS(AND(_xlpm._exists,LEFT($E175,1)="+"),"+",_xlpm._exists,"*",NOT(_xlpm._exists),"")
)</f>
        <v/>
      </c>
      <c r="M175" s="33" t="str" cm="1">
        <f t="array" aca="1" ref="M175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($E175=CLASSIFICATION[[Keyword Aggr]:[Keyword Aggr]])*($D175=CLASSIFICATION[[Functional Scope Aggr]:[Functional Scope Aggr]])),
_xlpm._platform_keywords, _xlfn.TEXTSPLIT(SUBSTITUTE(SUBSTITUTE(VLOOKUP($D175,_xlpm._platform_range,3,FALSE),"+"&amp;CHAR(34),"+"),CHAR(34),""),", "),
_xlpm._exists, SUMPRODUCT(--ISNUMBER(MATCH(_xlpm._platform_keywords,_xlpm._original_keywords,0)))&gt;0,
_xlfn.IFS(AND(_xlpm._exists,LEFT($E175,1)="+"),"+",_xlpm._exists,"*",NOT(_xlpm._exists),"")
)</f>
        <v/>
      </c>
      <c r="N175" s="33" t="str" cm="1">
        <f t="array" aca="1" ref="N175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($E175=CLASSIFICATION[[Keyword Aggr]:[Keyword Aggr]])*($D175=CLASSIFICATION[[Functional Scope Aggr]:[Functional Scope Aggr]])),
_xlpm._platform_keywords, _xlfn.TEXTSPLIT(SUBSTITUTE(SUBSTITUTE(VLOOKUP($D175,_xlpm._platform_range,3,FALSE),"+"&amp;CHAR(34),"+"),CHAR(34),""),", "),
_xlpm._exists, SUMPRODUCT(--ISNUMBER(MATCH(_xlpm._platform_keywords,_xlpm._original_keywords,0)))&gt;0,
_xlfn.IFS(AND(_xlpm._exists,LEFT($E175,1)="+"),"+",_xlpm._exists,"*",NOT(_xlpm._exists),"")
)</f>
        <v/>
      </c>
      <c r="O175" s="33" t="str" cm="1">
        <f t="array" aca="1" ref="O175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($E175=CLASSIFICATION[[Keyword Aggr]:[Keyword Aggr]])*($D175=CLASSIFICATION[[Functional Scope Aggr]:[Functional Scope Aggr]])),
_xlpm._platform_keywords, _xlfn.TEXTSPLIT(SUBSTITUTE(SUBSTITUTE(VLOOKUP($D175,_xlpm._platform_range,3,FALSE),"+"&amp;CHAR(34),"+"),CHAR(34),""),", "),
_xlpm._exists, SUMPRODUCT(--ISNUMBER(MATCH(_xlpm._platform_keywords,_xlpm._original_keywords,0)))&gt;0,
_xlfn.IFS(AND(_xlpm._exists,LEFT($E175,1)="+"),"+",_xlpm._exists,"*",NOT(_xlpm._exists),"")
)</f>
        <v/>
      </c>
      <c r="Q175" s="33" t="str">
        <f t="shared" si="23"/>
        <v/>
      </c>
      <c r="R175" s="33" t="str">
        <f t="shared" si="24"/>
        <v/>
      </c>
      <c r="S175" s="33" t="str">
        <f t="shared" si="25"/>
        <v/>
      </c>
      <c r="T175" s="33" t="str">
        <f t="shared" si="26"/>
        <v/>
      </c>
      <c r="U175" s="33" t="str">
        <f t="shared" si="27"/>
        <v/>
      </c>
      <c r="V175" s="33" t="str">
        <f t="shared" si="28"/>
        <v/>
      </c>
    </row>
    <row r="176" spans="1:22" x14ac:dyDescent="0.25">
      <c r="A176" s="19"/>
      <c r="B176" t="s">
        <v>377</v>
      </c>
      <c r="C176" s="19" t="e" cm="1">
        <f t="array" ref="C176">_xlfn.TEXTSPLIT(A176,",")</f>
        <v>#VALUE!</v>
      </c>
      <c r="D176" s="19"/>
      <c r="E176" s="19"/>
      <c r="F176" s="36" t="e" cm="1" vm="1">
        <f t="array" ref="F176">_xlfn.TEXTJOIN(",",TRUE,_xlfn._xlws.FILTER(CLASSIFICATION[Keyword], ($E176=CLASSIFICATION[Keyword Aggr])*($D176=CLASSIFICATION[Functional Scope Aggr])))</f>
        <v>#VALUE!</v>
      </c>
      <c r="G176" s="32" t="e">
        <f t="shared" si="22"/>
        <v>#VALUE!</v>
      </c>
      <c r="H176" s="32" t="str">
        <f t="shared" si="22"/>
        <v/>
      </c>
      <c r="I176" s="32">
        <f t="shared" si="29"/>
        <v>0</v>
      </c>
      <c r="J176" s="33" t="str" cm="1">
        <f t="array" aca="1" ref="J176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($E176=CLASSIFICATION[[Keyword Aggr]:[Keyword Aggr]])*($D176=CLASSIFICATION[[Functional Scope Aggr]:[Functional Scope Aggr]])),
_xlpm._platform_keywords, _xlfn.TEXTSPLIT(SUBSTITUTE(SUBSTITUTE(VLOOKUP($D176,_xlpm._platform_range,3,FALSE),"+"&amp;CHAR(34),"+"),CHAR(34),""),", "),
_xlpm._exists, SUMPRODUCT(--ISNUMBER(MATCH(_xlpm._platform_keywords,_xlpm._original_keywords,0)))&gt;0,
_xlfn.IFS(AND(_xlpm._exists,LEFT($E176,1)="+"),"+",_xlpm._exists,"*",NOT(_xlpm._exists),"")
)</f>
        <v/>
      </c>
      <c r="K176" s="33" t="str" cm="1">
        <f t="array" aca="1" ref="K176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($E176=CLASSIFICATION[[Keyword Aggr]:[Keyword Aggr]])*($D176=CLASSIFICATION[[Functional Scope Aggr]:[Functional Scope Aggr]])),
_xlpm._platform_keywords, _xlfn.TEXTSPLIT(SUBSTITUTE(SUBSTITUTE(VLOOKUP($D176,_xlpm._platform_range,3,FALSE),"+"&amp;CHAR(34),"+"),CHAR(34),""),", "),
_xlpm._exists, SUMPRODUCT(--ISNUMBER(MATCH(_xlpm._platform_keywords,_xlpm._original_keywords,0)))&gt;0,
_xlfn.IFS(AND(_xlpm._exists,LEFT($E176,1)="+"),"+",_xlpm._exists,"*",NOT(_xlpm._exists),"")
)</f>
        <v/>
      </c>
      <c r="L176" s="33" t="str" cm="1">
        <f t="array" aca="1" ref="L176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($E176=CLASSIFICATION[[Keyword Aggr]:[Keyword Aggr]])*($D176=CLASSIFICATION[[Functional Scope Aggr]:[Functional Scope Aggr]])),
_xlpm._platform_keywords, _xlfn.TEXTSPLIT(SUBSTITUTE(SUBSTITUTE(VLOOKUP($D176,_xlpm._platform_range,3,FALSE),"+"&amp;CHAR(34),"+"),CHAR(34),""),", "),
_xlpm._exists, SUMPRODUCT(--ISNUMBER(MATCH(_xlpm._platform_keywords,_xlpm._original_keywords,0)))&gt;0,
_xlfn.IFS(AND(_xlpm._exists,LEFT($E176,1)="+"),"+",_xlpm._exists,"*",NOT(_xlpm._exists),"")
)</f>
        <v/>
      </c>
      <c r="M176" s="33" t="str" cm="1">
        <f t="array" aca="1" ref="M176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($E176=CLASSIFICATION[[Keyword Aggr]:[Keyword Aggr]])*($D176=CLASSIFICATION[[Functional Scope Aggr]:[Functional Scope Aggr]])),
_xlpm._platform_keywords, _xlfn.TEXTSPLIT(SUBSTITUTE(SUBSTITUTE(VLOOKUP($D176,_xlpm._platform_range,3,FALSE),"+"&amp;CHAR(34),"+"),CHAR(34),""),", "),
_xlpm._exists, SUMPRODUCT(--ISNUMBER(MATCH(_xlpm._platform_keywords,_xlpm._original_keywords,0)))&gt;0,
_xlfn.IFS(AND(_xlpm._exists,LEFT($E176,1)="+"),"+",_xlpm._exists,"*",NOT(_xlpm._exists),"")
)</f>
        <v/>
      </c>
      <c r="N176" s="33" t="str" cm="1">
        <f t="array" aca="1" ref="N176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($E176=CLASSIFICATION[[Keyword Aggr]:[Keyword Aggr]])*($D176=CLASSIFICATION[[Functional Scope Aggr]:[Functional Scope Aggr]])),
_xlpm._platform_keywords, _xlfn.TEXTSPLIT(SUBSTITUTE(SUBSTITUTE(VLOOKUP($D176,_xlpm._platform_range,3,FALSE),"+"&amp;CHAR(34),"+"),CHAR(34),""),", "),
_xlpm._exists, SUMPRODUCT(--ISNUMBER(MATCH(_xlpm._platform_keywords,_xlpm._original_keywords,0)))&gt;0,
_xlfn.IFS(AND(_xlpm._exists,LEFT($E176,1)="+"),"+",_xlpm._exists,"*",NOT(_xlpm._exists),"")
)</f>
        <v/>
      </c>
      <c r="O176" s="33" t="str" cm="1">
        <f t="array" aca="1" ref="O176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($E176=CLASSIFICATION[[Keyword Aggr]:[Keyword Aggr]])*($D176=CLASSIFICATION[[Functional Scope Aggr]:[Functional Scope Aggr]])),
_xlpm._platform_keywords, _xlfn.TEXTSPLIT(SUBSTITUTE(SUBSTITUTE(VLOOKUP($D176,_xlpm._platform_range,3,FALSE),"+"&amp;CHAR(34),"+"),CHAR(34),""),", "),
_xlpm._exists, SUMPRODUCT(--ISNUMBER(MATCH(_xlpm._platform_keywords,_xlpm._original_keywords,0)))&gt;0,
_xlfn.IFS(AND(_xlpm._exists,LEFT($E176,1)="+"),"+",_xlpm._exists,"*",NOT(_xlpm._exists),"")
)</f>
        <v/>
      </c>
      <c r="Q176" s="33" t="str">
        <f t="shared" si="23"/>
        <v/>
      </c>
      <c r="R176" s="33" t="str">
        <f t="shared" si="24"/>
        <v/>
      </c>
      <c r="S176" s="33" t="str">
        <f t="shared" si="25"/>
        <v/>
      </c>
      <c r="T176" s="33" t="str">
        <f t="shared" si="26"/>
        <v/>
      </c>
      <c r="U176" s="33" t="str">
        <f t="shared" si="27"/>
        <v/>
      </c>
      <c r="V176" s="33" t="str">
        <f t="shared" si="28"/>
        <v/>
      </c>
    </row>
    <row r="177" spans="1:22" x14ac:dyDescent="0.25">
      <c r="A177" s="19"/>
      <c r="B177" t="s">
        <v>377</v>
      </c>
      <c r="C177" s="19" t="e" cm="1">
        <f t="array" ref="C177">_xlfn.TEXTSPLIT(A177,",")</f>
        <v>#VALUE!</v>
      </c>
      <c r="D177" s="19"/>
      <c r="E177" s="19"/>
      <c r="F177" s="36" t="e" cm="1" vm="1">
        <f t="array" ref="F177">_xlfn.TEXTJOIN(",",TRUE,_xlfn._xlws.FILTER(CLASSIFICATION[Keyword], ($E177=CLASSIFICATION[Keyword Aggr])*($D177=CLASSIFICATION[Functional Scope Aggr])))</f>
        <v>#VALUE!</v>
      </c>
      <c r="G177" s="32" t="e">
        <f t="shared" si="22"/>
        <v>#VALUE!</v>
      </c>
      <c r="H177" s="32" t="str">
        <f t="shared" si="22"/>
        <v/>
      </c>
      <c r="I177" s="32">
        <f t="shared" si="29"/>
        <v>0</v>
      </c>
      <c r="J177" s="33" t="str" cm="1">
        <f t="array" aca="1" ref="J177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($E177=CLASSIFICATION[[Keyword Aggr]:[Keyword Aggr]])*($D177=CLASSIFICATION[[Functional Scope Aggr]:[Functional Scope Aggr]])),
_xlpm._platform_keywords, _xlfn.TEXTSPLIT(SUBSTITUTE(SUBSTITUTE(VLOOKUP($D177,_xlpm._platform_range,3,FALSE),"+"&amp;CHAR(34),"+"),CHAR(34),""),", "),
_xlpm._exists, SUMPRODUCT(--ISNUMBER(MATCH(_xlpm._platform_keywords,_xlpm._original_keywords,0)))&gt;0,
_xlfn.IFS(AND(_xlpm._exists,LEFT($E177,1)="+"),"+",_xlpm._exists,"*",NOT(_xlpm._exists),"")
)</f>
        <v/>
      </c>
      <c r="K177" s="33" t="str" cm="1">
        <f t="array" aca="1" ref="K177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($E177=CLASSIFICATION[[Keyword Aggr]:[Keyword Aggr]])*($D177=CLASSIFICATION[[Functional Scope Aggr]:[Functional Scope Aggr]])),
_xlpm._platform_keywords, _xlfn.TEXTSPLIT(SUBSTITUTE(SUBSTITUTE(VLOOKUP($D177,_xlpm._platform_range,3,FALSE),"+"&amp;CHAR(34),"+"),CHAR(34),""),", "),
_xlpm._exists, SUMPRODUCT(--ISNUMBER(MATCH(_xlpm._platform_keywords,_xlpm._original_keywords,0)))&gt;0,
_xlfn.IFS(AND(_xlpm._exists,LEFT($E177,1)="+"),"+",_xlpm._exists,"*",NOT(_xlpm._exists),"")
)</f>
        <v/>
      </c>
      <c r="L177" s="33" t="str" cm="1">
        <f t="array" aca="1" ref="L177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($E177=CLASSIFICATION[[Keyword Aggr]:[Keyword Aggr]])*($D177=CLASSIFICATION[[Functional Scope Aggr]:[Functional Scope Aggr]])),
_xlpm._platform_keywords, _xlfn.TEXTSPLIT(SUBSTITUTE(SUBSTITUTE(VLOOKUP($D177,_xlpm._platform_range,3,FALSE),"+"&amp;CHAR(34),"+"),CHAR(34),""),", "),
_xlpm._exists, SUMPRODUCT(--ISNUMBER(MATCH(_xlpm._platform_keywords,_xlpm._original_keywords,0)))&gt;0,
_xlfn.IFS(AND(_xlpm._exists,LEFT($E177,1)="+"),"+",_xlpm._exists,"*",NOT(_xlpm._exists),"")
)</f>
        <v/>
      </c>
      <c r="M177" s="33" t="str" cm="1">
        <f t="array" aca="1" ref="M177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($E177=CLASSIFICATION[[Keyword Aggr]:[Keyword Aggr]])*($D177=CLASSIFICATION[[Functional Scope Aggr]:[Functional Scope Aggr]])),
_xlpm._platform_keywords, _xlfn.TEXTSPLIT(SUBSTITUTE(SUBSTITUTE(VLOOKUP($D177,_xlpm._platform_range,3,FALSE),"+"&amp;CHAR(34),"+"),CHAR(34),""),", "),
_xlpm._exists, SUMPRODUCT(--ISNUMBER(MATCH(_xlpm._platform_keywords,_xlpm._original_keywords,0)))&gt;0,
_xlfn.IFS(AND(_xlpm._exists,LEFT($E177,1)="+"),"+",_xlpm._exists,"*",NOT(_xlpm._exists),"")
)</f>
        <v/>
      </c>
      <c r="N177" s="33" t="str" cm="1">
        <f t="array" aca="1" ref="N177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($E177=CLASSIFICATION[[Keyword Aggr]:[Keyword Aggr]])*($D177=CLASSIFICATION[[Functional Scope Aggr]:[Functional Scope Aggr]])),
_xlpm._platform_keywords, _xlfn.TEXTSPLIT(SUBSTITUTE(SUBSTITUTE(VLOOKUP($D177,_xlpm._platform_range,3,FALSE),"+"&amp;CHAR(34),"+"),CHAR(34),""),", "),
_xlpm._exists, SUMPRODUCT(--ISNUMBER(MATCH(_xlpm._platform_keywords,_xlpm._original_keywords,0)))&gt;0,
_xlfn.IFS(AND(_xlpm._exists,LEFT($E177,1)="+"),"+",_xlpm._exists,"*",NOT(_xlpm._exists),"")
)</f>
        <v/>
      </c>
      <c r="O177" s="33" t="str" cm="1">
        <f t="array" aca="1" ref="O177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($E177=CLASSIFICATION[[Keyword Aggr]:[Keyword Aggr]])*($D177=CLASSIFICATION[[Functional Scope Aggr]:[Functional Scope Aggr]])),
_xlpm._platform_keywords, _xlfn.TEXTSPLIT(SUBSTITUTE(SUBSTITUTE(VLOOKUP($D177,_xlpm._platform_range,3,FALSE),"+"&amp;CHAR(34),"+"),CHAR(34),""),", "),
_xlpm._exists, SUMPRODUCT(--ISNUMBER(MATCH(_xlpm._platform_keywords,_xlpm._original_keywords,0)))&gt;0,
_xlfn.IFS(AND(_xlpm._exists,LEFT($E177,1)="+"),"+",_xlpm._exists,"*",NOT(_xlpm._exists),"")
)</f>
        <v/>
      </c>
      <c r="Q177" s="33" t="str">
        <f t="shared" si="23"/>
        <v/>
      </c>
      <c r="R177" s="33" t="str">
        <f t="shared" si="24"/>
        <v/>
      </c>
      <c r="S177" s="33" t="str">
        <f t="shared" si="25"/>
        <v/>
      </c>
      <c r="T177" s="33" t="str">
        <f t="shared" si="26"/>
        <v/>
      </c>
      <c r="U177" s="33" t="str">
        <f t="shared" si="27"/>
        <v/>
      </c>
      <c r="V177" s="33" t="str">
        <f t="shared" si="28"/>
        <v/>
      </c>
    </row>
    <row r="178" spans="1:22" x14ac:dyDescent="0.25">
      <c r="A178" s="19"/>
      <c r="B178" t="s">
        <v>377</v>
      </c>
      <c r="C178" s="19" t="e" cm="1">
        <f t="array" ref="C178">_xlfn.TEXTSPLIT(A178,",")</f>
        <v>#VALUE!</v>
      </c>
      <c r="D178" s="19"/>
      <c r="E178" s="19"/>
      <c r="F178" s="36" t="e" cm="1" vm="1">
        <f t="array" ref="F178">_xlfn.TEXTJOIN(",",TRUE,_xlfn._xlws.FILTER(CLASSIFICATION[Keyword], ($E178=CLASSIFICATION[Keyword Aggr])*($D178=CLASSIFICATION[Functional Scope Aggr])))</f>
        <v>#VALUE!</v>
      </c>
      <c r="G178" s="32" t="e">
        <f t="shared" si="22"/>
        <v>#VALUE!</v>
      </c>
      <c r="H178" s="32" t="str">
        <f t="shared" si="22"/>
        <v/>
      </c>
      <c r="I178" s="32">
        <f t="shared" si="29"/>
        <v>0</v>
      </c>
      <c r="J178" s="33" t="str" cm="1">
        <f t="array" aca="1" ref="J178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($E178=CLASSIFICATION[[Keyword Aggr]:[Keyword Aggr]])*($D178=CLASSIFICATION[[Functional Scope Aggr]:[Functional Scope Aggr]])),
_xlpm._platform_keywords, _xlfn.TEXTSPLIT(SUBSTITUTE(SUBSTITUTE(VLOOKUP($D178,_xlpm._platform_range,3,FALSE),"+"&amp;CHAR(34),"+"),CHAR(34),""),", "),
_xlpm._exists, SUMPRODUCT(--ISNUMBER(MATCH(_xlpm._platform_keywords,_xlpm._original_keywords,0)))&gt;0,
_xlfn.IFS(AND(_xlpm._exists,LEFT($E178,1)="+"),"+",_xlpm._exists,"*",NOT(_xlpm._exists),"")
)</f>
        <v/>
      </c>
      <c r="K178" s="33" t="str" cm="1">
        <f t="array" aca="1" ref="K178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($E178=CLASSIFICATION[[Keyword Aggr]:[Keyword Aggr]])*($D178=CLASSIFICATION[[Functional Scope Aggr]:[Functional Scope Aggr]])),
_xlpm._platform_keywords, _xlfn.TEXTSPLIT(SUBSTITUTE(SUBSTITUTE(VLOOKUP($D178,_xlpm._platform_range,3,FALSE),"+"&amp;CHAR(34),"+"),CHAR(34),""),", "),
_xlpm._exists, SUMPRODUCT(--ISNUMBER(MATCH(_xlpm._platform_keywords,_xlpm._original_keywords,0)))&gt;0,
_xlfn.IFS(AND(_xlpm._exists,LEFT($E178,1)="+"),"+",_xlpm._exists,"*",NOT(_xlpm._exists),"")
)</f>
        <v/>
      </c>
      <c r="L178" s="33" t="str" cm="1">
        <f t="array" aca="1" ref="L178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($E178=CLASSIFICATION[[Keyword Aggr]:[Keyword Aggr]])*($D178=CLASSIFICATION[[Functional Scope Aggr]:[Functional Scope Aggr]])),
_xlpm._platform_keywords, _xlfn.TEXTSPLIT(SUBSTITUTE(SUBSTITUTE(VLOOKUP($D178,_xlpm._platform_range,3,FALSE),"+"&amp;CHAR(34),"+"),CHAR(34),""),", "),
_xlpm._exists, SUMPRODUCT(--ISNUMBER(MATCH(_xlpm._platform_keywords,_xlpm._original_keywords,0)))&gt;0,
_xlfn.IFS(AND(_xlpm._exists,LEFT($E178,1)="+"),"+",_xlpm._exists,"*",NOT(_xlpm._exists),"")
)</f>
        <v/>
      </c>
      <c r="M178" s="33" t="str" cm="1">
        <f t="array" aca="1" ref="M178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($E178=CLASSIFICATION[[Keyword Aggr]:[Keyword Aggr]])*($D178=CLASSIFICATION[[Functional Scope Aggr]:[Functional Scope Aggr]])),
_xlpm._platform_keywords, _xlfn.TEXTSPLIT(SUBSTITUTE(SUBSTITUTE(VLOOKUP($D178,_xlpm._platform_range,3,FALSE),"+"&amp;CHAR(34),"+"),CHAR(34),""),", "),
_xlpm._exists, SUMPRODUCT(--ISNUMBER(MATCH(_xlpm._platform_keywords,_xlpm._original_keywords,0)))&gt;0,
_xlfn.IFS(AND(_xlpm._exists,LEFT($E178,1)="+"),"+",_xlpm._exists,"*",NOT(_xlpm._exists),"")
)</f>
        <v/>
      </c>
      <c r="N178" s="33" t="str" cm="1">
        <f t="array" aca="1" ref="N178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($E178=CLASSIFICATION[[Keyword Aggr]:[Keyword Aggr]])*($D178=CLASSIFICATION[[Functional Scope Aggr]:[Functional Scope Aggr]])),
_xlpm._platform_keywords, _xlfn.TEXTSPLIT(SUBSTITUTE(SUBSTITUTE(VLOOKUP($D178,_xlpm._platform_range,3,FALSE),"+"&amp;CHAR(34),"+"),CHAR(34),""),", "),
_xlpm._exists, SUMPRODUCT(--ISNUMBER(MATCH(_xlpm._platform_keywords,_xlpm._original_keywords,0)))&gt;0,
_xlfn.IFS(AND(_xlpm._exists,LEFT($E178,1)="+"),"+",_xlpm._exists,"*",NOT(_xlpm._exists),"")
)</f>
        <v/>
      </c>
      <c r="O178" s="33" t="str" cm="1">
        <f t="array" aca="1" ref="O178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($E178=CLASSIFICATION[[Keyword Aggr]:[Keyword Aggr]])*($D178=CLASSIFICATION[[Functional Scope Aggr]:[Functional Scope Aggr]])),
_xlpm._platform_keywords, _xlfn.TEXTSPLIT(SUBSTITUTE(SUBSTITUTE(VLOOKUP($D178,_xlpm._platform_range,3,FALSE),"+"&amp;CHAR(34),"+"),CHAR(34),""),", "),
_xlpm._exists, SUMPRODUCT(--ISNUMBER(MATCH(_xlpm._platform_keywords,_xlpm._original_keywords,0)))&gt;0,
_xlfn.IFS(AND(_xlpm._exists,LEFT($E178,1)="+"),"+",_xlpm._exists,"*",NOT(_xlpm._exists),"")
)</f>
        <v/>
      </c>
      <c r="Q178" s="33" t="str">
        <f t="shared" si="23"/>
        <v/>
      </c>
      <c r="R178" s="33" t="str">
        <f t="shared" si="24"/>
        <v/>
      </c>
      <c r="S178" s="33" t="str">
        <f t="shared" si="25"/>
        <v/>
      </c>
      <c r="T178" s="33" t="str">
        <f t="shared" si="26"/>
        <v/>
      </c>
      <c r="U178" s="33" t="str">
        <f t="shared" si="27"/>
        <v/>
      </c>
      <c r="V178" s="33" t="str">
        <f t="shared" si="28"/>
        <v/>
      </c>
    </row>
    <row r="179" spans="1:22" x14ac:dyDescent="0.25">
      <c r="A179" s="19"/>
      <c r="B179" t="s">
        <v>377</v>
      </c>
      <c r="C179" s="19" t="e" cm="1">
        <f t="array" ref="C179">_xlfn.TEXTSPLIT(A179,",")</f>
        <v>#VALUE!</v>
      </c>
      <c r="D179" s="19"/>
      <c r="E179" s="19"/>
      <c r="F179" s="36" t="e" cm="1" vm="1">
        <f t="array" ref="F179">_xlfn.TEXTJOIN(",",TRUE,_xlfn._xlws.FILTER(CLASSIFICATION[Keyword], ($E179=CLASSIFICATION[Keyword Aggr])*($D179=CLASSIFICATION[Functional Scope Aggr])))</f>
        <v>#VALUE!</v>
      </c>
      <c r="G179" s="32" t="e">
        <f t="shared" si="22"/>
        <v>#VALUE!</v>
      </c>
      <c r="H179" s="32" t="str">
        <f t="shared" si="22"/>
        <v/>
      </c>
      <c r="I179" s="32">
        <f t="shared" si="29"/>
        <v>0</v>
      </c>
      <c r="J179" s="33" t="str" cm="1">
        <f t="array" aca="1" ref="J179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($E179=CLASSIFICATION[[Keyword Aggr]:[Keyword Aggr]])*($D179=CLASSIFICATION[[Functional Scope Aggr]:[Functional Scope Aggr]])),
_xlpm._platform_keywords, _xlfn.TEXTSPLIT(SUBSTITUTE(SUBSTITUTE(VLOOKUP($D179,_xlpm._platform_range,3,FALSE),"+"&amp;CHAR(34),"+"),CHAR(34),""),", "),
_xlpm._exists, SUMPRODUCT(--ISNUMBER(MATCH(_xlpm._platform_keywords,_xlpm._original_keywords,0)))&gt;0,
_xlfn.IFS(AND(_xlpm._exists,LEFT($E179,1)="+"),"+",_xlpm._exists,"*",NOT(_xlpm._exists),"")
)</f>
        <v/>
      </c>
      <c r="K179" s="33" t="str" cm="1">
        <f t="array" aca="1" ref="K179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($E179=CLASSIFICATION[[Keyword Aggr]:[Keyword Aggr]])*($D179=CLASSIFICATION[[Functional Scope Aggr]:[Functional Scope Aggr]])),
_xlpm._platform_keywords, _xlfn.TEXTSPLIT(SUBSTITUTE(SUBSTITUTE(VLOOKUP($D179,_xlpm._platform_range,3,FALSE),"+"&amp;CHAR(34),"+"),CHAR(34),""),", "),
_xlpm._exists, SUMPRODUCT(--ISNUMBER(MATCH(_xlpm._platform_keywords,_xlpm._original_keywords,0)))&gt;0,
_xlfn.IFS(AND(_xlpm._exists,LEFT($E179,1)="+"),"+",_xlpm._exists,"*",NOT(_xlpm._exists),"")
)</f>
        <v/>
      </c>
      <c r="L179" s="33" t="str" cm="1">
        <f t="array" aca="1" ref="L179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($E179=CLASSIFICATION[[Keyword Aggr]:[Keyword Aggr]])*($D179=CLASSIFICATION[[Functional Scope Aggr]:[Functional Scope Aggr]])),
_xlpm._platform_keywords, _xlfn.TEXTSPLIT(SUBSTITUTE(SUBSTITUTE(VLOOKUP($D179,_xlpm._platform_range,3,FALSE),"+"&amp;CHAR(34),"+"),CHAR(34),""),", "),
_xlpm._exists, SUMPRODUCT(--ISNUMBER(MATCH(_xlpm._platform_keywords,_xlpm._original_keywords,0)))&gt;0,
_xlfn.IFS(AND(_xlpm._exists,LEFT($E179,1)="+"),"+",_xlpm._exists,"*",NOT(_xlpm._exists),"")
)</f>
        <v/>
      </c>
      <c r="M179" s="33" t="str" cm="1">
        <f t="array" aca="1" ref="M179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($E179=CLASSIFICATION[[Keyword Aggr]:[Keyword Aggr]])*($D179=CLASSIFICATION[[Functional Scope Aggr]:[Functional Scope Aggr]])),
_xlpm._platform_keywords, _xlfn.TEXTSPLIT(SUBSTITUTE(SUBSTITUTE(VLOOKUP($D179,_xlpm._platform_range,3,FALSE),"+"&amp;CHAR(34),"+"),CHAR(34),""),", "),
_xlpm._exists, SUMPRODUCT(--ISNUMBER(MATCH(_xlpm._platform_keywords,_xlpm._original_keywords,0)))&gt;0,
_xlfn.IFS(AND(_xlpm._exists,LEFT($E179,1)="+"),"+",_xlpm._exists,"*",NOT(_xlpm._exists),"")
)</f>
        <v/>
      </c>
      <c r="N179" s="33" t="str" cm="1">
        <f t="array" aca="1" ref="N179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($E179=CLASSIFICATION[[Keyword Aggr]:[Keyword Aggr]])*($D179=CLASSIFICATION[[Functional Scope Aggr]:[Functional Scope Aggr]])),
_xlpm._platform_keywords, _xlfn.TEXTSPLIT(SUBSTITUTE(SUBSTITUTE(VLOOKUP($D179,_xlpm._platform_range,3,FALSE),"+"&amp;CHAR(34),"+"),CHAR(34),""),", "),
_xlpm._exists, SUMPRODUCT(--ISNUMBER(MATCH(_xlpm._platform_keywords,_xlpm._original_keywords,0)))&gt;0,
_xlfn.IFS(AND(_xlpm._exists,LEFT($E179,1)="+"),"+",_xlpm._exists,"*",NOT(_xlpm._exists),"")
)</f>
        <v/>
      </c>
      <c r="O179" s="33" t="str" cm="1">
        <f t="array" aca="1" ref="O179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($E179=CLASSIFICATION[[Keyword Aggr]:[Keyword Aggr]])*($D179=CLASSIFICATION[[Functional Scope Aggr]:[Functional Scope Aggr]])),
_xlpm._platform_keywords, _xlfn.TEXTSPLIT(SUBSTITUTE(SUBSTITUTE(VLOOKUP($D179,_xlpm._platform_range,3,FALSE),"+"&amp;CHAR(34),"+"),CHAR(34),""),", "),
_xlpm._exists, SUMPRODUCT(--ISNUMBER(MATCH(_xlpm._platform_keywords,_xlpm._original_keywords,0)))&gt;0,
_xlfn.IFS(AND(_xlpm._exists,LEFT($E179,1)="+"),"+",_xlpm._exists,"*",NOT(_xlpm._exists),"")
)</f>
        <v/>
      </c>
      <c r="Q179" s="33" t="str">
        <f t="shared" si="23"/>
        <v/>
      </c>
      <c r="R179" s="33" t="str">
        <f t="shared" si="24"/>
        <v/>
      </c>
      <c r="S179" s="33" t="str">
        <f t="shared" si="25"/>
        <v/>
      </c>
      <c r="T179" s="33" t="str">
        <f t="shared" si="26"/>
        <v/>
      </c>
      <c r="U179" s="33" t="str">
        <f t="shared" si="27"/>
        <v/>
      </c>
      <c r="V179" s="33" t="str">
        <f t="shared" si="28"/>
        <v/>
      </c>
    </row>
    <row r="180" spans="1:22" x14ac:dyDescent="0.25">
      <c r="A180" s="19"/>
      <c r="B180" t="s">
        <v>377</v>
      </c>
      <c r="C180" s="19" t="e" cm="1">
        <f t="array" ref="C180">_xlfn.TEXTSPLIT(A180,",")</f>
        <v>#VALUE!</v>
      </c>
      <c r="D180" s="19"/>
      <c r="E180" s="19"/>
      <c r="F180" s="36" t="e" cm="1" vm="1">
        <f t="array" ref="F180">_xlfn.TEXTJOIN(",",TRUE,_xlfn._xlws.FILTER(CLASSIFICATION[Keyword], ($E180=CLASSIFICATION[Keyword Aggr])*($D180=CLASSIFICATION[Functional Scope Aggr])))</f>
        <v>#VALUE!</v>
      </c>
      <c r="G180" s="32" t="e">
        <f t="shared" si="22"/>
        <v>#VALUE!</v>
      </c>
      <c r="H180" s="32" t="str">
        <f t="shared" si="22"/>
        <v/>
      </c>
      <c r="I180" s="32">
        <f t="shared" si="29"/>
        <v>0</v>
      </c>
      <c r="J180" s="33" t="str" cm="1">
        <f t="array" aca="1" ref="J180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($E180=CLASSIFICATION[[Keyword Aggr]:[Keyword Aggr]])*($D180=CLASSIFICATION[[Functional Scope Aggr]:[Functional Scope Aggr]])),
_xlpm._platform_keywords, _xlfn.TEXTSPLIT(SUBSTITUTE(SUBSTITUTE(VLOOKUP($D180,_xlpm._platform_range,3,FALSE),"+"&amp;CHAR(34),"+"),CHAR(34),""),", "),
_xlpm._exists, SUMPRODUCT(--ISNUMBER(MATCH(_xlpm._platform_keywords,_xlpm._original_keywords,0)))&gt;0,
_xlfn.IFS(AND(_xlpm._exists,LEFT($E180,1)="+"),"+",_xlpm._exists,"*",NOT(_xlpm._exists),"")
)</f>
        <v/>
      </c>
      <c r="K180" s="33" t="str" cm="1">
        <f t="array" aca="1" ref="K180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($E180=CLASSIFICATION[[Keyword Aggr]:[Keyword Aggr]])*($D180=CLASSIFICATION[[Functional Scope Aggr]:[Functional Scope Aggr]])),
_xlpm._platform_keywords, _xlfn.TEXTSPLIT(SUBSTITUTE(SUBSTITUTE(VLOOKUP($D180,_xlpm._platform_range,3,FALSE),"+"&amp;CHAR(34),"+"),CHAR(34),""),", "),
_xlpm._exists, SUMPRODUCT(--ISNUMBER(MATCH(_xlpm._platform_keywords,_xlpm._original_keywords,0)))&gt;0,
_xlfn.IFS(AND(_xlpm._exists,LEFT($E180,1)="+"),"+",_xlpm._exists,"*",NOT(_xlpm._exists),"")
)</f>
        <v/>
      </c>
      <c r="L180" s="33" t="str" cm="1">
        <f t="array" aca="1" ref="L180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($E180=CLASSIFICATION[[Keyword Aggr]:[Keyword Aggr]])*($D180=CLASSIFICATION[[Functional Scope Aggr]:[Functional Scope Aggr]])),
_xlpm._platform_keywords, _xlfn.TEXTSPLIT(SUBSTITUTE(SUBSTITUTE(VLOOKUP($D180,_xlpm._platform_range,3,FALSE),"+"&amp;CHAR(34),"+"),CHAR(34),""),", "),
_xlpm._exists, SUMPRODUCT(--ISNUMBER(MATCH(_xlpm._platform_keywords,_xlpm._original_keywords,0)))&gt;0,
_xlfn.IFS(AND(_xlpm._exists,LEFT($E180,1)="+"),"+",_xlpm._exists,"*",NOT(_xlpm._exists),"")
)</f>
        <v/>
      </c>
      <c r="M180" s="33" t="str" cm="1">
        <f t="array" aca="1" ref="M180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($E180=CLASSIFICATION[[Keyword Aggr]:[Keyword Aggr]])*($D180=CLASSIFICATION[[Functional Scope Aggr]:[Functional Scope Aggr]])),
_xlpm._platform_keywords, _xlfn.TEXTSPLIT(SUBSTITUTE(SUBSTITUTE(VLOOKUP($D180,_xlpm._platform_range,3,FALSE),"+"&amp;CHAR(34),"+"),CHAR(34),""),", "),
_xlpm._exists, SUMPRODUCT(--ISNUMBER(MATCH(_xlpm._platform_keywords,_xlpm._original_keywords,0)))&gt;0,
_xlfn.IFS(AND(_xlpm._exists,LEFT($E180,1)="+"),"+",_xlpm._exists,"*",NOT(_xlpm._exists),"")
)</f>
        <v/>
      </c>
      <c r="N180" s="33" t="str" cm="1">
        <f t="array" aca="1" ref="N180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($E180=CLASSIFICATION[[Keyword Aggr]:[Keyword Aggr]])*($D180=CLASSIFICATION[[Functional Scope Aggr]:[Functional Scope Aggr]])),
_xlpm._platform_keywords, _xlfn.TEXTSPLIT(SUBSTITUTE(SUBSTITUTE(VLOOKUP($D180,_xlpm._platform_range,3,FALSE),"+"&amp;CHAR(34),"+"),CHAR(34),""),", "),
_xlpm._exists, SUMPRODUCT(--ISNUMBER(MATCH(_xlpm._platform_keywords,_xlpm._original_keywords,0)))&gt;0,
_xlfn.IFS(AND(_xlpm._exists,LEFT($E180,1)="+"),"+",_xlpm._exists,"*",NOT(_xlpm._exists),"")
)</f>
        <v/>
      </c>
      <c r="O180" s="33" t="str" cm="1">
        <f t="array" aca="1" ref="O180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($E180=CLASSIFICATION[[Keyword Aggr]:[Keyword Aggr]])*($D180=CLASSIFICATION[[Functional Scope Aggr]:[Functional Scope Aggr]])),
_xlpm._platform_keywords, _xlfn.TEXTSPLIT(SUBSTITUTE(SUBSTITUTE(VLOOKUP($D180,_xlpm._platform_range,3,FALSE),"+"&amp;CHAR(34),"+"),CHAR(34),""),", "),
_xlpm._exists, SUMPRODUCT(--ISNUMBER(MATCH(_xlpm._platform_keywords,_xlpm._original_keywords,0)))&gt;0,
_xlfn.IFS(AND(_xlpm._exists,LEFT($E180,1)="+"),"+",_xlpm._exists,"*",NOT(_xlpm._exists),"")
)</f>
        <v/>
      </c>
      <c r="Q180" s="33" t="str">
        <f t="shared" si="23"/>
        <v/>
      </c>
      <c r="R180" s="33" t="str">
        <f t="shared" si="24"/>
        <v/>
      </c>
      <c r="S180" s="33" t="str">
        <f t="shared" si="25"/>
        <v/>
      </c>
      <c r="T180" s="33" t="str">
        <f t="shared" si="26"/>
        <v/>
      </c>
      <c r="U180" s="33" t="str">
        <f t="shared" si="27"/>
        <v/>
      </c>
      <c r="V180" s="33" t="str">
        <f t="shared" si="28"/>
        <v/>
      </c>
    </row>
    <row r="181" spans="1:22" x14ac:dyDescent="0.25">
      <c r="A181" s="19"/>
      <c r="B181" t="s">
        <v>377</v>
      </c>
      <c r="C181" s="19" t="e" cm="1">
        <f t="array" ref="C181">_xlfn.TEXTSPLIT(A181,",")</f>
        <v>#VALUE!</v>
      </c>
      <c r="D181" s="19"/>
      <c r="E181" s="19"/>
      <c r="F181" s="36" t="e" cm="1" vm="1">
        <f t="array" ref="F181">_xlfn.TEXTJOIN(",",TRUE,_xlfn._xlws.FILTER(CLASSIFICATION[Keyword], ($E181=CLASSIFICATION[Keyword Aggr])*($D181=CLASSIFICATION[Functional Scope Aggr])))</f>
        <v>#VALUE!</v>
      </c>
      <c r="G181" s="32" t="e">
        <f t="shared" si="22"/>
        <v>#VALUE!</v>
      </c>
      <c r="H181" s="32" t="str">
        <f t="shared" si="22"/>
        <v/>
      </c>
      <c r="I181" s="32">
        <f t="shared" si="29"/>
        <v>0</v>
      </c>
      <c r="J181" s="33" t="str" cm="1">
        <f t="array" aca="1" ref="J181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($E181=CLASSIFICATION[[Keyword Aggr]:[Keyword Aggr]])*($D181=CLASSIFICATION[[Functional Scope Aggr]:[Functional Scope Aggr]])),
_xlpm._platform_keywords, _xlfn.TEXTSPLIT(SUBSTITUTE(SUBSTITUTE(VLOOKUP($D181,_xlpm._platform_range,3,FALSE),"+"&amp;CHAR(34),"+"),CHAR(34),""),", "),
_xlpm._exists, SUMPRODUCT(--ISNUMBER(MATCH(_xlpm._platform_keywords,_xlpm._original_keywords,0)))&gt;0,
_xlfn.IFS(AND(_xlpm._exists,LEFT($E181,1)="+"),"+",_xlpm._exists,"*",NOT(_xlpm._exists),"")
)</f>
        <v/>
      </c>
      <c r="K181" s="33" t="str" cm="1">
        <f t="array" aca="1" ref="K181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($E181=CLASSIFICATION[[Keyword Aggr]:[Keyword Aggr]])*($D181=CLASSIFICATION[[Functional Scope Aggr]:[Functional Scope Aggr]])),
_xlpm._platform_keywords, _xlfn.TEXTSPLIT(SUBSTITUTE(SUBSTITUTE(VLOOKUP($D181,_xlpm._platform_range,3,FALSE),"+"&amp;CHAR(34),"+"),CHAR(34),""),", "),
_xlpm._exists, SUMPRODUCT(--ISNUMBER(MATCH(_xlpm._platform_keywords,_xlpm._original_keywords,0)))&gt;0,
_xlfn.IFS(AND(_xlpm._exists,LEFT($E181,1)="+"),"+",_xlpm._exists,"*",NOT(_xlpm._exists),"")
)</f>
        <v/>
      </c>
      <c r="L181" s="33" t="str" cm="1">
        <f t="array" aca="1" ref="L181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($E181=CLASSIFICATION[[Keyword Aggr]:[Keyword Aggr]])*($D181=CLASSIFICATION[[Functional Scope Aggr]:[Functional Scope Aggr]])),
_xlpm._platform_keywords, _xlfn.TEXTSPLIT(SUBSTITUTE(SUBSTITUTE(VLOOKUP($D181,_xlpm._platform_range,3,FALSE),"+"&amp;CHAR(34),"+"),CHAR(34),""),", "),
_xlpm._exists, SUMPRODUCT(--ISNUMBER(MATCH(_xlpm._platform_keywords,_xlpm._original_keywords,0)))&gt;0,
_xlfn.IFS(AND(_xlpm._exists,LEFT($E181,1)="+"),"+",_xlpm._exists,"*",NOT(_xlpm._exists),"")
)</f>
        <v/>
      </c>
      <c r="M181" s="33" t="str" cm="1">
        <f t="array" aca="1" ref="M181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($E181=CLASSIFICATION[[Keyword Aggr]:[Keyword Aggr]])*($D181=CLASSIFICATION[[Functional Scope Aggr]:[Functional Scope Aggr]])),
_xlpm._platform_keywords, _xlfn.TEXTSPLIT(SUBSTITUTE(SUBSTITUTE(VLOOKUP($D181,_xlpm._platform_range,3,FALSE),"+"&amp;CHAR(34),"+"),CHAR(34),""),", "),
_xlpm._exists, SUMPRODUCT(--ISNUMBER(MATCH(_xlpm._platform_keywords,_xlpm._original_keywords,0)))&gt;0,
_xlfn.IFS(AND(_xlpm._exists,LEFT($E181,1)="+"),"+",_xlpm._exists,"*",NOT(_xlpm._exists),"")
)</f>
        <v/>
      </c>
      <c r="N181" s="33" t="str" cm="1">
        <f t="array" aca="1" ref="N181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($E181=CLASSIFICATION[[Keyword Aggr]:[Keyword Aggr]])*($D181=CLASSIFICATION[[Functional Scope Aggr]:[Functional Scope Aggr]])),
_xlpm._platform_keywords, _xlfn.TEXTSPLIT(SUBSTITUTE(SUBSTITUTE(VLOOKUP($D181,_xlpm._platform_range,3,FALSE),"+"&amp;CHAR(34),"+"),CHAR(34),""),", "),
_xlpm._exists, SUMPRODUCT(--ISNUMBER(MATCH(_xlpm._platform_keywords,_xlpm._original_keywords,0)))&gt;0,
_xlfn.IFS(AND(_xlpm._exists,LEFT($E181,1)="+"),"+",_xlpm._exists,"*",NOT(_xlpm._exists),"")
)</f>
        <v/>
      </c>
      <c r="O181" s="33" t="str" cm="1">
        <f t="array" aca="1" ref="O181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($E181=CLASSIFICATION[[Keyword Aggr]:[Keyword Aggr]])*($D181=CLASSIFICATION[[Functional Scope Aggr]:[Functional Scope Aggr]])),
_xlpm._platform_keywords, _xlfn.TEXTSPLIT(SUBSTITUTE(SUBSTITUTE(VLOOKUP($D181,_xlpm._platform_range,3,FALSE),"+"&amp;CHAR(34),"+"),CHAR(34),""),", "),
_xlpm._exists, SUMPRODUCT(--ISNUMBER(MATCH(_xlpm._platform_keywords,_xlpm._original_keywords,0)))&gt;0,
_xlfn.IFS(AND(_xlpm._exists,LEFT($E181,1)="+"),"+",_xlpm._exists,"*",NOT(_xlpm._exists),"")
)</f>
        <v/>
      </c>
      <c r="Q181" s="33" t="str">
        <f t="shared" si="23"/>
        <v/>
      </c>
      <c r="R181" s="33" t="str">
        <f t="shared" si="24"/>
        <v/>
      </c>
      <c r="S181" s="33" t="str">
        <f t="shared" si="25"/>
        <v/>
      </c>
      <c r="T181" s="33" t="str">
        <f t="shared" si="26"/>
        <v/>
      </c>
      <c r="U181" s="33" t="str">
        <f t="shared" si="27"/>
        <v/>
      </c>
      <c r="V181" s="33" t="str">
        <f t="shared" si="28"/>
        <v/>
      </c>
    </row>
    <row r="182" spans="1:22" x14ac:dyDescent="0.25">
      <c r="A182" s="19"/>
      <c r="B182" t="s">
        <v>377</v>
      </c>
      <c r="C182" s="19" t="e" cm="1">
        <f t="array" ref="C182">_xlfn.TEXTSPLIT(A182,",")</f>
        <v>#VALUE!</v>
      </c>
      <c r="D182" s="19"/>
      <c r="E182" s="19"/>
      <c r="F182" s="36" t="e" cm="1" vm="1">
        <f t="array" ref="F182">_xlfn.TEXTJOIN(",",TRUE,_xlfn._xlws.FILTER(CLASSIFICATION[Keyword], ($E182=CLASSIFICATION[Keyword Aggr])*($D182=CLASSIFICATION[Functional Scope Aggr])))</f>
        <v>#VALUE!</v>
      </c>
      <c r="G182" s="32" t="e">
        <f t="shared" si="22"/>
        <v>#VALUE!</v>
      </c>
      <c r="H182" s="32" t="str">
        <f t="shared" si="22"/>
        <v/>
      </c>
      <c r="I182" s="32">
        <f t="shared" si="29"/>
        <v>0</v>
      </c>
      <c r="J182" s="33" t="str" cm="1">
        <f t="array" aca="1" ref="J182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($E182=CLASSIFICATION[[Keyword Aggr]:[Keyword Aggr]])*($D182=CLASSIFICATION[[Functional Scope Aggr]:[Functional Scope Aggr]])),
_xlpm._platform_keywords, _xlfn.TEXTSPLIT(SUBSTITUTE(SUBSTITUTE(VLOOKUP($D182,_xlpm._platform_range,3,FALSE),"+"&amp;CHAR(34),"+"),CHAR(34),""),", "),
_xlpm._exists, SUMPRODUCT(--ISNUMBER(MATCH(_xlpm._platform_keywords,_xlpm._original_keywords,0)))&gt;0,
_xlfn.IFS(AND(_xlpm._exists,LEFT($E182,1)="+"),"+",_xlpm._exists,"*",NOT(_xlpm._exists),"")
)</f>
        <v/>
      </c>
      <c r="K182" s="33" t="str" cm="1">
        <f t="array" aca="1" ref="K182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($E182=CLASSIFICATION[[Keyword Aggr]:[Keyword Aggr]])*($D182=CLASSIFICATION[[Functional Scope Aggr]:[Functional Scope Aggr]])),
_xlpm._platform_keywords, _xlfn.TEXTSPLIT(SUBSTITUTE(SUBSTITUTE(VLOOKUP($D182,_xlpm._platform_range,3,FALSE),"+"&amp;CHAR(34),"+"),CHAR(34),""),", "),
_xlpm._exists, SUMPRODUCT(--ISNUMBER(MATCH(_xlpm._platform_keywords,_xlpm._original_keywords,0)))&gt;0,
_xlfn.IFS(AND(_xlpm._exists,LEFT($E182,1)="+"),"+",_xlpm._exists,"*",NOT(_xlpm._exists),"")
)</f>
        <v/>
      </c>
      <c r="L182" s="33" t="str" cm="1">
        <f t="array" aca="1" ref="L182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($E182=CLASSIFICATION[[Keyword Aggr]:[Keyword Aggr]])*($D182=CLASSIFICATION[[Functional Scope Aggr]:[Functional Scope Aggr]])),
_xlpm._platform_keywords, _xlfn.TEXTSPLIT(SUBSTITUTE(SUBSTITUTE(VLOOKUP($D182,_xlpm._platform_range,3,FALSE),"+"&amp;CHAR(34),"+"),CHAR(34),""),", "),
_xlpm._exists, SUMPRODUCT(--ISNUMBER(MATCH(_xlpm._platform_keywords,_xlpm._original_keywords,0)))&gt;0,
_xlfn.IFS(AND(_xlpm._exists,LEFT($E182,1)="+"),"+",_xlpm._exists,"*",NOT(_xlpm._exists),"")
)</f>
        <v/>
      </c>
      <c r="M182" s="33" t="str" cm="1">
        <f t="array" aca="1" ref="M182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($E182=CLASSIFICATION[[Keyword Aggr]:[Keyword Aggr]])*($D182=CLASSIFICATION[[Functional Scope Aggr]:[Functional Scope Aggr]])),
_xlpm._platform_keywords, _xlfn.TEXTSPLIT(SUBSTITUTE(SUBSTITUTE(VLOOKUP($D182,_xlpm._platform_range,3,FALSE),"+"&amp;CHAR(34),"+"),CHAR(34),""),", "),
_xlpm._exists, SUMPRODUCT(--ISNUMBER(MATCH(_xlpm._platform_keywords,_xlpm._original_keywords,0)))&gt;0,
_xlfn.IFS(AND(_xlpm._exists,LEFT($E182,1)="+"),"+",_xlpm._exists,"*",NOT(_xlpm._exists),"")
)</f>
        <v/>
      </c>
      <c r="N182" s="33" t="str" cm="1">
        <f t="array" aca="1" ref="N182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($E182=CLASSIFICATION[[Keyword Aggr]:[Keyword Aggr]])*($D182=CLASSIFICATION[[Functional Scope Aggr]:[Functional Scope Aggr]])),
_xlpm._platform_keywords, _xlfn.TEXTSPLIT(SUBSTITUTE(SUBSTITUTE(VLOOKUP($D182,_xlpm._platform_range,3,FALSE),"+"&amp;CHAR(34),"+"),CHAR(34),""),", "),
_xlpm._exists, SUMPRODUCT(--ISNUMBER(MATCH(_xlpm._platform_keywords,_xlpm._original_keywords,0)))&gt;0,
_xlfn.IFS(AND(_xlpm._exists,LEFT($E182,1)="+"),"+",_xlpm._exists,"*",NOT(_xlpm._exists),"")
)</f>
        <v/>
      </c>
      <c r="O182" s="33" t="str" cm="1">
        <f t="array" aca="1" ref="O182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($E182=CLASSIFICATION[[Keyword Aggr]:[Keyword Aggr]])*($D182=CLASSIFICATION[[Functional Scope Aggr]:[Functional Scope Aggr]])),
_xlpm._platform_keywords, _xlfn.TEXTSPLIT(SUBSTITUTE(SUBSTITUTE(VLOOKUP($D182,_xlpm._platform_range,3,FALSE),"+"&amp;CHAR(34),"+"),CHAR(34),""),", "),
_xlpm._exists, SUMPRODUCT(--ISNUMBER(MATCH(_xlpm._platform_keywords,_xlpm._original_keywords,0)))&gt;0,
_xlfn.IFS(AND(_xlpm._exists,LEFT($E182,1)="+"),"+",_xlpm._exists,"*",NOT(_xlpm._exists),"")
)</f>
        <v/>
      </c>
      <c r="Q182" s="33" t="str">
        <f t="shared" si="23"/>
        <v/>
      </c>
      <c r="R182" s="33" t="str">
        <f t="shared" si="24"/>
        <v/>
      </c>
      <c r="S182" s="33" t="str">
        <f t="shared" si="25"/>
        <v/>
      </c>
      <c r="T182" s="33" t="str">
        <f t="shared" si="26"/>
        <v/>
      </c>
      <c r="U182" s="33" t="str">
        <f t="shared" si="27"/>
        <v/>
      </c>
      <c r="V182" s="33" t="str">
        <f t="shared" si="28"/>
        <v/>
      </c>
    </row>
    <row r="183" spans="1:22" x14ac:dyDescent="0.25">
      <c r="A183" s="19"/>
      <c r="B183" t="s">
        <v>377</v>
      </c>
      <c r="C183" s="19" t="e" cm="1">
        <f t="array" ref="C183">_xlfn.TEXTSPLIT(A183,",")</f>
        <v>#VALUE!</v>
      </c>
      <c r="D183" s="19"/>
      <c r="E183" s="19"/>
      <c r="F183" s="36" t="e" cm="1" vm="1">
        <f t="array" ref="F183">_xlfn.TEXTJOIN(",",TRUE,_xlfn._xlws.FILTER(CLASSIFICATION[Keyword], ($E183=CLASSIFICATION[Keyword Aggr])*($D183=CLASSIFICATION[Functional Scope Aggr])))</f>
        <v>#VALUE!</v>
      </c>
      <c r="G183" s="32" t="e">
        <f t="shared" si="22"/>
        <v>#VALUE!</v>
      </c>
      <c r="H183" s="32" t="str">
        <f t="shared" si="22"/>
        <v/>
      </c>
      <c r="I183" s="32">
        <f t="shared" si="29"/>
        <v>0</v>
      </c>
      <c r="J183" s="33" t="str" cm="1">
        <f t="array" aca="1" ref="J183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($E183=CLASSIFICATION[[Keyword Aggr]:[Keyword Aggr]])*($D183=CLASSIFICATION[[Functional Scope Aggr]:[Functional Scope Aggr]])),
_xlpm._platform_keywords, _xlfn.TEXTSPLIT(SUBSTITUTE(SUBSTITUTE(VLOOKUP($D183,_xlpm._platform_range,3,FALSE),"+"&amp;CHAR(34),"+"),CHAR(34),""),", "),
_xlpm._exists, SUMPRODUCT(--ISNUMBER(MATCH(_xlpm._platform_keywords,_xlpm._original_keywords,0)))&gt;0,
_xlfn.IFS(AND(_xlpm._exists,LEFT($E183,1)="+"),"+",_xlpm._exists,"*",NOT(_xlpm._exists),"")
)</f>
        <v/>
      </c>
      <c r="K183" s="33" t="str" cm="1">
        <f t="array" aca="1" ref="K183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($E183=CLASSIFICATION[[Keyword Aggr]:[Keyword Aggr]])*($D183=CLASSIFICATION[[Functional Scope Aggr]:[Functional Scope Aggr]])),
_xlpm._platform_keywords, _xlfn.TEXTSPLIT(SUBSTITUTE(SUBSTITUTE(VLOOKUP($D183,_xlpm._platform_range,3,FALSE),"+"&amp;CHAR(34),"+"),CHAR(34),""),", "),
_xlpm._exists, SUMPRODUCT(--ISNUMBER(MATCH(_xlpm._platform_keywords,_xlpm._original_keywords,0)))&gt;0,
_xlfn.IFS(AND(_xlpm._exists,LEFT($E183,1)="+"),"+",_xlpm._exists,"*",NOT(_xlpm._exists),"")
)</f>
        <v/>
      </c>
      <c r="L183" s="33" t="str" cm="1">
        <f t="array" aca="1" ref="L183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($E183=CLASSIFICATION[[Keyword Aggr]:[Keyword Aggr]])*($D183=CLASSIFICATION[[Functional Scope Aggr]:[Functional Scope Aggr]])),
_xlpm._platform_keywords, _xlfn.TEXTSPLIT(SUBSTITUTE(SUBSTITUTE(VLOOKUP($D183,_xlpm._platform_range,3,FALSE),"+"&amp;CHAR(34),"+"),CHAR(34),""),", "),
_xlpm._exists, SUMPRODUCT(--ISNUMBER(MATCH(_xlpm._platform_keywords,_xlpm._original_keywords,0)))&gt;0,
_xlfn.IFS(AND(_xlpm._exists,LEFT($E183,1)="+"),"+",_xlpm._exists,"*",NOT(_xlpm._exists),"")
)</f>
        <v/>
      </c>
      <c r="M183" s="33" t="str" cm="1">
        <f t="array" aca="1" ref="M183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($E183=CLASSIFICATION[[Keyword Aggr]:[Keyword Aggr]])*($D183=CLASSIFICATION[[Functional Scope Aggr]:[Functional Scope Aggr]])),
_xlpm._platform_keywords, _xlfn.TEXTSPLIT(SUBSTITUTE(SUBSTITUTE(VLOOKUP($D183,_xlpm._platform_range,3,FALSE),"+"&amp;CHAR(34),"+"),CHAR(34),""),", "),
_xlpm._exists, SUMPRODUCT(--ISNUMBER(MATCH(_xlpm._platform_keywords,_xlpm._original_keywords,0)))&gt;0,
_xlfn.IFS(AND(_xlpm._exists,LEFT($E183,1)="+"),"+",_xlpm._exists,"*",NOT(_xlpm._exists),"")
)</f>
        <v/>
      </c>
      <c r="N183" s="33" t="str" cm="1">
        <f t="array" aca="1" ref="N183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($E183=CLASSIFICATION[[Keyword Aggr]:[Keyword Aggr]])*($D183=CLASSIFICATION[[Functional Scope Aggr]:[Functional Scope Aggr]])),
_xlpm._platform_keywords, _xlfn.TEXTSPLIT(SUBSTITUTE(SUBSTITUTE(VLOOKUP($D183,_xlpm._platform_range,3,FALSE),"+"&amp;CHAR(34),"+"),CHAR(34),""),", "),
_xlpm._exists, SUMPRODUCT(--ISNUMBER(MATCH(_xlpm._platform_keywords,_xlpm._original_keywords,0)))&gt;0,
_xlfn.IFS(AND(_xlpm._exists,LEFT($E183,1)="+"),"+",_xlpm._exists,"*",NOT(_xlpm._exists),"")
)</f>
        <v/>
      </c>
      <c r="O183" s="33" t="str" cm="1">
        <f t="array" aca="1" ref="O183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($E183=CLASSIFICATION[[Keyword Aggr]:[Keyword Aggr]])*($D183=CLASSIFICATION[[Functional Scope Aggr]:[Functional Scope Aggr]])),
_xlpm._platform_keywords, _xlfn.TEXTSPLIT(SUBSTITUTE(SUBSTITUTE(VLOOKUP($D183,_xlpm._platform_range,3,FALSE),"+"&amp;CHAR(34),"+"),CHAR(34),""),", "),
_xlpm._exists, SUMPRODUCT(--ISNUMBER(MATCH(_xlpm._platform_keywords,_xlpm._original_keywords,0)))&gt;0,
_xlfn.IFS(AND(_xlpm._exists,LEFT($E183,1)="+"),"+",_xlpm._exists,"*",NOT(_xlpm._exists),"")
)</f>
        <v/>
      </c>
      <c r="Q183" s="33" t="str">
        <f t="shared" si="23"/>
        <v/>
      </c>
      <c r="R183" s="33" t="str">
        <f t="shared" si="24"/>
        <v/>
      </c>
      <c r="S183" s="33" t="str">
        <f t="shared" si="25"/>
        <v/>
      </c>
      <c r="T183" s="33" t="str">
        <f t="shared" si="26"/>
        <v/>
      </c>
      <c r="U183" s="33" t="str">
        <f t="shared" si="27"/>
        <v/>
      </c>
      <c r="V183" s="33" t="str">
        <f t="shared" si="28"/>
        <v/>
      </c>
    </row>
    <row r="184" spans="1:22" x14ac:dyDescent="0.25">
      <c r="A184" s="19"/>
      <c r="B184" t="s">
        <v>377</v>
      </c>
      <c r="C184" s="19" t="e" cm="1">
        <f t="array" ref="C184">_xlfn.TEXTSPLIT(A184,",")</f>
        <v>#VALUE!</v>
      </c>
      <c r="D184" s="19"/>
      <c r="E184" s="19"/>
      <c r="F184" s="36" t="e" cm="1" vm="1">
        <f t="array" ref="F184">_xlfn.TEXTJOIN(",",TRUE,_xlfn._xlws.FILTER(CLASSIFICATION[Keyword], ($E184=CLASSIFICATION[Keyword Aggr])*($D184=CLASSIFICATION[Functional Scope Aggr])))</f>
        <v>#VALUE!</v>
      </c>
      <c r="G184" s="32" t="e">
        <f t="shared" si="22"/>
        <v>#VALUE!</v>
      </c>
      <c r="H184" s="32" t="str">
        <f t="shared" si="22"/>
        <v/>
      </c>
      <c r="I184" s="32">
        <f t="shared" si="29"/>
        <v>0</v>
      </c>
      <c r="J184" s="33" t="str" cm="1">
        <f t="array" aca="1" ref="J184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($E184=CLASSIFICATION[[Keyword Aggr]:[Keyword Aggr]])*($D184=CLASSIFICATION[[Functional Scope Aggr]:[Functional Scope Aggr]])),
_xlpm._platform_keywords, _xlfn.TEXTSPLIT(SUBSTITUTE(SUBSTITUTE(VLOOKUP($D184,_xlpm._platform_range,3,FALSE),"+"&amp;CHAR(34),"+"),CHAR(34),""),", "),
_xlpm._exists, SUMPRODUCT(--ISNUMBER(MATCH(_xlpm._platform_keywords,_xlpm._original_keywords,0)))&gt;0,
_xlfn.IFS(AND(_xlpm._exists,LEFT($E184,1)="+"),"+",_xlpm._exists,"*",NOT(_xlpm._exists),"")
)</f>
        <v/>
      </c>
      <c r="K184" s="33" t="str" cm="1">
        <f t="array" aca="1" ref="K184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($E184=CLASSIFICATION[[Keyword Aggr]:[Keyword Aggr]])*($D184=CLASSIFICATION[[Functional Scope Aggr]:[Functional Scope Aggr]])),
_xlpm._platform_keywords, _xlfn.TEXTSPLIT(SUBSTITUTE(SUBSTITUTE(VLOOKUP($D184,_xlpm._platform_range,3,FALSE),"+"&amp;CHAR(34),"+"),CHAR(34),""),", "),
_xlpm._exists, SUMPRODUCT(--ISNUMBER(MATCH(_xlpm._platform_keywords,_xlpm._original_keywords,0)))&gt;0,
_xlfn.IFS(AND(_xlpm._exists,LEFT($E184,1)="+"),"+",_xlpm._exists,"*",NOT(_xlpm._exists),"")
)</f>
        <v/>
      </c>
      <c r="L184" s="33" t="str" cm="1">
        <f t="array" aca="1" ref="L184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($E184=CLASSIFICATION[[Keyword Aggr]:[Keyword Aggr]])*($D184=CLASSIFICATION[[Functional Scope Aggr]:[Functional Scope Aggr]])),
_xlpm._platform_keywords, _xlfn.TEXTSPLIT(SUBSTITUTE(SUBSTITUTE(VLOOKUP($D184,_xlpm._platform_range,3,FALSE),"+"&amp;CHAR(34),"+"),CHAR(34),""),", "),
_xlpm._exists, SUMPRODUCT(--ISNUMBER(MATCH(_xlpm._platform_keywords,_xlpm._original_keywords,0)))&gt;0,
_xlfn.IFS(AND(_xlpm._exists,LEFT($E184,1)="+"),"+",_xlpm._exists,"*",NOT(_xlpm._exists),"")
)</f>
        <v/>
      </c>
      <c r="M184" s="33" t="str" cm="1">
        <f t="array" aca="1" ref="M184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($E184=CLASSIFICATION[[Keyword Aggr]:[Keyword Aggr]])*($D184=CLASSIFICATION[[Functional Scope Aggr]:[Functional Scope Aggr]])),
_xlpm._platform_keywords, _xlfn.TEXTSPLIT(SUBSTITUTE(SUBSTITUTE(VLOOKUP($D184,_xlpm._platform_range,3,FALSE),"+"&amp;CHAR(34),"+"),CHAR(34),""),", "),
_xlpm._exists, SUMPRODUCT(--ISNUMBER(MATCH(_xlpm._platform_keywords,_xlpm._original_keywords,0)))&gt;0,
_xlfn.IFS(AND(_xlpm._exists,LEFT($E184,1)="+"),"+",_xlpm._exists,"*",NOT(_xlpm._exists),"")
)</f>
        <v/>
      </c>
      <c r="N184" s="33" t="str" cm="1">
        <f t="array" aca="1" ref="N184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($E184=CLASSIFICATION[[Keyword Aggr]:[Keyword Aggr]])*($D184=CLASSIFICATION[[Functional Scope Aggr]:[Functional Scope Aggr]])),
_xlpm._platform_keywords, _xlfn.TEXTSPLIT(SUBSTITUTE(SUBSTITUTE(VLOOKUP($D184,_xlpm._platform_range,3,FALSE),"+"&amp;CHAR(34),"+"),CHAR(34),""),", "),
_xlpm._exists, SUMPRODUCT(--ISNUMBER(MATCH(_xlpm._platform_keywords,_xlpm._original_keywords,0)))&gt;0,
_xlfn.IFS(AND(_xlpm._exists,LEFT($E184,1)="+"),"+",_xlpm._exists,"*",NOT(_xlpm._exists),"")
)</f>
        <v/>
      </c>
      <c r="O184" s="33" t="str" cm="1">
        <f t="array" aca="1" ref="O184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($E184=CLASSIFICATION[[Keyword Aggr]:[Keyword Aggr]])*($D184=CLASSIFICATION[[Functional Scope Aggr]:[Functional Scope Aggr]])),
_xlpm._platform_keywords, _xlfn.TEXTSPLIT(SUBSTITUTE(SUBSTITUTE(VLOOKUP($D184,_xlpm._platform_range,3,FALSE),"+"&amp;CHAR(34),"+"),CHAR(34),""),", "),
_xlpm._exists, SUMPRODUCT(--ISNUMBER(MATCH(_xlpm._platform_keywords,_xlpm._original_keywords,0)))&gt;0,
_xlfn.IFS(AND(_xlpm._exists,LEFT($E184,1)="+"),"+",_xlpm._exists,"*",NOT(_xlpm._exists),"")
)</f>
        <v/>
      </c>
      <c r="Q184" s="33" t="str">
        <f t="shared" si="23"/>
        <v/>
      </c>
      <c r="R184" s="33" t="str">
        <f t="shared" si="24"/>
        <v/>
      </c>
      <c r="S184" s="33" t="str">
        <f t="shared" si="25"/>
        <v/>
      </c>
      <c r="T184" s="33" t="str">
        <f t="shared" si="26"/>
        <v/>
      </c>
      <c r="U184" s="33" t="str">
        <f t="shared" si="27"/>
        <v/>
      </c>
      <c r="V184" s="33" t="str">
        <f t="shared" si="28"/>
        <v/>
      </c>
    </row>
    <row r="185" spans="1:22" x14ac:dyDescent="0.25">
      <c r="A185" s="19"/>
      <c r="B185" t="s">
        <v>377</v>
      </c>
      <c r="C185" s="19" t="e" cm="1">
        <f t="array" ref="C185">_xlfn.TEXTSPLIT(A185,",")</f>
        <v>#VALUE!</v>
      </c>
      <c r="D185" s="19"/>
      <c r="E185" s="19"/>
      <c r="F185" s="36" t="e" cm="1" vm="1">
        <f t="array" ref="F185">_xlfn.TEXTJOIN(",",TRUE,_xlfn._xlws.FILTER(CLASSIFICATION[Keyword], ($E185=CLASSIFICATION[Keyword Aggr])*($D185=CLASSIFICATION[Functional Scope Aggr])))</f>
        <v>#VALUE!</v>
      </c>
      <c r="G185" s="32" t="e">
        <f t="shared" si="22"/>
        <v>#VALUE!</v>
      </c>
      <c r="H185" s="32" t="str">
        <f t="shared" si="22"/>
        <v/>
      </c>
      <c r="I185" s="32">
        <f t="shared" si="29"/>
        <v>0</v>
      </c>
      <c r="J185" s="33" t="str" cm="1">
        <f t="array" aca="1" ref="J185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($E185=CLASSIFICATION[[Keyword Aggr]:[Keyword Aggr]])*($D185=CLASSIFICATION[[Functional Scope Aggr]:[Functional Scope Aggr]])),
_xlpm._platform_keywords, _xlfn.TEXTSPLIT(SUBSTITUTE(SUBSTITUTE(VLOOKUP($D185,_xlpm._platform_range,3,FALSE),"+"&amp;CHAR(34),"+"),CHAR(34),""),", "),
_xlpm._exists, SUMPRODUCT(--ISNUMBER(MATCH(_xlpm._platform_keywords,_xlpm._original_keywords,0)))&gt;0,
_xlfn.IFS(AND(_xlpm._exists,LEFT($E185,1)="+"),"+",_xlpm._exists,"*",NOT(_xlpm._exists),"")
)</f>
        <v/>
      </c>
      <c r="K185" s="33" t="str" cm="1">
        <f t="array" aca="1" ref="K185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($E185=CLASSIFICATION[[Keyword Aggr]:[Keyword Aggr]])*($D185=CLASSIFICATION[[Functional Scope Aggr]:[Functional Scope Aggr]])),
_xlpm._platform_keywords, _xlfn.TEXTSPLIT(SUBSTITUTE(SUBSTITUTE(VLOOKUP($D185,_xlpm._platform_range,3,FALSE),"+"&amp;CHAR(34),"+"),CHAR(34),""),", "),
_xlpm._exists, SUMPRODUCT(--ISNUMBER(MATCH(_xlpm._platform_keywords,_xlpm._original_keywords,0)))&gt;0,
_xlfn.IFS(AND(_xlpm._exists,LEFT($E185,1)="+"),"+",_xlpm._exists,"*",NOT(_xlpm._exists),"")
)</f>
        <v/>
      </c>
      <c r="L185" s="33" t="str" cm="1">
        <f t="array" aca="1" ref="L185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($E185=CLASSIFICATION[[Keyword Aggr]:[Keyword Aggr]])*($D185=CLASSIFICATION[[Functional Scope Aggr]:[Functional Scope Aggr]])),
_xlpm._platform_keywords, _xlfn.TEXTSPLIT(SUBSTITUTE(SUBSTITUTE(VLOOKUP($D185,_xlpm._platform_range,3,FALSE),"+"&amp;CHAR(34),"+"),CHAR(34),""),", "),
_xlpm._exists, SUMPRODUCT(--ISNUMBER(MATCH(_xlpm._platform_keywords,_xlpm._original_keywords,0)))&gt;0,
_xlfn.IFS(AND(_xlpm._exists,LEFT($E185,1)="+"),"+",_xlpm._exists,"*",NOT(_xlpm._exists),"")
)</f>
        <v/>
      </c>
      <c r="M185" s="33" t="str" cm="1">
        <f t="array" aca="1" ref="M185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($E185=CLASSIFICATION[[Keyword Aggr]:[Keyword Aggr]])*($D185=CLASSIFICATION[[Functional Scope Aggr]:[Functional Scope Aggr]])),
_xlpm._platform_keywords, _xlfn.TEXTSPLIT(SUBSTITUTE(SUBSTITUTE(VLOOKUP($D185,_xlpm._platform_range,3,FALSE),"+"&amp;CHAR(34),"+"),CHAR(34),""),", "),
_xlpm._exists, SUMPRODUCT(--ISNUMBER(MATCH(_xlpm._platform_keywords,_xlpm._original_keywords,0)))&gt;0,
_xlfn.IFS(AND(_xlpm._exists,LEFT($E185,1)="+"),"+",_xlpm._exists,"*",NOT(_xlpm._exists),"")
)</f>
        <v/>
      </c>
      <c r="N185" s="33" t="str" cm="1">
        <f t="array" aca="1" ref="N185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($E185=CLASSIFICATION[[Keyword Aggr]:[Keyword Aggr]])*($D185=CLASSIFICATION[[Functional Scope Aggr]:[Functional Scope Aggr]])),
_xlpm._platform_keywords, _xlfn.TEXTSPLIT(SUBSTITUTE(SUBSTITUTE(VLOOKUP($D185,_xlpm._platform_range,3,FALSE),"+"&amp;CHAR(34),"+"),CHAR(34),""),", "),
_xlpm._exists, SUMPRODUCT(--ISNUMBER(MATCH(_xlpm._platform_keywords,_xlpm._original_keywords,0)))&gt;0,
_xlfn.IFS(AND(_xlpm._exists,LEFT($E185,1)="+"),"+",_xlpm._exists,"*",NOT(_xlpm._exists),"")
)</f>
        <v/>
      </c>
      <c r="O185" s="33" t="str" cm="1">
        <f t="array" aca="1" ref="O185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($E185=CLASSIFICATION[[Keyword Aggr]:[Keyword Aggr]])*($D185=CLASSIFICATION[[Functional Scope Aggr]:[Functional Scope Aggr]])),
_xlpm._platform_keywords, _xlfn.TEXTSPLIT(SUBSTITUTE(SUBSTITUTE(VLOOKUP($D185,_xlpm._platform_range,3,FALSE),"+"&amp;CHAR(34),"+"),CHAR(34),""),", "),
_xlpm._exists, SUMPRODUCT(--ISNUMBER(MATCH(_xlpm._platform_keywords,_xlpm._original_keywords,0)))&gt;0,
_xlfn.IFS(AND(_xlpm._exists,LEFT($E185,1)="+"),"+",_xlpm._exists,"*",NOT(_xlpm._exists),"")
)</f>
        <v/>
      </c>
      <c r="Q185" s="33" t="str">
        <f t="shared" si="23"/>
        <v/>
      </c>
      <c r="R185" s="33" t="str">
        <f t="shared" si="24"/>
        <v/>
      </c>
      <c r="S185" s="33" t="str">
        <f t="shared" si="25"/>
        <v/>
      </c>
      <c r="T185" s="33" t="str">
        <f t="shared" si="26"/>
        <v/>
      </c>
      <c r="U185" s="33" t="str">
        <f t="shared" si="27"/>
        <v/>
      </c>
      <c r="V185" s="33" t="str">
        <f t="shared" si="28"/>
        <v/>
      </c>
    </row>
    <row r="186" spans="1:22" x14ac:dyDescent="0.25">
      <c r="A186" s="19"/>
      <c r="B186" t="s">
        <v>377</v>
      </c>
      <c r="C186" s="19" t="e" cm="1">
        <f t="array" ref="C186">_xlfn.TEXTSPLIT(A186,",")</f>
        <v>#VALUE!</v>
      </c>
      <c r="D186" s="19"/>
      <c r="E186" s="19"/>
      <c r="F186" s="36" t="e" cm="1" vm="1">
        <f t="array" ref="F186">_xlfn.TEXTJOIN(",",TRUE,_xlfn._xlws.FILTER(CLASSIFICATION[Keyword], ($E186=CLASSIFICATION[Keyword Aggr])*($D186=CLASSIFICATION[Functional Scope Aggr])))</f>
        <v>#VALUE!</v>
      </c>
      <c r="G186" s="32" t="e">
        <f t="shared" si="22"/>
        <v>#VALUE!</v>
      </c>
      <c r="H186" s="32" t="str">
        <f t="shared" si="22"/>
        <v/>
      </c>
      <c r="I186" s="32">
        <f t="shared" si="29"/>
        <v>0</v>
      </c>
      <c r="J186" s="33" t="str" cm="1">
        <f t="array" aca="1" ref="J186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($E186=CLASSIFICATION[[Keyword Aggr]:[Keyword Aggr]])*($D186=CLASSIFICATION[[Functional Scope Aggr]:[Functional Scope Aggr]])),
_xlpm._platform_keywords, _xlfn.TEXTSPLIT(SUBSTITUTE(SUBSTITUTE(VLOOKUP($D186,_xlpm._platform_range,3,FALSE),"+"&amp;CHAR(34),"+"),CHAR(34),""),", "),
_xlpm._exists, SUMPRODUCT(--ISNUMBER(MATCH(_xlpm._platform_keywords,_xlpm._original_keywords,0)))&gt;0,
_xlfn.IFS(AND(_xlpm._exists,LEFT($E186,1)="+"),"+",_xlpm._exists,"*",NOT(_xlpm._exists),"")
)</f>
        <v/>
      </c>
      <c r="K186" s="33" t="str" cm="1">
        <f t="array" aca="1" ref="K186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($E186=CLASSIFICATION[[Keyword Aggr]:[Keyword Aggr]])*($D186=CLASSIFICATION[[Functional Scope Aggr]:[Functional Scope Aggr]])),
_xlpm._platform_keywords, _xlfn.TEXTSPLIT(SUBSTITUTE(SUBSTITUTE(VLOOKUP($D186,_xlpm._platform_range,3,FALSE),"+"&amp;CHAR(34),"+"),CHAR(34),""),", "),
_xlpm._exists, SUMPRODUCT(--ISNUMBER(MATCH(_xlpm._platform_keywords,_xlpm._original_keywords,0)))&gt;0,
_xlfn.IFS(AND(_xlpm._exists,LEFT($E186,1)="+"),"+",_xlpm._exists,"*",NOT(_xlpm._exists),"")
)</f>
        <v/>
      </c>
      <c r="L186" s="33" t="str" cm="1">
        <f t="array" aca="1" ref="L186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($E186=CLASSIFICATION[[Keyword Aggr]:[Keyword Aggr]])*($D186=CLASSIFICATION[[Functional Scope Aggr]:[Functional Scope Aggr]])),
_xlpm._platform_keywords, _xlfn.TEXTSPLIT(SUBSTITUTE(SUBSTITUTE(VLOOKUP($D186,_xlpm._platform_range,3,FALSE),"+"&amp;CHAR(34),"+"),CHAR(34),""),", "),
_xlpm._exists, SUMPRODUCT(--ISNUMBER(MATCH(_xlpm._platform_keywords,_xlpm._original_keywords,0)))&gt;0,
_xlfn.IFS(AND(_xlpm._exists,LEFT($E186,1)="+"),"+",_xlpm._exists,"*",NOT(_xlpm._exists),"")
)</f>
        <v/>
      </c>
      <c r="M186" s="33" t="str" cm="1">
        <f t="array" aca="1" ref="M186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($E186=CLASSIFICATION[[Keyword Aggr]:[Keyword Aggr]])*($D186=CLASSIFICATION[[Functional Scope Aggr]:[Functional Scope Aggr]])),
_xlpm._platform_keywords, _xlfn.TEXTSPLIT(SUBSTITUTE(SUBSTITUTE(VLOOKUP($D186,_xlpm._platform_range,3,FALSE),"+"&amp;CHAR(34),"+"),CHAR(34),""),", "),
_xlpm._exists, SUMPRODUCT(--ISNUMBER(MATCH(_xlpm._platform_keywords,_xlpm._original_keywords,0)))&gt;0,
_xlfn.IFS(AND(_xlpm._exists,LEFT($E186,1)="+"),"+",_xlpm._exists,"*",NOT(_xlpm._exists),"")
)</f>
        <v/>
      </c>
      <c r="N186" s="33" t="str" cm="1">
        <f t="array" aca="1" ref="N186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($E186=CLASSIFICATION[[Keyword Aggr]:[Keyword Aggr]])*($D186=CLASSIFICATION[[Functional Scope Aggr]:[Functional Scope Aggr]])),
_xlpm._platform_keywords, _xlfn.TEXTSPLIT(SUBSTITUTE(SUBSTITUTE(VLOOKUP($D186,_xlpm._platform_range,3,FALSE),"+"&amp;CHAR(34),"+"),CHAR(34),""),", "),
_xlpm._exists, SUMPRODUCT(--ISNUMBER(MATCH(_xlpm._platform_keywords,_xlpm._original_keywords,0)))&gt;0,
_xlfn.IFS(AND(_xlpm._exists,LEFT($E186,1)="+"),"+",_xlpm._exists,"*",NOT(_xlpm._exists),"")
)</f>
        <v/>
      </c>
      <c r="O186" s="33" t="str" cm="1">
        <f t="array" aca="1" ref="O186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($E186=CLASSIFICATION[[Keyword Aggr]:[Keyword Aggr]])*($D186=CLASSIFICATION[[Functional Scope Aggr]:[Functional Scope Aggr]])),
_xlpm._platform_keywords, _xlfn.TEXTSPLIT(SUBSTITUTE(SUBSTITUTE(VLOOKUP($D186,_xlpm._platform_range,3,FALSE),"+"&amp;CHAR(34),"+"),CHAR(34),""),", "),
_xlpm._exists, SUMPRODUCT(--ISNUMBER(MATCH(_xlpm._platform_keywords,_xlpm._original_keywords,0)))&gt;0,
_xlfn.IFS(AND(_xlpm._exists,LEFT($E186,1)="+"),"+",_xlpm._exists,"*",NOT(_xlpm._exists),"")
)</f>
        <v/>
      </c>
      <c r="Q186" s="33" t="str">
        <f t="shared" si="23"/>
        <v/>
      </c>
      <c r="R186" s="33" t="str">
        <f t="shared" si="24"/>
        <v/>
      </c>
      <c r="S186" s="33" t="str">
        <f t="shared" si="25"/>
        <v/>
      </c>
      <c r="T186" s="33" t="str">
        <f t="shared" si="26"/>
        <v/>
      </c>
      <c r="U186" s="33" t="str">
        <f t="shared" si="27"/>
        <v/>
      </c>
      <c r="V186" s="33" t="str">
        <f t="shared" si="28"/>
        <v/>
      </c>
    </row>
    <row r="187" spans="1:22" x14ac:dyDescent="0.25">
      <c r="A187" s="19"/>
      <c r="B187" t="s">
        <v>377</v>
      </c>
      <c r="C187" s="19" t="e" cm="1">
        <f t="array" ref="C187">_xlfn.TEXTSPLIT(A187,",")</f>
        <v>#VALUE!</v>
      </c>
      <c r="D187" s="19"/>
      <c r="E187" s="19"/>
      <c r="F187" s="36" t="e" cm="1" vm="1">
        <f t="array" ref="F187">_xlfn.TEXTJOIN(",",TRUE,_xlfn._xlws.FILTER(CLASSIFICATION[Keyword], ($E187=CLASSIFICATION[Keyword Aggr])*($D187=CLASSIFICATION[Functional Scope Aggr])))</f>
        <v>#VALUE!</v>
      </c>
      <c r="G187" s="32" t="e">
        <f t="shared" si="22"/>
        <v>#VALUE!</v>
      </c>
      <c r="H187" s="32" t="str">
        <f t="shared" si="22"/>
        <v/>
      </c>
      <c r="I187" s="32">
        <f t="shared" si="29"/>
        <v>0</v>
      </c>
      <c r="J187" s="33" t="str" cm="1">
        <f t="array" aca="1" ref="J187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($E187=CLASSIFICATION[[Keyword Aggr]:[Keyword Aggr]])*($D187=CLASSIFICATION[[Functional Scope Aggr]:[Functional Scope Aggr]])),
_xlpm._platform_keywords, _xlfn.TEXTSPLIT(SUBSTITUTE(SUBSTITUTE(VLOOKUP($D187,_xlpm._platform_range,3,FALSE),"+"&amp;CHAR(34),"+"),CHAR(34),""),", "),
_xlpm._exists, SUMPRODUCT(--ISNUMBER(MATCH(_xlpm._platform_keywords,_xlpm._original_keywords,0)))&gt;0,
_xlfn.IFS(AND(_xlpm._exists,LEFT($E187,1)="+"),"+",_xlpm._exists,"*",NOT(_xlpm._exists),"")
)</f>
        <v/>
      </c>
      <c r="K187" s="33" t="str" cm="1">
        <f t="array" aca="1" ref="K187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($E187=CLASSIFICATION[[Keyword Aggr]:[Keyword Aggr]])*($D187=CLASSIFICATION[[Functional Scope Aggr]:[Functional Scope Aggr]])),
_xlpm._platform_keywords, _xlfn.TEXTSPLIT(SUBSTITUTE(SUBSTITUTE(VLOOKUP($D187,_xlpm._platform_range,3,FALSE),"+"&amp;CHAR(34),"+"),CHAR(34),""),", "),
_xlpm._exists, SUMPRODUCT(--ISNUMBER(MATCH(_xlpm._platform_keywords,_xlpm._original_keywords,0)))&gt;0,
_xlfn.IFS(AND(_xlpm._exists,LEFT($E187,1)="+"),"+",_xlpm._exists,"*",NOT(_xlpm._exists),"")
)</f>
        <v/>
      </c>
      <c r="L187" s="33" t="str" cm="1">
        <f t="array" aca="1" ref="L187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($E187=CLASSIFICATION[[Keyword Aggr]:[Keyword Aggr]])*($D187=CLASSIFICATION[[Functional Scope Aggr]:[Functional Scope Aggr]])),
_xlpm._platform_keywords, _xlfn.TEXTSPLIT(SUBSTITUTE(SUBSTITUTE(VLOOKUP($D187,_xlpm._platform_range,3,FALSE),"+"&amp;CHAR(34),"+"),CHAR(34),""),", "),
_xlpm._exists, SUMPRODUCT(--ISNUMBER(MATCH(_xlpm._platform_keywords,_xlpm._original_keywords,0)))&gt;0,
_xlfn.IFS(AND(_xlpm._exists,LEFT($E187,1)="+"),"+",_xlpm._exists,"*",NOT(_xlpm._exists),"")
)</f>
        <v/>
      </c>
      <c r="M187" s="33" t="str" cm="1">
        <f t="array" aca="1" ref="M187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($E187=CLASSIFICATION[[Keyword Aggr]:[Keyword Aggr]])*($D187=CLASSIFICATION[[Functional Scope Aggr]:[Functional Scope Aggr]])),
_xlpm._platform_keywords, _xlfn.TEXTSPLIT(SUBSTITUTE(SUBSTITUTE(VLOOKUP($D187,_xlpm._platform_range,3,FALSE),"+"&amp;CHAR(34),"+"),CHAR(34),""),", "),
_xlpm._exists, SUMPRODUCT(--ISNUMBER(MATCH(_xlpm._platform_keywords,_xlpm._original_keywords,0)))&gt;0,
_xlfn.IFS(AND(_xlpm._exists,LEFT($E187,1)="+"),"+",_xlpm._exists,"*",NOT(_xlpm._exists),"")
)</f>
        <v/>
      </c>
      <c r="N187" s="33" t="str" cm="1">
        <f t="array" aca="1" ref="N187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($E187=CLASSIFICATION[[Keyword Aggr]:[Keyword Aggr]])*($D187=CLASSIFICATION[[Functional Scope Aggr]:[Functional Scope Aggr]])),
_xlpm._platform_keywords, _xlfn.TEXTSPLIT(SUBSTITUTE(SUBSTITUTE(VLOOKUP($D187,_xlpm._platform_range,3,FALSE),"+"&amp;CHAR(34),"+"),CHAR(34),""),", "),
_xlpm._exists, SUMPRODUCT(--ISNUMBER(MATCH(_xlpm._platform_keywords,_xlpm._original_keywords,0)))&gt;0,
_xlfn.IFS(AND(_xlpm._exists,LEFT($E187,1)="+"),"+",_xlpm._exists,"*",NOT(_xlpm._exists),"")
)</f>
        <v/>
      </c>
      <c r="O187" s="33" t="str" cm="1">
        <f t="array" aca="1" ref="O187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($E187=CLASSIFICATION[[Keyword Aggr]:[Keyword Aggr]])*($D187=CLASSIFICATION[[Functional Scope Aggr]:[Functional Scope Aggr]])),
_xlpm._platform_keywords, _xlfn.TEXTSPLIT(SUBSTITUTE(SUBSTITUTE(VLOOKUP($D187,_xlpm._platform_range,3,FALSE),"+"&amp;CHAR(34),"+"),CHAR(34),""),", "),
_xlpm._exists, SUMPRODUCT(--ISNUMBER(MATCH(_xlpm._platform_keywords,_xlpm._original_keywords,0)))&gt;0,
_xlfn.IFS(AND(_xlpm._exists,LEFT($E187,1)="+"),"+",_xlpm._exists,"*",NOT(_xlpm._exists),"")
)</f>
        <v/>
      </c>
      <c r="Q187" s="33" t="str">
        <f t="shared" si="23"/>
        <v/>
      </c>
      <c r="R187" s="33" t="str">
        <f t="shared" si="24"/>
        <v/>
      </c>
      <c r="S187" s="33" t="str">
        <f t="shared" si="25"/>
        <v/>
      </c>
      <c r="T187" s="33" t="str">
        <f t="shared" si="26"/>
        <v/>
      </c>
      <c r="U187" s="33" t="str">
        <f t="shared" si="27"/>
        <v/>
      </c>
      <c r="V187" s="33" t="str">
        <f t="shared" si="28"/>
        <v/>
      </c>
    </row>
    <row r="188" spans="1:22" x14ac:dyDescent="0.25">
      <c r="A188" s="19"/>
      <c r="B188" t="s">
        <v>377</v>
      </c>
      <c r="C188" s="19" t="e" cm="1">
        <f t="array" ref="C188">_xlfn.TEXTSPLIT(A188,",")</f>
        <v>#VALUE!</v>
      </c>
      <c r="D188" s="19"/>
      <c r="E188" s="19"/>
      <c r="F188" s="36" t="e" cm="1" vm="1">
        <f t="array" ref="F188">_xlfn.TEXTJOIN(",",TRUE,_xlfn._xlws.FILTER(CLASSIFICATION[Keyword], ($E188=CLASSIFICATION[Keyword Aggr])*($D188=CLASSIFICATION[Functional Scope Aggr])))</f>
        <v>#VALUE!</v>
      </c>
      <c r="G188" s="32" t="e">
        <f t="shared" si="22"/>
        <v>#VALUE!</v>
      </c>
      <c r="H188" s="32" t="str">
        <f t="shared" si="22"/>
        <v/>
      </c>
      <c r="I188" s="32">
        <f t="shared" si="29"/>
        <v>0</v>
      </c>
      <c r="J188" s="33" t="str" cm="1">
        <f t="array" aca="1" ref="J188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($E188=CLASSIFICATION[[Keyword Aggr]:[Keyword Aggr]])*($D188=CLASSIFICATION[[Functional Scope Aggr]:[Functional Scope Aggr]])),
_xlpm._platform_keywords, _xlfn.TEXTSPLIT(SUBSTITUTE(SUBSTITUTE(VLOOKUP($D188,_xlpm._platform_range,3,FALSE),"+"&amp;CHAR(34),"+"),CHAR(34),""),", "),
_xlpm._exists, SUMPRODUCT(--ISNUMBER(MATCH(_xlpm._platform_keywords,_xlpm._original_keywords,0)))&gt;0,
_xlfn.IFS(AND(_xlpm._exists,LEFT($E188,1)="+"),"+",_xlpm._exists,"*",NOT(_xlpm._exists),"")
)</f>
        <v/>
      </c>
      <c r="K188" s="33" t="str" cm="1">
        <f t="array" aca="1" ref="K188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($E188=CLASSIFICATION[[Keyword Aggr]:[Keyword Aggr]])*($D188=CLASSIFICATION[[Functional Scope Aggr]:[Functional Scope Aggr]])),
_xlpm._platform_keywords, _xlfn.TEXTSPLIT(SUBSTITUTE(SUBSTITUTE(VLOOKUP($D188,_xlpm._platform_range,3,FALSE),"+"&amp;CHAR(34),"+"),CHAR(34),""),", "),
_xlpm._exists, SUMPRODUCT(--ISNUMBER(MATCH(_xlpm._platform_keywords,_xlpm._original_keywords,0)))&gt;0,
_xlfn.IFS(AND(_xlpm._exists,LEFT($E188,1)="+"),"+",_xlpm._exists,"*",NOT(_xlpm._exists),"")
)</f>
        <v/>
      </c>
      <c r="L188" s="33" t="str" cm="1">
        <f t="array" aca="1" ref="L188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($E188=CLASSIFICATION[[Keyword Aggr]:[Keyword Aggr]])*($D188=CLASSIFICATION[[Functional Scope Aggr]:[Functional Scope Aggr]])),
_xlpm._platform_keywords, _xlfn.TEXTSPLIT(SUBSTITUTE(SUBSTITUTE(VLOOKUP($D188,_xlpm._platform_range,3,FALSE),"+"&amp;CHAR(34),"+"),CHAR(34),""),", "),
_xlpm._exists, SUMPRODUCT(--ISNUMBER(MATCH(_xlpm._platform_keywords,_xlpm._original_keywords,0)))&gt;0,
_xlfn.IFS(AND(_xlpm._exists,LEFT($E188,1)="+"),"+",_xlpm._exists,"*",NOT(_xlpm._exists),"")
)</f>
        <v/>
      </c>
      <c r="M188" s="33" t="str" cm="1">
        <f t="array" aca="1" ref="M188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($E188=CLASSIFICATION[[Keyword Aggr]:[Keyword Aggr]])*($D188=CLASSIFICATION[[Functional Scope Aggr]:[Functional Scope Aggr]])),
_xlpm._platform_keywords, _xlfn.TEXTSPLIT(SUBSTITUTE(SUBSTITUTE(VLOOKUP($D188,_xlpm._platform_range,3,FALSE),"+"&amp;CHAR(34),"+"),CHAR(34),""),", "),
_xlpm._exists, SUMPRODUCT(--ISNUMBER(MATCH(_xlpm._platform_keywords,_xlpm._original_keywords,0)))&gt;0,
_xlfn.IFS(AND(_xlpm._exists,LEFT($E188,1)="+"),"+",_xlpm._exists,"*",NOT(_xlpm._exists),"")
)</f>
        <v/>
      </c>
      <c r="N188" s="33" t="str" cm="1">
        <f t="array" aca="1" ref="N188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($E188=CLASSIFICATION[[Keyword Aggr]:[Keyword Aggr]])*($D188=CLASSIFICATION[[Functional Scope Aggr]:[Functional Scope Aggr]])),
_xlpm._platform_keywords, _xlfn.TEXTSPLIT(SUBSTITUTE(SUBSTITUTE(VLOOKUP($D188,_xlpm._platform_range,3,FALSE),"+"&amp;CHAR(34),"+"),CHAR(34),""),", "),
_xlpm._exists, SUMPRODUCT(--ISNUMBER(MATCH(_xlpm._platform_keywords,_xlpm._original_keywords,0)))&gt;0,
_xlfn.IFS(AND(_xlpm._exists,LEFT($E188,1)="+"),"+",_xlpm._exists,"*",NOT(_xlpm._exists),"")
)</f>
        <v/>
      </c>
      <c r="O188" s="33" t="str" cm="1">
        <f t="array" aca="1" ref="O188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($E188=CLASSIFICATION[[Keyword Aggr]:[Keyword Aggr]])*($D188=CLASSIFICATION[[Functional Scope Aggr]:[Functional Scope Aggr]])),
_xlpm._platform_keywords, _xlfn.TEXTSPLIT(SUBSTITUTE(SUBSTITUTE(VLOOKUP($D188,_xlpm._platform_range,3,FALSE),"+"&amp;CHAR(34),"+"),CHAR(34),""),", "),
_xlpm._exists, SUMPRODUCT(--ISNUMBER(MATCH(_xlpm._platform_keywords,_xlpm._original_keywords,0)))&gt;0,
_xlfn.IFS(AND(_xlpm._exists,LEFT($E188,1)="+"),"+",_xlpm._exists,"*",NOT(_xlpm._exists),"")
)</f>
        <v/>
      </c>
      <c r="Q188" s="33" t="str">
        <f t="shared" si="23"/>
        <v/>
      </c>
      <c r="R188" s="33" t="str">
        <f t="shared" si="24"/>
        <v/>
      </c>
      <c r="S188" s="33" t="str">
        <f t="shared" si="25"/>
        <v/>
      </c>
      <c r="T188" s="33" t="str">
        <f t="shared" si="26"/>
        <v/>
      </c>
      <c r="U188" s="33" t="str">
        <f t="shared" si="27"/>
        <v/>
      </c>
      <c r="V188" s="33" t="str">
        <f t="shared" si="28"/>
        <v/>
      </c>
    </row>
    <row r="189" spans="1:22" x14ac:dyDescent="0.25">
      <c r="A189" s="19"/>
      <c r="B189" t="s">
        <v>377</v>
      </c>
      <c r="C189" s="19" t="e" cm="1">
        <f t="array" ref="C189">_xlfn.TEXTSPLIT(A189,",")</f>
        <v>#VALUE!</v>
      </c>
      <c r="D189" s="19"/>
      <c r="E189" s="19"/>
      <c r="F189" s="36" t="e" cm="1" vm="1">
        <f t="array" ref="F189">_xlfn.TEXTJOIN(",",TRUE,_xlfn._xlws.FILTER(CLASSIFICATION[Keyword], ($E189=CLASSIFICATION[Keyword Aggr])*($D189=CLASSIFICATION[Functional Scope Aggr])))</f>
        <v>#VALUE!</v>
      </c>
      <c r="G189" s="32" t="e">
        <f t="shared" si="22"/>
        <v>#VALUE!</v>
      </c>
      <c r="H189" s="32" t="str">
        <f t="shared" si="22"/>
        <v/>
      </c>
      <c r="I189" s="32">
        <f t="shared" si="29"/>
        <v>0</v>
      </c>
      <c r="J189" s="33" t="str" cm="1">
        <f t="array" aca="1" ref="J189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($E189=CLASSIFICATION[[Keyword Aggr]:[Keyword Aggr]])*($D189=CLASSIFICATION[[Functional Scope Aggr]:[Functional Scope Aggr]])),
_xlpm._platform_keywords, _xlfn.TEXTSPLIT(SUBSTITUTE(SUBSTITUTE(VLOOKUP($D189,_xlpm._platform_range,3,FALSE),"+"&amp;CHAR(34),"+"),CHAR(34),""),", "),
_xlpm._exists, SUMPRODUCT(--ISNUMBER(MATCH(_xlpm._platform_keywords,_xlpm._original_keywords,0)))&gt;0,
_xlfn.IFS(AND(_xlpm._exists,LEFT($E189,1)="+"),"+",_xlpm._exists,"*",NOT(_xlpm._exists),"")
)</f>
        <v/>
      </c>
      <c r="K189" s="33" t="str" cm="1">
        <f t="array" aca="1" ref="K189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($E189=CLASSIFICATION[[Keyword Aggr]:[Keyword Aggr]])*($D189=CLASSIFICATION[[Functional Scope Aggr]:[Functional Scope Aggr]])),
_xlpm._platform_keywords, _xlfn.TEXTSPLIT(SUBSTITUTE(SUBSTITUTE(VLOOKUP($D189,_xlpm._platform_range,3,FALSE),"+"&amp;CHAR(34),"+"),CHAR(34),""),", "),
_xlpm._exists, SUMPRODUCT(--ISNUMBER(MATCH(_xlpm._platform_keywords,_xlpm._original_keywords,0)))&gt;0,
_xlfn.IFS(AND(_xlpm._exists,LEFT($E189,1)="+"),"+",_xlpm._exists,"*",NOT(_xlpm._exists),"")
)</f>
        <v/>
      </c>
      <c r="L189" s="33" t="str" cm="1">
        <f t="array" aca="1" ref="L189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($E189=CLASSIFICATION[[Keyword Aggr]:[Keyword Aggr]])*($D189=CLASSIFICATION[[Functional Scope Aggr]:[Functional Scope Aggr]])),
_xlpm._platform_keywords, _xlfn.TEXTSPLIT(SUBSTITUTE(SUBSTITUTE(VLOOKUP($D189,_xlpm._platform_range,3,FALSE),"+"&amp;CHAR(34),"+"),CHAR(34),""),", "),
_xlpm._exists, SUMPRODUCT(--ISNUMBER(MATCH(_xlpm._platform_keywords,_xlpm._original_keywords,0)))&gt;0,
_xlfn.IFS(AND(_xlpm._exists,LEFT($E189,1)="+"),"+",_xlpm._exists,"*",NOT(_xlpm._exists),"")
)</f>
        <v/>
      </c>
      <c r="M189" s="33" t="str" cm="1">
        <f t="array" aca="1" ref="M189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($E189=CLASSIFICATION[[Keyword Aggr]:[Keyword Aggr]])*($D189=CLASSIFICATION[[Functional Scope Aggr]:[Functional Scope Aggr]])),
_xlpm._platform_keywords, _xlfn.TEXTSPLIT(SUBSTITUTE(SUBSTITUTE(VLOOKUP($D189,_xlpm._platform_range,3,FALSE),"+"&amp;CHAR(34),"+"),CHAR(34),""),", "),
_xlpm._exists, SUMPRODUCT(--ISNUMBER(MATCH(_xlpm._platform_keywords,_xlpm._original_keywords,0)))&gt;0,
_xlfn.IFS(AND(_xlpm._exists,LEFT($E189,1)="+"),"+",_xlpm._exists,"*",NOT(_xlpm._exists),"")
)</f>
        <v/>
      </c>
      <c r="N189" s="33" t="str" cm="1">
        <f t="array" aca="1" ref="N189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($E189=CLASSIFICATION[[Keyword Aggr]:[Keyword Aggr]])*($D189=CLASSIFICATION[[Functional Scope Aggr]:[Functional Scope Aggr]])),
_xlpm._platform_keywords, _xlfn.TEXTSPLIT(SUBSTITUTE(SUBSTITUTE(VLOOKUP($D189,_xlpm._platform_range,3,FALSE),"+"&amp;CHAR(34),"+"),CHAR(34),""),", "),
_xlpm._exists, SUMPRODUCT(--ISNUMBER(MATCH(_xlpm._platform_keywords,_xlpm._original_keywords,0)))&gt;0,
_xlfn.IFS(AND(_xlpm._exists,LEFT($E189,1)="+"),"+",_xlpm._exists,"*",NOT(_xlpm._exists),"")
)</f>
        <v/>
      </c>
      <c r="O189" s="33" t="str" cm="1">
        <f t="array" aca="1" ref="O189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($E189=CLASSIFICATION[[Keyword Aggr]:[Keyword Aggr]])*($D189=CLASSIFICATION[[Functional Scope Aggr]:[Functional Scope Aggr]])),
_xlpm._platform_keywords, _xlfn.TEXTSPLIT(SUBSTITUTE(SUBSTITUTE(VLOOKUP($D189,_xlpm._platform_range,3,FALSE),"+"&amp;CHAR(34),"+"),CHAR(34),""),", "),
_xlpm._exists, SUMPRODUCT(--ISNUMBER(MATCH(_xlpm._platform_keywords,_xlpm._original_keywords,0)))&gt;0,
_xlfn.IFS(AND(_xlpm._exists,LEFT($E189,1)="+"),"+",_xlpm._exists,"*",NOT(_xlpm._exists),"")
)</f>
        <v/>
      </c>
      <c r="Q189" s="33" t="str">
        <f t="shared" si="23"/>
        <v/>
      </c>
      <c r="R189" s="33" t="str">
        <f t="shared" si="24"/>
        <v/>
      </c>
      <c r="S189" s="33" t="str">
        <f t="shared" si="25"/>
        <v/>
      </c>
      <c r="T189" s="33" t="str">
        <f t="shared" si="26"/>
        <v/>
      </c>
      <c r="U189" s="33" t="str">
        <f t="shared" si="27"/>
        <v/>
      </c>
      <c r="V189" s="33" t="str">
        <f t="shared" si="28"/>
        <v/>
      </c>
    </row>
    <row r="190" spans="1:22" x14ac:dyDescent="0.25">
      <c r="A190" s="19"/>
      <c r="B190" t="s">
        <v>377</v>
      </c>
      <c r="C190" s="19" t="e" cm="1">
        <f t="array" ref="C190">_xlfn.TEXTSPLIT(A190,",")</f>
        <v>#VALUE!</v>
      </c>
      <c r="D190" s="19"/>
      <c r="E190" s="19"/>
      <c r="F190" s="36" t="e" cm="1" vm="1">
        <f t="array" ref="F190">_xlfn.TEXTJOIN(",",TRUE,_xlfn._xlws.FILTER(CLASSIFICATION[Keyword], ($E190=CLASSIFICATION[Keyword Aggr])*($D190=CLASSIFICATION[Functional Scope Aggr])))</f>
        <v>#VALUE!</v>
      </c>
      <c r="G190" s="32" t="e">
        <f t="shared" si="22"/>
        <v>#VALUE!</v>
      </c>
      <c r="H190" s="32" t="str">
        <f t="shared" si="22"/>
        <v/>
      </c>
      <c r="I190" s="32">
        <f t="shared" si="29"/>
        <v>0</v>
      </c>
      <c r="J190" s="33" t="str" cm="1">
        <f t="array" aca="1" ref="J190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($E190=CLASSIFICATION[[Keyword Aggr]:[Keyword Aggr]])*($D190=CLASSIFICATION[[Functional Scope Aggr]:[Functional Scope Aggr]])),
_xlpm._platform_keywords, _xlfn.TEXTSPLIT(SUBSTITUTE(SUBSTITUTE(VLOOKUP($D190,_xlpm._platform_range,3,FALSE),"+"&amp;CHAR(34),"+"),CHAR(34),""),", "),
_xlpm._exists, SUMPRODUCT(--ISNUMBER(MATCH(_xlpm._platform_keywords,_xlpm._original_keywords,0)))&gt;0,
_xlfn.IFS(AND(_xlpm._exists,LEFT($E190,1)="+"),"+",_xlpm._exists,"*",NOT(_xlpm._exists),"")
)</f>
        <v/>
      </c>
      <c r="K190" s="33" t="str" cm="1">
        <f t="array" aca="1" ref="K190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($E190=CLASSIFICATION[[Keyword Aggr]:[Keyword Aggr]])*($D190=CLASSIFICATION[[Functional Scope Aggr]:[Functional Scope Aggr]])),
_xlpm._platform_keywords, _xlfn.TEXTSPLIT(SUBSTITUTE(SUBSTITUTE(VLOOKUP($D190,_xlpm._platform_range,3,FALSE),"+"&amp;CHAR(34),"+"),CHAR(34),""),", "),
_xlpm._exists, SUMPRODUCT(--ISNUMBER(MATCH(_xlpm._platform_keywords,_xlpm._original_keywords,0)))&gt;0,
_xlfn.IFS(AND(_xlpm._exists,LEFT($E190,1)="+"),"+",_xlpm._exists,"*",NOT(_xlpm._exists),"")
)</f>
        <v/>
      </c>
      <c r="L190" s="33" t="str" cm="1">
        <f t="array" aca="1" ref="L190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($E190=CLASSIFICATION[[Keyword Aggr]:[Keyword Aggr]])*($D190=CLASSIFICATION[[Functional Scope Aggr]:[Functional Scope Aggr]])),
_xlpm._platform_keywords, _xlfn.TEXTSPLIT(SUBSTITUTE(SUBSTITUTE(VLOOKUP($D190,_xlpm._platform_range,3,FALSE),"+"&amp;CHAR(34),"+"),CHAR(34),""),", "),
_xlpm._exists, SUMPRODUCT(--ISNUMBER(MATCH(_xlpm._platform_keywords,_xlpm._original_keywords,0)))&gt;0,
_xlfn.IFS(AND(_xlpm._exists,LEFT($E190,1)="+"),"+",_xlpm._exists,"*",NOT(_xlpm._exists),"")
)</f>
        <v/>
      </c>
      <c r="M190" s="33" t="str" cm="1">
        <f t="array" aca="1" ref="M190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($E190=CLASSIFICATION[[Keyword Aggr]:[Keyword Aggr]])*($D190=CLASSIFICATION[[Functional Scope Aggr]:[Functional Scope Aggr]])),
_xlpm._platform_keywords, _xlfn.TEXTSPLIT(SUBSTITUTE(SUBSTITUTE(VLOOKUP($D190,_xlpm._platform_range,3,FALSE),"+"&amp;CHAR(34),"+"),CHAR(34),""),", "),
_xlpm._exists, SUMPRODUCT(--ISNUMBER(MATCH(_xlpm._platform_keywords,_xlpm._original_keywords,0)))&gt;0,
_xlfn.IFS(AND(_xlpm._exists,LEFT($E190,1)="+"),"+",_xlpm._exists,"*",NOT(_xlpm._exists),"")
)</f>
        <v/>
      </c>
      <c r="N190" s="33" t="str" cm="1">
        <f t="array" aca="1" ref="N190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($E190=CLASSIFICATION[[Keyword Aggr]:[Keyword Aggr]])*($D190=CLASSIFICATION[[Functional Scope Aggr]:[Functional Scope Aggr]])),
_xlpm._platform_keywords, _xlfn.TEXTSPLIT(SUBSTITUTE(SUBSTITUTE(VLOOKUP($D190,_xlpm._platform_range,3,FALSE),"+"&amp;CHAR(34),"+"),CHAR(34),""),", "),
_xlpm._exists, SUMPRODUCT(--ISNUMBER(MATCH(_xlpm._platform_keywords,_xlpm._original_keywords,0)))&gt;0,
_xlfn.IFS(AND(_xlpm._exists,LEFT($E190,1)="+"),"+",_xlpm._exists,"*",NOT(_xlpm._exists),"")
)</f>
        <v/>
      </c>
      <c r="O190" s="33" t="str" cm="1">
        <f t="array" aca="1" ref="O190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($E190=CLASSIFICATION[[Keyword Aggr]:[Keyword Aggr]])*($D190=CLASSIFICATION[[Functional Scope Aggr]:[Functional Scope Aggr]])),
_xlpm._platform_keywords, _xlfn.TEXTSPLIT(SUBSTITUTE(SUBSTITUTE(VLOOKUP($D190,_xlpm._platform_range,3,FALSE),"+"&amp;CHAR(34),"+"),CHAR(34),""),", "),
_xlpm._exists, SUMPRODUCT(--ISNUMBER(MATCH(_xlpm._platform_keywords,_xlpm._original_keywords,0)))&gt;0,
_xlfn.IFS(AND(_xlpm._exists,LEFT($E190,1)="+"),"+",_xlpm._exists,"*",NOT(_xlpm._exists),"")
)</f>
        <v/>
      </c>
      <c r="Q190" s="33" t="str">
        <f t="shared" si="23"/>
        <v/>
      </c>
      <c r="R190" s="33" t="str">
        <f t="shared" si="24"/>
        <v/>
      </c>
      <c r="S190" s="33" t="str">
        <f t="shared" si="25"/>
        <v/>
      </c>
      <c r="T190" s="33" t="str">
        <f t="shared" si="26"/>
        <v/>
      </c>
      <c r="U190" s="33" t="str">
        <f t="shared" si="27"/>
        <v/>
      </c>
      <c r="V190" s="33" t="str">
        <f t="shared" si="28"/>
        <v/>
      </c>
    </row>
    <row r="191" spans="1:22" x14ac:dyDescent="0.25">
      <c r="A191" s="19"/>
      <c r="B191" t="s">
        <v>377</v>
      </c>
      <c r="C191" s="19" t="e" cm="1">
        <f t="array" ref="C191">_xlfn.TEXTSPLIT(A191,",")</f>
        <v>#VALUE!</v>
      </c>
      <c r="D191" s="19"/>
      <c r="E191" s="19"/>
      <c r="F191" s="36" t="e" cm="1" vm="1">
        <f t="array" ref="F191">_xlfn.TEXTJOIN(",",TRUE,_xlfn._xlws.FILTER(CLASSIFICATION[Keyword], ($E191=CLASSIFICATION[Keyword Aggr])*($D191=CLASSIFICATION[Functional Scope Aggr])))</f>
        <v>#VALUE!</v>
      </c>
      <c r="G191" s="32" t="e">
        <f t="shared" si="22"/>
        <v>#VALUE!</v>
      </c>
      <c r="H191" s="32" t="str">
        <f t="shared" si="22"/>
        <v/>
      </c>
      <c r="I191" s="32">
        <f t="shared" si="29"/>
        <v>0</v>
      </c>
      <c r="J191" s="33" t="str" cm="1">
        <f t="array" aca="1" ref="J191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($E191=CLASSIFICATION[[Keyword Aggr]:[Keyword Aggr]])*($D191=CLASSIFICATION[[Functional Scope Aggr]:[Functional Scope Aggr]])),
_xlpm._platform_keywords, _xlfn.TEXTSPLIT(SUBSTITUTE(SUBSTITUTE(VLOOKUP($D191,_xlpm._platform_range,3,FALSE),"+"&amp;CHAR(34),"+"),CHAR(34),""),", "),
_xlpm._exists, SUMPRODUCT(--ISNUMBER(MATCH(_xlpm._platform_keywords,_xlpm._original_keywords,0)))&gt;0,
_xlfn.IFS(AND(_xlpm._exists,LEFT($E191,1)="+"),"+",_xlpm._exists,"*",NOT(_xlpm._exists),"")
)</f>
        <v/>
      </c>
      <c r="K191" s="33" t="str" cm="1">
        <f t="array" aca="1" ref="K191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($E191=CLASSIFICATION[[Keyword Aggr]:[Keyword Aggr]])*($D191=CLASSIFICATION[[Functional Scope Aggr]:[Functional Scope Aggr]])),
_xlpm._platform_keywords, _xlfn.TEXTSPLIT(SUBSTITUTE(SUBSTITUTE(VLOOKUP($D191,_xlpm._platform_range,3,FALSE),"+"&amp;CHAR(34),"+"),CHAR(34),""),", "),
_xlpm._exists, SUMPRODUCT(--ISNUMBER(MATCH(_xlpm._platform_keywords,_xlpm._original_keywords,0)))&gt;0,
_xlfn.IFS(AND(_xlpm._exists,LEFT($E191,1)="+"),"+",_xlpm._exists,"*",NOT(_xlpm._exists),"")
)</f>
        <v/>
      </c>
      <c r="L191" s="33" t="str" cm="1">
        <f t="array" aca="1" ref="L191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($E191=CLASSIFICATION[[Keyword Aggr]:[Keyword Aggr]])*($D191=CLASSIFICATION[[Functional Scope Aggr]:[Functional Scope Aggr]])),
_xlpm._platform_keywords, _xlfn.TEXTSPLIT(SUBSTITUTE(SUBSTITUTE(VLOOKUP($D191,_xlpm._platform_range,3,FALSE),"+"&amp;CHAR(34),"+"),CHAR(34),""),", "),
_xlpm._exists, SUMPRODUCT(--ISNUMBER(MATCH(_xlpm._platform_keywords,_xlpm._original_keywords,0)))&gt;0,
_xlfn.IFS(AND(_xlpm._exists,LEFT($E191,1)="+"),"+",_xlpm._exists,"*",NOT(_xlpm._exists),"")
)</f>
        <v/>
      </c>
      <c r="M191" s="33" t="str" cm="1">
        <f t="array" aca="1" ref="M191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($E191=CLASSIFICATION[[Keyword Aggr]:[Keyword Aggr]])*($D191=CLASSIFICATION[[Functional Scope Aggr]:[Functional Scope Aggr]])),
_xlpm._platform_keywords, _xlfn.TEXTSPLIT(SUBSTITUTE(SUBSTITUTE(VLOOKUP($D191,_xlpm._platform_range,3,FALSE),"+"&amp;CHAR(34),"+"),CHAR(34),""),", "),
_xlpm._exists, SUMPRODUCT(--ISNUMBER(MATCH(_xlpm._platform_keywords,_xlpm._original_keywords,0)))&gt;0,
_xlfn.IFS(AND(_xlpm._exists,LEFT($E191,1)="+"),"+",_xlpm._exists,"*",NOT(_xlpm._exists),"")
)</f>
        <v/>
      </c>
      <c r="N191" s="33" t="str" cm="1">
        <f t="array" aca="1" ref="N191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($E191=CLASSIFICATION[[Keyword Aggr]:[Keyword Aggr]])*($D191=CLASSIFICATION[[Functional Scope Aggr]:[Functional Scope Aggr]])),
_xlpm._platform_keywords, _xlfn.TEXTSPLIT(SUBSTITUTE(SUBSTITUTE(VLOOKUP($D191,_xlpm._platform_range,3,FALSE),"+"&amp;CHAR(34),"+"),CHAR(34),""),", "),
_xlpm._exists, SUMPRODUCT(--ISNUMBER(MATCH(_xlpm._platform_keywords,_xlpm._original_keywords,0)))&gt;0,
_xlfn.IFS(AND(_xlpm._exists,LEFT($E191,1)="+"),"+",_xlpm._exists,"*",NOT(_xlpm._exists),"")
)</f>
        <v/>
      </c>
      <c r="O191" s="33" t="str" cm="1">
        <f t="array" aca="1" ref="O191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($E191=CLASSIFICATION[[Keyword Aggr]:[Keyword Aggr]])*($D191=CLASSIFICATION[[Functional Scope Aggr]:[Functional Scope Aggr]])),
_xlpm._platform_keywords, _xlfn.TEXTSPLIT(SUBSTITUTE(SUBSTITUTE(VLOOKUP($D191,_xlpm._platform_range,3,FALSE),"+"&amp;CHAR(34),"+"),CHAR(34),""),", "),
_xlpm._exists, SUMPRODUCT(--ISNUMBER(MATCH(_xlpm._platform_keywords,_xlpm._original_keywords,0)))&gt;0,
_xlfn.IFS(AND(_xlpm._exists,LEFT($E191,1)="+"),"+",_xlpm._exists,"*",NOT(_xlpm._exists),"")
)</f>
        <v/>
      </c>
      <c r="Q191" s="33" t="str">
        <f t="shared" si="23"/>
        <v/>
      </c>
      <c r="R191" s="33" t="str">
        <f t="shared" si="24"/>
        <v/>
      </c>
      <c r="S191" s="33" t="str">
        <f t="shared" si="25"/>
        <v/>
      </c>
      <c r="T191" s="33" t="str">
        <f t="shared" si="26"/>
        <v/>
      </c>
      <c r="U191" s="33" t="str">
        <f t="shared" si="27"/>
        <v/>
      </c>
      <c r="V191" s="33" t="str">
        <f t="shared" si="28"/>
        <v/>
      </c>
    </row>
    <row r="192" spans="1:22" x14ac:dyDescent="0.25">
      <c r="A192" s="19"/>
      <c r="B192" t="s">
        <v>377</v>
      </c>
      <c r="C192" s="19" t="e" cm="1">
        <f t="array" ref="C192">_xlfn.TEXTSPLIT(A192,",")</f>
        <v>#VALUE!</v>
      </c>
      <c r="D192" s="19"/>
      <c r="E192" s="19"/>
      <c r="F192" s="36" t="e" cm="1" vm="1">
        <f t="array" ref="F192">_xlfn.TEXTJOIN(",",TRUE,_xlfn._xlws.FILTER(CLASSIFICATION[Keyword], ($E192=CLASSIFICATION[Keyword Aggr])*($D192=CLASSIFICATION[Functional Scope Aggr])))</f>
        <v>#VALUE!</v>
      </c>
      <c r="G192" s="32" t="e">
        <f t="shared" si="22"/>
        <v>#VALUE!</v>
      </c>
      <c r="H192" s="32" t="str">
        <f t="shared" si="22"/>
        <v/>
      </c>
      <c r="I192" s="32">
        <f t="shared" si="29"/>
        <v>0</v>
      </c>
      <c r="J192" s="33" t="str" cm="1">
        <f t="array" aca="1" ref="J192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($E192=CLASSIFICATION[[Keyword Aggr]:[Keyword Aggr]])*($D192=CLASSIFICATION[[Functional Scope Aggr]:[Functional Scope Aggr]])),
_xlpm._platform_keywords, _xlfn.TEXTSPLIT(SUBSTITUTE(SUBSTITUTE(VLOOKUP($D192,_xlpm._platform_range,3,FALSE),"+"&amp;CHAR(34),"+"),CHAR(34),""),", "),
_xlpm._exists, SUMPRODUCT(--ISNUMBER(MATCH(_xlpm._platform_keywords,_xlpm._original_keywords,0)))&gt;0,
_xlfn.IFS(AND(_xlpm._exists,LEFT($E192,1)="+"),"+",_xlpm._exists,"*",NOT(_xlpm._exists),"")
)</f>
        <v/>
      </c>
      <c r="K192" s="33" t="str" cm="1">
        <f t="array" aca="1" ref="K192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($E192=CLASSIFICATION[[Keyword Aggr]:[Keyword Aggr]])*($D192=CLASSIFICATION[[Functional Scope Aggr]:[Functional Scope Aggr]])),
_xlpm._platform_keywords, _xlfn.TEXTSPLIT(SUBSTITUTE(SUBSTITUTE(VLOOKUP($D192,_xlpm._platform_range,3,FALSE),"+"&amp;CHAR(34),"+"),CHAR(34),""),", "),
_xlpm._exists, SUMPRODUCT(--ISNUMBER(MATCH(_xlpm._platform_keywords,_xlpm._original_keywords,0)))&gt;0,
_xlfn.IFS(AND(_xlpm._exists,LEFT($E192,1)="+"),"+",_xlpm._exists,"*",NOT(_xlpm._exists),"")
)</f>
        <v/>
      </c>
      <c r="L192" s="33" t="str" cm="1">
        <f t="array" aca="1" ref="L192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($E192=CLASSIFICATION[[Keyword Aggr]:[Keyword Aggr]])*($D192=CLASSIFICATION[[Functional Scope Aggr]:[Functional Scope Aggr]])),
_xlpm._platform_keywords, _xlfn.TEXTSPLIT(SUBSTITUTE(SUBSTITUTE(VLOOKUP($D192,_xlpm._platform_range,3,FALSE),"+"&amp;CHAR(34),"+"),CHAR(34),""),", "),
_xlpm._exists, SUMPRODUCT(--ISNUMBER(MATCH(_xlpm._platform_keywords,_xlpm._original_keywords,0)))&gt;0,
_xlfn.IFS(AND(_xlpm._exists,LEFT($E192,1)="+"),"+",_xlpm._exists,"*",NOT(_xlpm._exists),"")
)</f>
        <v/>
      </c>
      <c r="M192" s="33" t="str" cm="1">
        <f t="array" aca="1" ref="M192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($E192=CLASSIFICATION[[Keyword Aggr]:[Keyword Aggr]])*($D192=CLASSIFICATION[[Functional Scope Aggr]:[Functional Scope Aggr]])),
_xlpm._platform_keywords, _xlfn.TEXTSPLIT(SUBSTITUTE(SUBSTITUTE(VLOOKUP($D192,_xlpm._platform_range,3,FALSE),"+"&amp;CHAR(34),"+"),CHAR(34),""),", "),
_xlpm._exists, SUMPRODUCT(--ISNUMBER(MATCH(_xlpm._platform_keywords,_xlpm._original_keywords,0)))&gt;0,
_xlfn.IFS(AND(_xlpm._exists,LEFT($E192,1)="+"),"+",_xlpm._exists,"*",NOT(_xlpm._exists),"")
)</f>
        <v/>
      </c>
      <c r="N192" s="33" t="str" cm="1">
        <f t="array" aca="1" ref="N192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($E192=CLASSIFICATION[[Keyword Aggr]:[Keyword Aggr]])*($D192=CLASSIFICATION[[Functional Scope Aggr]:[Functional Scope Aggr]])),
_xlpm._platform_keywords, _xlfn.TEXTSPLIT(SUBSTITUTE(SUBSTITUTE(VLOOKUP($D192,_xlpm._platform_range,3,FALSE),"+"&amp;CHAR(34),"+"),CHAR(34),""),", "),
_xlpm._exists, SUMPRODUCT(--ISNUMBER(MATCH(_xlpm._platform_keywords,_xlpm._original_keywords,0)))&gt;0,
_xlfn.IFS(AND(_xlpm._exists,LEFT($E192,1)="+"),"+",_xlpm._exists,"*",NOT(_xlpm._exists),"")
)</f>
        <v/>
      </c>
      <c r="O192" s="33" t="str" cm="1">
        <f t="array" aca="1" ref="O192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($E192=CLASSIFICATION[[Keyword Aggr]:[Keyword Aggr]])*($D192=CLASSIFICATION[[Functional Scope Aggr]:[Functional Scope Aggr]])),
_xlpm._platform_keywords, _xlfn.TEXTSPLIT(SUBSTITUTE(SUBSTITUTE(VLOOKUP($D192,_xlpm._platform_range,3,FALSE),"+"&amp;CHAR(34),"+"),CHAR(34),""),", "),
_xlpm._exists, SUMPRODUCT(--ISNUMBER(MATCH(_xlpm._platform_keywords,_xlpm._original_keywords,0)))&gt;0,
_xlfn.IFS(AND(_xlpm._exists,LEFT($E192,1)="+"),"+",_xlpm._exists,"*",NOT(_xlpm._exists),"")
)</f>
        <v/>
      </c>
      <c r="Q192" s="33" t="str">
        <f t="shared" si="23"/>
        <v/>
      </c>
      <c r="R192" s="33" t="str">
        <f t="shared" si="24"/>
        <v/>
      </c>
      <c r="S192" s="33" t="str">
        <f t="shared" si="25"/>
        <v/>
      </c>
      <c r="T192" s="33" t="str">
        <f t="shared" si="26"/>
        <v/>
      </c>
      <c r="U192" s="33" t="str">
        <f t="shared" si="27"/>
        <v/>
      </c>
      <c r="V192" s="33" t="str">
        <f t="shared" si="28"/>
        <v/>
      </c>
    </row>
    <row r="193" spans="1:22" x14ac:dyDescent="0.25">
      <c r="A193" s="19"/>
      <c r="B193" t="s">
        <v>377</v>
      </c>
      <c r="C193" s="19" t="e" cm="1">
        <f t="array" ref="C193">_xlfn.TEXTSPLIT(A193,",")</f>
        <v>#VALUE!</v>
      </c>
      <c r="D193" s="19"/>
      <c r="E193" s="19"/>
      <c r="F193" s="36" t="e" cm="1" vm="1">
        <f t="array" ref="F193">_xlfn.TEXTJOIN(",",TRUE,_xlfn._xlws.FILTER(CLASSIFICATION[Keyword], ($E193=CLASSIFICATION[Keyword Aggr])*($D193=CLASSIFICATION[Functional Scope Aggr])))</f>
        <v>#VALUE!</v>
      </c>
      <c r="G193" s="32" t="e">
        <f t="shared" si="22"/>
        <v>#VALUE!</v>
      </c>
      <c r="H193" s="32" t="str">
        <f t="shared" si="22"/>
        <v/>
      </c>
      <c r="I193" s="32">
        <f t="shared" si="29"/>
        <v>0</v>
      </c>
      <c r="J193" s="33" t="str" cm="1">
        <f t="array" aca="1" ref="J193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($E193=CLASSIFICATION[[Keyword Aggr]:[Keyword Aggr]])*($D193=CLASSIFICATION[[Functional Scope Aggr]:[Functional Scope Aggr]])),
_xlpm._platform_keywords, _xlfn.TEXTSPLIT(SUBSTITUTE(SUBSTITUTE(VLOOKUP($D193,_xlpm._platform_range,3,FALSE),"+"&amp;CHAR(34),"+"),CHAR(34),""),", "),
_xlpm._exists, SUMPRODUCT(--ISNUMBER(MATCH(_xlpm._platform_keywords,_xlpm._original_keywords,0)))&gt;0,
_xlfn.IFS(AND(_xlpm._exists,LEFT($E193,1)="+"),"+",_xlpm._exists,"*",NOT(_xlpm._exists),"")
)</f>
        <v/>
      </c>
      <c r="K193" s="33" t="str" cm="1">
        <f t="array" aca="1" ref="K193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($E193=CLASSIFICATION[[Keyword Aggr]:[Keyword Aggr]])*($D193=CLASSIFICATION[[Functional Scope Aggr]:[Functional Scope Aggr]])),
_xlpm._platform_keywords, _xlfn.TEXTSPLIT(SUBSTITUTE(SUBSTITUTE(VLOOKUP($D193,_xlpm._platform_range,3,FALSE),"+"&amp;CHAR(34),"+"),CHAR(34),""),", "),
_xlpm._exists, SUMPRODUCT(--ISNUMBER(MATCH(_xlpm._platform_keywords,_xlpm._original_keywords,0)))&gt;0,
_xlfn.IFS(AND(_xlpm._exists,LEFT($E193,1)="+"),"+",_xlpm._exists,"*",NOT(_xlpm._exists),"")
)</f>
        <v/>
      </c>
      <c r="L193" s="33" t="str" cm="1">
        <f t="array" aca="1" ref="L193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($E193=CLASSIFICATION[[Keyword Aggr]:[Keyword Aggr]])*($D193=CLASSIFICATION[[Functional Scope Aggr]:[Functional Scope Aggr]])),
_xlpm._platform_keywords, _xlfn.TEXTSPLIT(SUBSTITUTE(SUBSTITUTE(VLOOKUP($D193,_xlpm._platform_range,3,FALSE),"+"&amp;CHAR(34),"+"),CHAR(34),""),", "),
_xlpm._exists, SUMPRODUCT(--ISNUMBER(MATCH(_xlpm._platform_keywords,_xlpm._original_keywords,0)))&gt;0,
_xlfn.IFS(AND(_xlpm._exists,LEFT($E193,1)="+"),"+",_xlpm._exists,"*",NOT(_xlpm._exists),"")
)</f>
        <v/>
      </c>
      <c r="M193" s="33" t="str" cm="1">
        <f t="array" aca="1" ref="M193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($E193=CLASSIFICATION[[Keyword Aggr]:[Keyword Aggr]])*($D193=CLASSIFICATION[[Functional Scope Aggr]:[Functional Scope Aggr]])),
_xlpm._platform_keywords, _xlfn.TEXTSPLIT(SUBSTITUTE(SUBSTITUTE(VLOOKUP($D193,_xlpm._platform_range,3,FALSE),"+"&amp;CHAR(34),"+"),CHAR(34),""),", "),
_xlpm._exists, SUMPRODUCT(--ISNUMBER(MATCH(_xlpm._platform_keywords,_xlpm._original_keywords,0)))&gt;0,
_xlfn.IFS(AND(_xlpm._exists,LEFT($E193,1)="+"),"+",_xlpm._exists,"*",NOT(_xlpm._exists),"")
)</f>
        <v/>
      </c>
      <c r="N193" s="33" t="str" cm="1">
        <f t="array" aca="1" ref="N193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($E193=CLASSIFICATION[[Keyword Aggr]:[Keyword Aggr]])*($D193=CLASSIFICATION[[Functional Scope Aggr]:[Functional Scope Aggr]])),
_xlpm._platform_keywords, _xlfn.TEXTSPLIT(SUBSTITUTE(SUBSTITUTE(VLOOKUP($D193,_xlpm._platform_range,3,FALSE),"+"&amp;CHAR(34),"+"),CHAR(34),""),", "),
_xlpm._exists, SUMPRODUCT(--ISNUMBER(MATCH(_xlpm._platform_keywords,_xlpm._original_keywords,0)))&gt;0,
_xlfn.IFS(AND(_xlpm._exists,LEFT($E193,1)="+"),"+",_xlpm._exists,"*",NOT(_xlpm._exists),"")
)</f>
        <v/>
      </c>
      <c r="O193" s="33" t="str" cm="1">
        <f t="array" aca="1" ref="O193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($E193=CLASSIFICATION[[Keyword Aggr]:[Keyword Aggr]])*($D193=CLASSIFICATION[[Functional Scope Aggr]:[Functional Scope Aggr]])),
_xlpm._platform_keywords, _xlfn.TEXTSPLIT(SUBSTITUTE(SUBSTITUTE(VLOOKUP($D193,_xlpm._platform_range,3,FALSE),"+"&amp;CHAR(34),"+"),CHAR(34),""),", "),
_xlpm._exists, SUMPRODUCT(--ISNUMBER(MATCH(_xlpm._platform_keywords,_xlpm._original_keywords,0)))&gt;0,
_xlfn.IFS(AND(_xlpm._exists,LEFT($E193,1)="+"),"+",_xlpm._exists,"*",NOT(_xlpm._exists),"")
)</f>
        <v/>
      </c>
      <c r="Q193" s="33" t="str">
        <f t="shared" si="23"/>
        <v/>
      </c>
      <c r="R193" s="33" t="str">
        <f t="shared" si="24"/>
        <v/>
      </c>
      <c r="S193" s="33" t="str">
        <f t="shared" si="25"/>
        <v/>
      </c>
      <c r="T193" s="33" t="str">
        <f t="shared" si="26"/>
        <v/>
      </c>
      <c r="U193" s="33" t="str">
        <f t="shared" si="27"/>
        <v/>
      </c>
      <c r="V193" s="33" t="str">
        <f t="shared" si="28"/>
        <v/>
      </c>
    </row>
    <row r="194" spans="1:22" x14ac:dyDescent="0.25">
      <c r="A194" s="19"/>
      <c r="B194" t="s">
        <v>377</v>
      </c>
      <c r="C194" s="19" t="e" cm="1">
        <f t="array" ref="C194">_xlfn.TEXTSPLIT(A194,",")</f>
        <v>#VALUE!</v>
      </c>
      <c r="D194" s="19"/>
      <c r="E194" s="19"/>
      <c r="F194" s="36" t="e" cm="1" vm="1">
        <f t="array" ref="F194">_xlfn.TEXTJOIN(",",TRUE,_xlfn._xlws.FILTER(CLASSIFICATION[Keyword], ($E194=CLASSIFICATION[Keyword Aggr])*($D194=CLASSIFICATION[Functional Scope Aggr])))</f>
        <v>#VALUE!</v>
      </c>
      <c r="G194" s="32" t="e">
        <f t="shared" si="22"/>
        <v>#VALUE!</v>
      </c>
      <c r="H194" s="32" t="str">
        <f t="shared" si="22"/>
        <v/>
      </c>
      <c r="I194" s="32">
        <f t="shared" si="29"/>
        <v>0</v>
      </c>
      <c r="J194" s="33" t="str" cm="1">
        <f t="array" aca="1" ref="J194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($E194=CLASSIFICATION[[Keyword Aggr]:[Keyword Aggr]])*($D194=CLASSIFICATION[[Functional Scope Aggr]:[Functional Scope Aggr]])),
_xlpm._platform_keywords, _xlfn.TEXTSPLIT(SUBSTITUTE(SUBSTITUTE(VLOOKUP($D194,_xlpm._platform_range,3,FALSE),"+"&amp;CHAR(34),"+"),CHAR(34),""),", "),
_xlpm._exists, SUMPRODUCT(--ISNUMBER(MATCH(_xlpm._platform_keywords,_xlpm._original_keywords,0)))&gt;0,
_xlfn.IFS(AND(_xlpm._exists,LEFT($E194,1)="+"),"+",_xlpm._exists,"*",NOT(_xlpm._exists),"")
)</f>
        <v/>
      </c>
      <c r="K194" s="33" t="str" cm="1">
        <f t="array" aca="1" ref="K194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($E194=CLASSIFICATION[[Keyword Aggr]:[Keyword Aggr]])*($D194=CLASSIFICATION[[Functional Scope Aggr]:[Functional Scope Aggr]])),
_xlpm._platform_keywords, _xlfn.TEXTSPLIT(SUBSTITUTE(SUBSTITUTE(VLOOKUP($D194,_xlpm._platform_range,3,FALSE),"+"&amp;CHAR(34),"+"),CHAR(34),""),", "),
_xlpm._exists, SUMPRODUCT(--ISNUMBER(MATCH(_xlpm._platform_keywords,_xlpm._original_keywords,0)))&gt;0,
_xlfn.IFS(AND(_xlpm._exists,LEFT($E194,1)="+"),"+",_xlpm._exists,"*",NOT(_xlpm._exists),"")
)</f>
        <v/>
      </c>
      <c r="L194" s="33" t="str" cm="1">
        <f t="array" aca="1" ref="L194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($E194=CLASSIFICATION[[Keyword Aggr]:[Keyword Aggr]])*($D194=CLASSIFICATION[[Functional Scope Aggr]:[Functional Scope Aggr]])),
_xlpm._platform_keywords, _xlfn.TEXTSPLIT(SUBSTITUTE(SUBSTITUTE(VLOOKUP($D194,_xlpm._platform_range,3,FALSE),"+"&amp;CHAR(34),"+"),CHAR(34),""),", "),
_xlpm._exists, SUMPRODUCT(--ISNUMBER(MATCH(_xlpm._platform_keywords,_xlpm._original_keywords,0)))&gt;0,
_xlfn.IFS(AND(_xlpm._exists,LEFT($E194,1)="+"),"+",_xlpm._exists,"*",NOT(_xlpm._exists),"")
)</f>
        <v/>
      </c>
      <c r="M194" s="33" t="str" cm="1">
        <f t="array" aca="1" ref="M194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($E194=CLASSIFICATION[[Keyword Aggr]:[Keyword Aggr]])*($D194=CLASSIFICATION[[Functional Scope Aggr]:[Functional Scope Aggr]])),
_xlpm._platform_keywords, _xlfn.TEXTSPLIT(SUBSTITUTE(SUBSTITUTE(VLOOKUP($D194,_xlpm._platform_range,3,FALSE),"+"&amp;CHAR(34),"+"),CHAR(34),""),", "),
_xlpm._exists, SUMPRODUCT(--ISNUMBER(MATCH(_xlpm._platform_keywords,_xlpm._original_keywords,0)))&gt;0,
_xlfn.IFS(AND(_xlpm._exists,LEFT($E194,1)="+"),"+",_xlpm._exists,"*",NOT(_xlpm._exists),"")
)</f>
        <v/>
      </c>
      <c r="N194" s="33" t="str" cm="1">
        <f t="array" aca="1" ref="N194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($E194=CLASSIFICATION[[Keyword Aggr]:[Keyword Aggr]])*($D194=CLASSIFICATION[[Functional Scope Aggr]:[Functional Scope Aggr]])),
_xlpm._platform_keywords, _xlfn.TEXTSPLIT(SUBSTITUTE(SUBSTITUTE(VLOOKUP($D194,_xlpm._platform_range,3,FALSE),"+"&amp;CHAR(34),"+"),CHAR(34),""),", "),
_xlpm._exists, SUMPRODUCT(--ISNUMBER(MATCH(_xlpm._platform_keywords,_xlpm._original_keywords,0)))&gt;0,
_xlfn.IFS(AND(_xlpm._exists,LEFT($E194,1)="+"),"+",_xlpm._exists,"*",NOT(_xlpm._exists),"")
)</f>
        <v/>
      </c>
      <c r="O194" s="33" t="str" cm="1">
        <f t="array" aca="1" ref="O194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($E194=CLASSIFICATION[[Keyword Aggr]:[Keyword Aggr]])*($D194=CLASSIFICATION[[Functional Scope Aggr]:[Functional Scope Aggr]])),
_xlpm._platform_keywords, _xlfn.TEXTSPLIT(SUBSTITUTE(SUBSTITUTE(VLOOKUP($D194,_xlpm._platform_range,3,FALSE),"+"&amp;CHAR(34),"+"),CHAR(34),""),", "),
_xlpm._exists, SUMPRODUCT(--ISNUMBER(MATCH(_xlpm._platform_keywords,_xlpm._original_keywords,0)))&gt;0,
_xlfn.IFS(AND(_xlpm._exists,LEFT($E194,1)="+"),"+",_xlpm._exists,"*",NOT(_xlpm._exists),"")
)</f>
        <v/>
      </c>
      <c r="Q194" s="33" t="str">
        <f t="shared" si="23"/>
        <v/>
      </c>
      <c r="R194" s="33" t="str">
        <f t="shared" si="24"/>
        <v/>
      </c>
      <c r="S194" s="33" t="str">
        <f t="shared" si="25"/>
        <v/>
      </c>
      <c r="T194" s="33" t="str">
        <f t="shared" si="26"/>
        <v/>
      </c>
      <c r="U194" s="33" t="str">
        <f t="shared" si="27"/>
        <v/>
      </c>
      <c r="V194" s="33" t="str">
        <f t="shared" si="28"/>
        <v/>
      </c>
    </row>
    <row r="195" spans="1:22" x14ac:dyDescent="0.25">
      <c r="A195" s="19"/>
      <c r="B195" t="s">
        <v>377</v>
      </c>
      <c r="C195" s="19" t="e" cm="1">
        <f t="array" ref="C195">_xlfn.TEXTSPLIT(A195,",")</f>
        <v>#VALUE!</v>
      </c>
      <c r="D195" s="19"/>
      <c r="E195" s="19"/>
      <c r="F195" s="36" t="e" cm="1" vm="1">
        <f t="array" ref="F195">_xlfn.TEXTJOIN(",",TRUE,_xlfn._xlws.FILTER(CLASSIFICATION[Keyword], ($E195=CLASSIFICATION[Keyword Aggr])*($D195=CLASSIFICATION[Functional Scope Aggr])))</f>
        <v>#VALUE!</v>
      </c>
      <c r="G195" s="32" t="e">
        <f t="shared" si="22"/>
        <v>#VALUE!</v>
      </c>
      <c r="H195" s="32" t="str">
        <f t="shared" si="22"/>
        <v/>
      </c>
      <c r="I195" s="32">
        <f t="shared" si="29"/>
        <v>0</v>
      </c>
      <c r="J195" s="33" t="str" cm="1">
        <f t="array" aca="1" ref="J195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($E195=CLASSIFICATION[[Keyword Aggr]:[Keyword Aggr]])*($D195=CLASSIFICATION[[Functional Scope Aggr]:[Functional Scope Aggr]])),
_xlpm._platform_keywords, _xlfn.TEXTSPLIT(SUBSTITUTE(SUBSTITUTE(VLOOKUP($D195,_xlpm._platform_range,3,FALSE),"+"&amp;CHAR(34),"+"),CHAR(34),""),", "),
_xlpm._exists, SUMPRODUCT(--ISNUMBER(MATCH(_xlpm._platform_keywords,_xlpm._original_keywords,0)))&gt;0,
_xlfn.IFS(AND(_xlpm._exists,LEFT($E195,1)="+"),"+",_xlpm._exists,"*",NOT(_xlpm._exists),"")
)</f>
        <v/>
      </c>
      <c r="K195" s="33" t="str" cm="1">
        <f t="array" aca="1" ref="K195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($E195=CLASSIFICATION[[Keyword Aggr]:[Keyword Aggr]])*($D195=CLASSIFICATION[[Functional Scope Aggr]:[Functional Scope Aggr]])),
_xlpm._platform_keywords, _xlfn.TEXTSPLIT(SUBSTITUTE(SUBSTITUTE(VLOOKUP($D195,_xlpm._platform_range,3,FALSE),"+"&amp;CHAR(34),"+"),CHAR(34),""),", "),
_xlpm._exists, SUMPRODUCT(--ISNUMBER(MATCH(_xlpm._platform_keywords,_xlpm._original_keywords,0)))&gt;0,
_xlfn.IFS(AND(_xlpm._exists,LEFT($E195,1)="+"),"+",_xlpm._exists,"*",NOT(_xlpm._exists),"")
)</f>
        <v/>
      </c>
      <c r="L195" s="33" t="str" cm="1">
        <f t="array" aca="1" ref="L195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($E195=CLASSIFICATION[[Keyword Aggr]:[Keyword Aggr]])*($D195=CLASSIFICATION[[Functional Scope Aggr]:[Functional Scope Aggr]])),
_xlpm._platform_keywords, _xlfn.TEXTSPLIT(SUBSTITUTE(SUBSTITUTE(VLOOKUP($D195,_xlpm._platform_range,3,FALSE),"+"&amp;CHAR(34),"+"),CHAR(34),""),", "),
_xlpm._exists, SUMPRODUCT(--ISNUMBER(MATCH(_xlpm._platform_keywords,_xlpm._original_keywords,0)))&gt;0,
_xlfn.IFS(AND(_xlpm._exists,LEFT($E195,1)="+"),"+",_xlpm._exists,"*",NOT(_xlpm._exists),"")
)</f>
        <v/>
      </c>
      <c r="M195" s="33" t="str" cm="1">
        <f t="array" aca="1" ref="M195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($E195=CLASSIFICATION[[Keyword Aggr]:[Keyword Aggr]])*($D195=CLASSIFICATION[[Functional Scope Aggr]:[Functional Scope Aggr]])),
_xlpm._platform_keywords, _xlfn.TEXTSPLIT(SUBSTITUTE(SUBSTITUTE(VLOOKUP($D195,_xlpm._platform_range,3,FALSE),"+"&amp;CHAR(34),"+"),CHAR(34),""),", "),
_xlpm._exists, SUMPRODUCT(--ISNUMBER(MATCH(_xlpm._platform_keywords,_xlpm._original_keywords,0)))&gt;0,
_xlfn.IFS(AND(_xlpm._exists,LEFT($E195,1)="+"),"+",_xlpm._exists,"*",NOT(_xlpm._exists),"")
)</f>
        <v/>
      </c>
      <c r="N195" s="33" t="str" cm="1">
        <f t="array" aca="1" ref="N195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($E195=CLASSIFICATION[[Keyword Aggr]:[Keyword Aggr]])*($D195=CLASSIFICATION[[Functional Scope Aggr]:[Functional Scope Aggr]])),
_xlpm._platform_keywords, _xlfn.TEXTSPLIT(SUBSTITUTE(SUBSTITUTE(VLOOKUP($D195,_xlpm._platform_range,3,FALSE),"+"&amp;CHAR(34),"+"),CHAR(34),""),", "),
_xlpm._exists, SUMPRODUCT(--ISNUMBER(MATCH(_xlpm._platform_keywords,_xlpm._original_keywords,0)))&gt;0,
_xlfn.IFS(AND(_xlpm._exists,LEFT($E195,1)="+"),"+",_xlpm._exists,"*",NOT(_xlpm._exists),"")
)</f>
        <v/>
      </c>
      <c r="O195" s="33" t="str" cm="1">
        <f t="array" aca="1" ref="O195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($E195=CLASSIFICATION[[Keyword Aggr]:[Keyword Aggr]])*($D195=CLASSIFICATION[[Functional Scope Aggr]:[Functional Scope Aggr]])),
_xlpm._platform_keywords, _xlfn.TEXTSPLIT(SUBSTITUTE(SUBSTITUTE(VLOOKUP($D195,_xlpm._platform_range,3,FALSE),"+"&amp;CHAR(34),"+"),CHAR(34),""),", "),
_xlpm._exists, SUMPRODUCT(--ISNUMBER(MATCH(_xlpm._platform_keywords,_xlpm._original_keywords,0)))&gt;0,
_xlfn.IFS(AND(_xlpm._exists,LEFT($E195,1)="+"),"+",_xlpm._exists,"*",NOT(_xlpm._exists),"")
)</f>
        <v/>
      </c>
      <c r="Q195" s="33" t="str">
        <f t="shared" si="23"/>
        <v/>
      </c>
      <c r="R195" s="33" t="str">
        <f t="shared" si="24"/>
        <v/>
      </c>
      <c r="S195" s="33" t="str">
        <f t="shared" si="25"/>
        <v/>
      </c>
      <c r="T195" s="33" t="str">
        <f t="shared" si="26"/>
        <v/>
      </c>
      <c r="U195" s="33" t="str">
        <f t="shared" si="27"/>
        <v/>
      </c>
      <c r="V195" s="33" t="str">
        <f t="shared" si="28"/>
        <v/>
      </c>
    </row>
    <row r="196" spans="1:22" x14ac:dyDescent="0.25">
      <c r="A196" s="19"/>
      <c r="B196" t="s">
        <v>377</v>
      </c>
      <c r="C196" s="19" t="e" cm="1">
        <f t="array" ref="C196">_xlfn.TEXTSPLIT(A196,",")</f>
        <v>#VALUE!</v>
      </c>
      <c r="D196" s="19"/>
      <c r="E196" s="19"/>
      <c r="F196" s="36" t="e" cm="1" vm="1">
        <f t="array" ref="F196">_xlfn.TEXTJOIN(",",TRUE,_xlfn._xlws.FILTER(CLASSIFICATION[Keyword], ($E196=CLASSIFICATION[Keyword Aggr])*($D196=CLASSIFICATION[Functional Scope Aggr])))</f>
        <v>#VALUE!</v>
      </c>
      <c r="G196" s="32" t="e">
        <f t="shared" ref="G196:H216" si="30">IF(C196&lt;&gt;C195,C196,"")</f>
        <v>#VALUE!</v>
      </c>
      <c r="H196" s="32" t="str">
        <f t="shared" si="30"/>
        <v/>
      </c>
      <c r="I196" s="32">
        <f t="shared" si="29"/>
        <v>0</v>
      </c>
      <c r="J196" s="33" t="str" cm="1">
        <f t="array" aca="1" ref="J196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($E196=CLASSIFICATION[[Keyword Aggr]:[Keyword Aggr]])*($D196=CLASSIFICATION[[Functional Scope Aggr]:[Functional Scope Aggr]])),
_xlpm._platform_keywords, _xlfn.TEXTSPLIT(SUBSTITUTE(SUBSTITUTE(VLOOKUP($D196,_xlpm._platform_range,3,FALSE),"+"&amp;CHAR(34),"+"),CHAR(34),""),", "),
_xlpm._exists, SUMPRODUCT(--ISNUMBER(MATCH(_xlpm._platform_keywords,_xlpm._original_keywords,0)))&gt;0,
_xlfn.IFS(AND(_xlpm._exists,LEFT($E196,1)="+"),"+",_xlpm._exists,"*",NOT(_xlpm._exists),"")
)</f>
        <v/>
      </c>
      <c r="K196" s="33" t="str" cm="1">
        <f t="array" aca="1" ref="K196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($E196=CLASSIFICATION[[Keyword Aggr]:[Keyword Aggr]])*($D196=CLASSIFICATION[[Functional Scope Aggr]:[Functional Scope Aggr]])),
_xlpm._platform_keywords, _xlfn.TEXTSPLIT(SUBSTITUTE(SUBSTITUTE(VLOOKUP($D196,_xlpm._platform_range,3,FALSE),"+"&amp;CHAR(34),"+"),CHAR(34),""),", "),
_xlpm._exists, SUMPRODUCT(--ISNUMBER(MATCH(_xlpm._platform_keywords,_xlpm._original_keywords,0)))&gt;0,
_xlfn.IFS(AND(_xlpm._exists,LEFT($E196,1)="+"),"+",_xlpm._exists,"*",NOT(_xlpm._exists),"")
)</f>
        <v/>
      </c>
      <c r="L196" s="33" t="str" cm="1">
        <f t="array" aca="1" ref="L196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($E196=CLASSIFICATION[[Keyword Aggr]:[Keyword Aggr]])*($D196=CLASSIFICATION[[Functional Scope Aggr]:[Functional Scope Aggr]])),
_xlpm._platform_keywords, _xlfn.TEXTSPLIT(SUBSTITUTE(SUBSTITUTE(VLOOKUP($D196,_xlpm._platform_range,3,FALSE),"+"&amp;CHAR(34),"+"),CHAR(34),""),", "),
_xlpm._exists, SUMPRODUCT(--ISNUMBER(MATCH(_xlpm._platform_keywords,_xlpm._original_keywords,0)))&gt;0,
_xlfn.IFS(AND(_xlpm._exists,LEFT($E196,1)="+"),"+",_xlpm._exists,"*",NOT(_xlpm._exists),"")
)</f>
        <v/>
      </c>
      <c r="M196" s="33" t="str" cm="1">
        <f t="array" aca="1" ref="M196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($E196=CLASSIFICATION[[Keyword Aggr]:[Keyword Aggr]])*($D196=CLASSIFICATION[[Functional Scope Aggr]:[Functional Scope Aggr]])),
_xlpm._platform_keywords, _xlfn.TEXTSPLIT(SUBSTITUTE(SUBSTITUTE(VLOOKUP($D196,_xlpm._platform_range,3,FALSE),"+"&amp;CHAR(34),"+"),CHAR(34),""),", "),
_xlpm._exists, SUMPRODUCT(--ISNUMBER(MATCH(_xlpm._platform_keywords,_xlpm._original_keywords,0)))&gt;0,
_xlfn.IFS(AND(_xlpm._exists,LEFT($E196,1)="+"),"+",_xlpm._exists,"*",NOT(_xlpm._exists),"")
)</f>
        <v/>
      </c>
      <c r="N196" s="33" t="str" cm="1">
        <f t="array" aca="1" ref="N196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($E196=CLASSIFICATION[[Keyword Aggr]:[Keyword Aggr]])*($D196=CLASSIFICATION[[Functional Scope Aggr]:[Functional Scope Aggr]])),
_xlpm._platform_keywords, _xlfn.TEXTSPLIT(SUBSTITUTE(SUBSTITUTE(VLOOKUP($D196,_xlpm._platform_range,3,FALSE),"+"&amp;CHAR(34),"+"),CHAR(34),""),", "),
_xlpm._exists, SUMPRODUCT(--ISNUMBER(MATCH(_xlpm._platform_keywords,_xlpm._original_keywords,0)))&gt;0,
_xlfn.IFS(AND(_xlpm._exists,LEFT($E196,1)="+"),"+",_xlpm._exists,"*",NOT(_xlpm._exists),"")
)</f>
        <v/>
      </c>
      <c r="O196" s="33" t="str" cm="1">
        <f t="array" aca="1" ref="O196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($E196=CLASSIFICATION[[Keyword Aggr]:[Keyword Aggr]])*($D196=CLASSIFICATION[[Functional Scope Aggr]:[Functional Scope Aggr]])),
_xlpm._platform_keywords, _xlfn.TEXTSPLIT(SUBSTITUTE(SUBSTITUTE(VLOOKUP($D196,_xlpm._platform_range,3,FALSE),"+"&amp;CHAR(34),"+"),CHAR(34),""),", "),
_xlpm._exists, SUMPRODUCT(--ISNUMBER(MATCH(_xlpm._platform_keywords,_xlpm._original_keywords,0)))&gt;0,
_xlfn.IFS(AND(_xlpm._exists,LEFT($E196,1)="+"),"+",_xlpm._exists,"*",NOT(_xlpm._exists),"")
)</f>
        <v/>
      </c>
      <c r="Q196" s="33" t="str">
        <f t="shared" si="23"/>
        <v/>
      </c>
      <c r="R196" s="33" t="str">
        <f t="shared" si="24"/>
        <v/>
      </c>
      <c r="S196" s="33" t="str">
        <f t="shared" si="25"/>
        <v/>
      </c>
      <c r="T196" s="33" t="str">
        <f t="shared" si="26"/>
        <v/>
      </c>
      <c r="U196" s="33" t="str">
        <f t="shared" si="27"/>
        <v/>
      </c>
      <c r="V196" s="33" t="str">
        <f t="shared" si="28"/>
        <v/>
      </c>
    </row>
    <row r="197" spans="1:22" x14ac:dyDescent="0.25">
      <c r="A197" s="19"/>
      <c r="B197" t="s">
        <v>377</v>
      </c>
      <c r="C197" s="19" t="e" cm="1">
        <f t="array" ref="C197">_xlfn.TEXTSPLIT(A197,",")</f>
        <v>#VALUE!</v>
      </c>
      <c r="D197" s="19"/>
      <c r="E197" s="19"/>
      <c r="F197" s="36" t="e" cm="1" vm="1">
        <f t="array" ref="F197">_xlfn.TEXTJOIN(",",TRUE,_xlfn._xlws.FILTER(CLASSIFICATION[Keyword], ($E197=CLASSIFICATION[Keyword Aggr])*($D197=CLASSIFICATION[Functional Scope Aggr])))</f>
        <v>#VALUE!</v>
      </c>
      <c r="G197" s="32" t="e">
        <f t="shared" si="30"/>
        <v>#VALUE!</v>
      </c>
      <c r="H197" s="32" t="str">
        <f t="shared" si="30"/>
        <v/>
      </c>
      <c r="I197" s="32">
        <f t="shared" si="29"/>
        <v>0</v>
      </c>
      <c r="J197" s="33" t="str" cm="1">
        <f t="array" aca="1" ref="J197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($E197=CLASSIFICATION[[Keyword Aggr]:[Keyword Aggr]])*($D197=CLASSIFICATION[[Functional Scope Aggr]:[Functional Scope Aggr]])),
_xlpm._platform_keywords, _xlfn.TEXTSPLIT(SUBSTITUTE(SUBSTITUTE(VLOOKUP($D197,_xlpm._platform_range,3,FALSE),"+"&amp;CHAR(34),"+"),CHAR(34),""),", "),
_xlpm._exists, SUMPRODUCT(--ISNUMBER(MATCH(_xlpm._platform_keywords,_xlpm._original_keywords,0)))&gt;0,
_xlfn.IFS(AND(_xlpm._exists,LEFT($E197,1)="+"),"+",_xlpm._exists,"*",NOT(_xlpm._exists),"")
)</f>
        <v/>
      </c>
      <c r="K197" s="33" t="str" cm="1">
        <f t="array" aca="1" ref="K197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($E197=CLASSIFICATION[[Keyword Aggr]:[Keyword Aggr]])*($D197=CLASSIFICATION[[Functional Scope Aggr]:[Functional Scope Aggr]])),
_xlpm._platform_keywords, _xlfn.TEXTSPLIT(SUBSTITUTE(SUBSTITUTE(VLOOKUP($D197,_xlpm._platform_range,3,FALSE),"+"&amp;CHAR(34),"+"),CHAR(34),""),", "),
_xlpm._exists, SUMPRODUCT(--ISNUMBER(MATCH(_xlpm._platform_keywords,_xlpm._original_keywords,0)))&gt;0,
_xlfn.IFS(AND(_xlpm._exists,LEFT($E197,1)="+"),"+",_xlpm._exists,"*",NOT(_xlpm._exists),"")
)</f>
        <v/>
      </c>
      <c r="L197" s="33" t="str" cm="1">
        <f t="array" aca="1" ref="L197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($E197=CLASSIFICATION[[Keyword Aggr]:[Keyword Aggr]])*($D197=CLASSIFICATION[[Functional Scope Aggr]:[Functional Scope Aggr]])),
_xlpm._platform_keywords, _xlfn.TEXTSPLIT(SUBSTITUTE(SUBSTITUTE(VLOOKUP($D197,_xlpm._platform_range,3,FALSE),"+"&amp;CHAR(34),"+"),CHAR(34),""),", "),
_xlpm._exists, SUMPRODUCT(--ISNUMBER(MATCH(_xlpm._platform_keywords,_xlpm._original_keywords,0)))&gt;0,
_xlfn.IFS(AND(_xlpm._exists,LEFT($E197,1)="+"),"+",_xlpm._exists,"*",NOT(_xlpm._exists),"")
)</f>
        <v/>
      </c>
      <c r="M197" s="33" t="str" cm="1">
        <f t="array" aca="1" ref="M197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($E197=CLASSIFICATION[[Keyword Aggr]:[Keyword Aggr]])*($D197=CLASSIFICATION[[Functional Scope Aggr]:[Functional Scope Aggr]])),
_xlpm._platform_keywords, _xlfn.TEXTSPLIT(SUBSTITUTE(SUBSTITUTE(VLOOKUP($D197,_xlpm._platform_range,3,FALSE),"+"&amp;CHAR(34),"+"),CHAR(34),""),", "),
_xlpm._exists, SUMPRODUCT(--ISNUMBER(MATCH(_xlpm._platform_keywords,_xlpm._original_keywords,0)))&gt;0,
_xlfn.IFS(AND(_xlpm._exists,LEFT($E197,1)="+"),"+",_xlpm._exists,"*",NOT(_xlpm._exists),"")
)</f>
        <v/>
      </c>
      <c r="N197" s="33" t="str" cm="1">
        <f t="array" aca="1" ref="N197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($E197=CLASSIFICATION[[Keyword Aggr]:[Keyword Aggr]])*($D197=CLASSIFICATION[[Functional Scope Aggr]:[Functional Scope Aggr]])),
_xlpm._platform_keywords, _xlfn.TEXTSPLIT(SUBSTITUTE(SUBSTITUTE(VLOOKUP($D197,_xlpm._platform_range,3,FALSE),"+"&amp;CHAR(34),"+"),CHAR(34),""),", "),
_xlpm._exists, SUMPRODUCT(--ISNUMBER(MATCH(_xlpm._platform_keywords,_xlpm._original_keywords,0)))&gt;0,
_xlfn.IFS(AND(_xlpm._exists,LEFT($E197,1)="+"),"+",_xlpm._exists,"*",NOT(_xlpm._exists),"")
)</f>
        <v/>
      </c>
      <c r="O197" s="33" t="str" cm="1">
        <f t="array" aca="1" ref="O197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($E197=CLASSIFICATION[[Keyword Aggr]:[Keyword Aggr]])*($D197=CLASSIFICATION[[Functional Scope Aggr]:[Functional Scope Aggr]])),
_xlpm._platform_keywords, _xlfn.TEXTSPLIT(SUBSTITUTE(SUBSTITUTE(VLOOKUP($D197,_xlpm._platform_range,3,FALSE),"+"&amp;CHAR(34),"+"),CHAR(34),""),", "),
_xlpm._exists, SUMPRODUCT(--ISNUMBER(MATCH(_xlpm._platform_keywords,_xlpm._original_keywords,0)))&gt;0,
_xlfn.IFS(AND(_xlpm._exists,LEFT($E197,1)="+"),"+",_xlpm._exists,"*",NOT(_xlpm._exists),"")
)</f>
        <v/>
      </c>
      <c r="Q197" s="33" t="str">
        <f t="shared" si="23"/>
        <v/>
      </c>
      <c r="R197" s="33" t="str">
        <f t="shared" si="24"/>
        <v/>
      </c>
      <c r="S197" s="33" t="str">
        <f t="shared" si="25"/>
        <v/>
      </c>
      <c r="T197" s="33" t="str">
        <f t="shared" si="26"/>
        <v/>
      </c>
      <c r="U197" s="33" t="str">
        <f t="shared" si="27"/>
        <v/>
      </c>
      <c r="V197" s="33" t="str">
        <f t="shared" si="28"/>
        <v/>
      </c>
    </row>
    <row r="198" spans="1:22" x14ac:dyDescent="0.25">
      <c r="A198" s="19"/>
      <c r="B198" t="s">
        <v>377</v>
      </c>
      <c r="C198" s="19" t="e" cm="1">
        <f t="array" ref="C198">_xlfn.TEXTSPLIT(A198,",")</f>
        <v>#VALUE!</v>
      </c>
      <c r="D198" s="19"/>
      <c r="E198" s="19"/>
      <c r="F198" s="36" t="e" cm="1" vm="1">
        <f t="array" ref="F198">_xlfn.TEXTJOIN(",",TRUE,_xlfn._xlws.FILTER(CLASSIFICATION[Keyword], ($E198=CLASSIFICATION[Keyword Aggr])*($D198=CLASSIFICATION[Functional Scope Aggr])))</f>
        <v>#VALUE!</v>
      </c>
      <c r="G198" s="32" t="e">
        <f t="shared" si="30"/>
        <v>#VALUE!</v>
      </c>
      <c r="H198" s="32" t="str">
        <f t="shared" si="30"/>
        <v/>
      </c>
      <c r="I198" s="32">
        <f t="shared" si="29"/>
        <v>0</v>
      </c>
      <c r="J198" s="33" t="str" cm="1">
        <f t="array" aca="1" ref="J198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($E198=CLASSIFICATION[[Keyword Aggr]:[Keyword Aggr]])*($D198=CLASSIFICATION[[Functional Scope Aggr]:[Functional Scope Aggr]])),
_xlpm._platform_keywords, _xlfn.TEXTSPLIT(SUBSTITUTE(SUBSTITUTE(VLOOKUP($D198,_xlpm._platform_range,3,FALSE),"+"&amp;CHAR(34),"+"),CHAR(34),""),", "),
_xlpm._exists, SUMPRODUCT(--ISNUMBER(MATCH(_xlpm._platform_keywords,_xlpm._original_keywords,0)))&gt;0,
_xlfn.IFS(AND(_xlpm._exists,LEFT($E198,1)="+"),"+",_xlpm._exists,"*",NOT(_xlpm._exists),"")
)</f>
        <v/>
      </c>
      <c r="K198" s="33" t="str" cm="1">
        <f t="array" aca="1" ref="K198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($E198=CLASSIFICATION[[Keyword Aggr]:[Keyword Aggr]])*($D198=CLASSIFICATION[[Functional Scope Aggr]:[Functional Scope Aggr]])),
_xlpm._platform_keywords, _xlfn.TEXTSPLIT(SUBSTITUTE(SUBSTITUTE(VLOOKUP($D198,_xlpm._platform_range,3,FALSE),"+"&amp;CHAR(34),"+"),CHAR(34),""),", "),
_xlpm._exists, SUMPRODUCT(--ISNUMBER(MATCH(_xlpm._platform_keywords,_xlpm._original_keywords,0)))&gt;0,
_xlfn.IFS(AND(_xlpm._exists,LEFT($E198,1)="+"),"+",_xlpm._exists,"*",NOT(_xlpm._exists),"")
)</f>
        <v/>
      </c>
      <c r="L198" s="33" t="str" cm="1">
        <f t="array" aca="1" ref="L198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($E198=CLASSIFICATION[[Keyword Aggr]:[Keyword Aggr]])*($D198=CLASSIFICATION[[Functional Scope Aggr]:[Functional Scope Aggr]])),
_xlpm._platform_keywords, _xlfn.TEXTSPLIT(SUBSTITUTE(SUBSTITUTE(VLOOKUP($D198,_xlpm._platform_range,3,FALSE),"+"&amp;CHAR(34),"+"),CHAR(34),""),", "),
_xlpm._exists, SUMPRODUCT(--ISNUMBER(MATCH(_xlpm._platform_keywords,_xlpm._original_keywords,0)))&gt;0,
_xlfn.IFS(AND(_xlpm._exists,LEFT($E198,1)="+"),"+",_xlpm._exists,"*",NOT(_xlpm._exists),"")
)</f>
        <v/>
      </c>
      <c r="M198" s="33" t="str" cm="1">
        <f t="array" aca="1" ref="M198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($E198=CLASSIFICATION[[Keyword Aggr]:[Keyword Aggr]])*($D198=CLASSIFICATION[[Functional Scope Aggr]:[Functional Scope Aggr]])),
_xlpm._platform_keywords, _xlfn.TEXTSPLIT(SUBSTITUTE(SUBSTITUTE(VLOOKUP($D198,_xlpm._platform_range,3,FALSE),"+"&amp;CHAR(34),"+"),CHAR(34),""),", "),
_xlpm._exists, SUMPRODUCT(--ISNUMBER(MATCH(_xlpm._platform_keywords,_xlpm._original_keywords,0)))&gt;0,
_xlfn.IFS(AND(_xlpm._exists,LEFT($E198,1)="+"),"+",_xlpm._exists,"*",NOT(_xlpm._exists),"")
)</f>
        <v/>
      </c>
      <c r="N198" s="33" t="str" cm="1">
        <f t="array" aca="1" ref="N198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($E198=CLASSIFICATION[[Keyword Aggr]:[Keyword Aggr]])*($D198=CLASSIFICATION[[Functional Scope Aggr]:[Functional Scope Aggr]])),
_xlpm._platform_keywords, _xlfn.TEXTSPLIT(SUBSTITUTE(SUBSTITUTE(VLOOKUP($D198,_xlpm._platform_range,3,FALSE),"+"&amp;CHAR(34),"+"),CHAR(34),""),", "),
_xlpm._exists, SUMPRODUCT(--ISNUMBER(MATCH(_xlpm._platform_keywords,_xlpm._original_keywords,0)))&gt;0,
_xlfn.IFS(AND(_xlpm._exists,LEFT($E198,1)="+"),"+",_xlpm._exists,"*",NOT(_xlpm._exists),"")
)</f>
        <v/>
      </c>
      <c r="O198" s="33" t="str" cm="1">
        <f t="array" aca="1" ref="O198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($E198=CLASSIFICATION[[Keyword Aggr]:[Keyword Aggr]])*($D198=CLASSIFICATION[[Functional Scope Aggr]:[Functional Scope Aggr]])),
_xlpm._platform_keywords, _xlfn.TEXTSPLIT(SUBSTITUTE(SUBSTITUTE(VLOOKUP($D198,_xlpm._platform_range,3,FALSE),"+"&amp;CHAR(34),"+"),CHAR(34),""),", "),
_xlpm._exists, SUMPRODUCT(--ISNUMBER(MATCH(_xlpm._platform_keywords,_xlpm._original_keywords,0)))&gt;0,
_xlfn.IFS(AND(_xlpm._exists,LEFT($E198,1)="+"),"+",_xlpm._exists,"*",NOT(_xlpm._exists),"")
)</f>
        <v/>
      </c>
      <c r="Q198" s="33" t="str">
        <f t="shared" ref="Q198:Q216" si="31">IF($H198&lt;&gt;"",COUNTIFS(J$3:J$500,"~*",$D$3:$D$500,$H198),"")</f>
        <v/>
      </c>
      <c r="R198" s="33" t="str">
        <f t="shared" si="24"/>
        <v/>
      </c>
      <c r="S198" s="33" t="str">
        <f t="shared" si="25"/>
        <v/>
      </c>
      <c r="T198" s="33" t="str">
        <f t="shared" si="26"/>
        <v/>
      </c>
      <c r="U198" s="33" t="str">
        <f t="shared" si="27"/>
        <v/>
      </c>
      <c r="V198" s="33" t="str">
        <f t="shared" si="28"/>
        <v/>
      </c>
    </row>
    <row r="199" spans="1:22" x14ac:dyDescent="0.25">
      <c r="A199" s="19"/>
      <c r="B199" t="s">
        <v>377</v>
      </c>
      <c r="C199" s="19" t="e" cm="1">
        <f t="array" ref="C199">_xlfn.TEXTSPLIT(A199,",")</f>
        <v>#VALUE!</v>
      </c>
      <c r="D199" s="19"/>
      <c r="E199" s="19"/>
      <c r="F199" s="36" t="e" cm="1" vm="1">
        <f t="array" ref="F199">_xlfn.TEXTJOIN(",",TRUE,_xlfn._xlws.FILTER(CLASSIFICATION[Keyword], ($E199=CLASSIFICATION[Keyword Aggr])*($D199=CLASSIFICATION[Functional Scope Aggr])))</f>
        <v>#VALUE!</v>
      </c>
      <c r="G199" s="32" t="e">
        <f t="shared" si="30"/>
        <v>#VALUE!</v>
      </c>
      <c r="H199" s="32" t="str">
        <f t="shared" si="30"/>
        <v/>
      </c>
      <c r="I199" s="32">
        <f t="shared" si="29"/>
        <v>0</v>
      </c>
      <c r="J199" s="33" t="str" cm="1">
        <f t="array" aca="1" ref="J199" ca="1">_xlfn.LET(
_xlpm._platform_range, INDIRECT("'Platform review'!$C"&amp;_xlfn.XMATCH(J$2,'Platform review'!$A$1:$A$127)&amp;":$E"&amp;_xlfn.XMATCH(J$2,'Platform review'!$A$1:$A$127)+19),
_xlpm._original_keywords, _xlfn._xlws.FILTER(CLASSIFICATION[[Keyword]:[Keyword]], ($E199=CLASSIFICATION[[Keyword Aggr]:[Keyword Aggr]])*($D199=CLASSIFICATION[[Functional Scope Aggr]:[Functional Scope Aggr]])),
_xlpm._platform_keywords, _xlfn.TEXTSPLIT(SUBSTITUTE(SUBSTITUTE(VLOOKUP($D199,_xlpm._platform_range,3,FALSE),"+"&amp;CHAR(34),"+"),CHAR(34),""),", "),
_xlpm._exists, SUMPRODUCT(--ISNUMBER(MATCH(_xlpm._platform_keywords,_xlpm._original_keywords,0)))&gt;0,
_xlfn.IFS(AND(_xlpm._exists,LEFT($E199,1)="+"),"+",_xlpm._exists,"*",NOT(_xlpm._exists),"")
)</f>
        <v/>
      </c>
      <c r="K199" s="33" t="str" cm="1">
        <f t="array" aca="1" ref="K199" ca="1">_xlfn.LET(
_xlpm._platform_range, INDIRECT("'Platform review'!$C"&amp;_xlfn.XMATCH(K$2,'Platform review'!$A$1:$A$127)&amp;":$E"&amp;_xlfn.XMATCH(K$2,'Platform review'!$A$1:$A$127)+19),
_xlpm._original_keywords, _xlfn._xlws.FILTER(CLASSIFICATION[[Keyword]:[Keyword]], ($E199=CLASSIFICATION[[Keyword Aggr]:[Keyword Aggr]])*($D199=CLASSIFICATION[[Functional Scope Aggr]:[Functional Scope Aggr]])),
_xlpm._platform_keywords, _xlfn.TEXTSPLIT(SUBSTITUTE(SUBSTITUTE(VLOOKUP($D199,_xlpm._platform_range,3,FALSE),"+"&amp;CHAR(34),"+"),CHAR(34),""),", "),
_xlpm._exists, SUMPRODUCT(--ISNUMBER(MATCH(_xlpm._platform_keywords,_xlpm._original_keywords,0)))&gt;0,
_xlfn.IFS(AND(_xlpm._exists,LEFT($E199,1)="+"),"+",_xlpm._exists,"*",NOT(_xlpm._exists),"")
)</f>
        <v/>
      </c>
      <c r="L199" s="33" t="str" cm="1">
        <f t="array" aca="1" ref="L199" ca="1">_xlfn.LET(
_xlpm._platform_range, INDIRECT("'Platform review'!$C"&amp;_xlfn.XMATCH(L$2,'Platform review'!$A$1:$A$127)&amp;":$E"&amp;_xlfn.XMATCH(L$2,'Platform review'!$A$1:$A$127)+19),
_xlpm._original_keywords, _xlfn._xlws.FILTER(CLASSIFICATION[[Keyword]:[Keyword]], ($E199=CLASSIFICATION[[Keyword Aggr]:[Keyword Aggr]])*($D199=CLASSIFICATION[[Functional Scope Aggr]:[Functional Scope Aggr]])),
_xlpm._platform_keywords, _xlfn.TEXTSPLIT(SUBSTITUTE(SUBSTITUTE(VLOOKUP($D199,_xlpm._platform_range,3,FALSE),"+"&amp;CHAR(34),"+"),CHAR(34),""),", "),
_xlpm._exists, SUMPRODUCT(--ISNUMBER(MATCH(_xlpm._platform_keywords,_xlpm._original_keywords,0)))&gt;0,
_xlfn.IFS(AND(_xlpm._exists,LEFT($E199,1)="+"),"+",_xlpm._exists,"*",NOT(_xlpm._exists),"")
)</f>
        <v/>
      </c>
      <c r="M199" s="33" t="str" cm="1">
        <f t="array" aca="1" ref="M199" ca="1">_xlfn.LET(
_xlpm._platform_range, INDIRECT("'Platform review'!$C"&amp;_xlfn.XMATCH(M$2,'Platform review'!$A$1:$A$127)&amp;":$E"&amp;_xlfn.XMATCH(M$2,'Platform review'!$A$1:$A$127)+19),
_xlpm._original_keywords, _xlfn._xlws.FILTER(CLASSIFICATION[[Keyword]:[Keyword]], ($E199=CLASSIFICATION[[Keyword Aggr]:[Keyword Aggr]])*($D199=CLASSIFICATION[[Functional Scope Aggr]:[Functional Scope Aggr]])),
_xlpm._platform_keywords, _xlfn.TEXTSPLIT(SUBSTITUTE(SUBSTITUTE(VLOOKUP($D199,_xlpm._platform_range,3,FALSE),"+"&amp;CHAR(34),"+"),CHAR(34),""),", "),
_xlpm._exists, SUMPRODUCT(--ISNUMBER(MATCH(_xlpm._platform_keywords,_xlpm._original_keywords,0)))&gt;0,
_xlfn.IFS(AND(_xlpm._exists,LEFT($E199,1)="+"),"+",_xlpm._exists,"*",NOT(_xlpm._exists),"")
)</f>
        <v/>
      </c>
      <c r="N199" s="33" t="str" cm="1">
        <f t="array" aca="1" ref="N199" ca="1">_xlfn.LET(
_xlpm._platform_range, INDIRECT("'Platform review'!$C"&amp;_xlfn.XMATCH(N$2,'Platform review'!$A$1:$A$127)&amp;":$E"&amp;_xlfn.XMATCH(N$2,'Platform review'!$A$1:$A$127)+19),
_xlpm._original_keywords, _xlfn._xlws.FILTER(CLASSIFICATION[[Keyword]:[Keyword]], ($E199=CLASSIFICATION[[Keyword Aggr]:[Keyword Aggr]])*($D199=CLASSIFICATION[[Functional Scope Aggr]:[Functional Scope Aggr]])),
_xlpm._platform_keywords, _xlfn.TEXTSPLIT(SUBSTITUTE(SUBSTITUTE(VLOOKUP($D199,_xlpm._platform_range,3,FALSE),"+"&amp;CHAR(34),"+"),CHAR(34),""),", "),
_xlpm._exists, SUMPRODUCT(--ISNUMBER(MATCH(_xlpm._platform_keywords,_xlpm._original_keywords,0)))&gt;0,
_xlfn.IFS(AND(_xlpm._exists,LEFT($E199,1)="+"),"+",_xlpm._exists,"*",NOT(_xlpm._exists),"")
)</f>
        <v/>
      </c>
      <c r="O199" s="33" t="str" cm="1">
        <f t="array" aca="1" ref="O199" ca="1">_xlfn.LET(
_xlpm._platform_range, INDIRECT("'Platform review'!$C"&amp;_xlfn.XMATCH(O$2,'Platform review'!$A$1:$A$127)&amp;":$E"&amp;_xlfn.XMATCH(O$2,'Platform review'!$A$1:$A$127)+19),
_xlpm._original_keywords, _xlfn._xlws.FILTER(CLASSIFICATION[[Keyword]:[Keyword]], ($E199=CLASSIFICATION[[Keyword Aggr]:[Keyword Aggr]])*($D199=CLASSIFICATION[[Functional Scope Aggr]:[Functional Scope Aggr]])),
_xlpm._platform_keywords, _xlfn.TEXTSPLIT(SUBSTITUTE(SUBSTITUTE(VLOOKUP($D199,_xlpm._platform_range,3,FALSE),"+"&amp;CHAR(34),"+"),CHAR(34),""),", "),
_xlpm._exists, SUMPRODUCT(--ISNUMBER(MATCH(_xlpm._platform_keywords,_xlpm._original_keywords,0)))&gt;0,
_xlfn.IFS(AND(_xlpm._exists,LEFT($E199,1)="+"),"+",_xlpm._exists,"*",NOT(_xlpm._exists),"")
)</f>
        <v/>
      </c>
      <c r="Q199" s="33" t="str">
        <f t="shared" si="31"/>
        <v/>
      </c>
      <c r="R199" s="33" t="str">
        <f t="shared" ref="R199:R216" si="32">IF($H199&lt;&gt;"",COUNTIFS(K$3:K$500,"~*",$D$3:$D$500,$H199),"")</f>
        <v/>
      </c>
      <c r="S199" s="33" t="str">
        <f t="shared" ref="S199:S216" si="33">IF($H199&lt;&gt;"",COUNTIFS(L$3:L$500,"~*",$D$3:$D$500,$H199),"")</f>
        <v/>
      </c>
      <c r="T199" s="33" t="str">
        <f t="shared" ref="T199:T216" si="34">IF($H199&lt;&gt;"",COUNTIFS(M$3:M$500,"~*",$D$3:$D$500,$H199),"")</f>
        <v/>
      </c>
      <c r="U199" s="33" t="str">
        <f t="shared" ref="U199:U216" si="35">IF($H199&lt;&gt;"",COUNTIFS(N$3:N$500,"~*",$D$3:$D$500,$H199),"")</f>
        <v/>
      </c>
      <c r="V199" s="33" t="str">
        <f t="shared" ref="V199:V216" si="36">IF($H199&lt;&gt;"",COUNTIFS(O$3:O$500,"~*",$D$3:$D$500,$H199),"")</f>
        <v/>
      </c>
    </row>
    <row r="200" spans="1:22" x14ac:dyDescent="0.25">
      <c r="A200" s="19"/>
      <c r="B200" t="s">
        <v>377</v>
      </c>
      <c r="C200" s="19" t="e" cm="1">
        <f t="array" ref="C200">_xlfn.TEXTSPLIT(A200,",")</f>
        <v>#VALUE!</v>
      </c>
      <c r="D200" s="19"/>
      <c r="E200" s="19"/>
      <c r="F200" s="36" t="e" cm="1" vm="1">
        <f t="array" ref="F200">_xlfn.TEXTJOIN(",",TRUE,_xlfn._xlws.FILTER(CLASSIFICATION[Keyword], ($E200=CLASSIFICATION[Keyword Aggr])*($D200=CLASSIFICATION[Functional Scope Aggr])))</f>
        <v>#VALUE!</v>
      </c>
      <c r="G200" s="32" t="e">
        <f t="shared" si="30"/>
        <v>#VALUE!</v>
      </c>
      <c r="H200" s="32" t="str">
        <f t="shared" si="30"/>
        <v/>
      </c>
      <c r="I200" s="32">
        <f t="shared" si="29"/>
        <v>0</v>
      </c>
      <c r="J200" s="33" t="str" cm="1">
        <f t="array" aca="1" ref="J200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($E200=CLASSIFICATION[[Keyword Aggr]:[Keyword Aggr]])*($D200=CLASSIFICATION[[Functional Scope Aggr]:[Functional Scope Aggr]])),
_xlpm._platform_keywords, _xlfn.TEXTSPLIT(SUBSTITUTE(SUBSTITUTE(VLOOKUP($D200,_xlpm._platform_range,3,FALSE),"+"&amp;CHAR(34),"+"),CHAR(34),""),", "),
_xlpm._exists, SUMPRODUCT(--ISNUMBER(MATCH(_xlpm._platform_keywords,_xlpm._original_keywords,0)))&gt;0,
_xlfn.IFS(AND(_xlpm._exists,LEFT($E200,1)="+"),"+",_xlpm._exists,"*",NOT(_xlpm._exists),"")
)</f>
        <v/>
      </c>
      <c r="K200" s="33" t="str" cm="1">
        <f t="array" aca="1" ref="K200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($E200=CLASSIFICATION[[Keyword Aggr]:[Keyword Aggr]])*($D200=CLASSIFICATION[[Functional Scope Aggr]:[Functional Scope Aggr]])),
_xlpm._platform_keywords, _xlfn.TEXTSPLIT(SUBSTITUTE(SUBSTITUTE(VLOOKUP($D200,_xlpm._platform_range,3,FALSE),"+"&amp;CHAR(34),"+"),CHAR(34),""),", "),
_xlpm._exists, SUMPRODUCT(--ISNUMBER(MATCH(_xlpm._platform_keywords,_xlpm._original_keywords,0)))&gt;0,
_xlfn.IFS(AND(_xlpm._exists,LEFT($E200,1)="+"),"+",_xlpm._exists,"*",NOT(_xlpm._exists),"")
)</f>
        <v/>
      </c>
      <c r="L200" s="33" t="str" cm="1">
        <f t="array" aca="1" ref="L200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($E200=CLASSIFICATION[[Keyword Aggr]:[Keyword Aggr]])*($D200=CLASSIFICATION[[Functional Scope Aggr]:[Functional Scope Aggr]])),
_xlpm._platform_keywords, _xlfn.TEXTSPLIT(SUBSTITUTE(SUBSTITUTE(VLOOKUP($D200,_xlpm._platform_range,3,FALSE),"+"&amp;CHAR(34),"+"),CHAR(34),""),", "),
_xlpm._exists, SUMPRODUCT(--ISNUMBER(MATCH(_xlpm._platform_keywords,_xlpm._original_keywords,0)))&gt;0,
_xlfn.IFS(AND(_xlpm._exists,LEFT($E200,1)="+"),"+",_xlpm._exists,"*",NOT(_xlpm._exists),"")
)</f>
        <v/>
      </c>
      <c r="M200" s="33" t="str" cm="1">
        <f t="array" aca="1" ref="M200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($E200=CLASSIFICATION[[Keyword Aggr]:[Keyword Aggr]])*($D200=CLASSIFICATION[[Functional Scope Aggr]:[Functional Scope Aggr]])),
_xlpm._platform_keywords, _xlfn.TEXTSPLIT(SUBSTITUTE(SUBSTITUTE(VLOOKUP($D200,_xlpm._platform_range,3,FALSE),"+"&amp;CHAR(34),"+"),CHAR(34),""),", "),
_xlpm._exists, SUMPRODUCT(--ISNUMBER(MATCH(_xlpm._platform_keywords,_xlpm._original_keywords,0)))&gt;0,
_xlfn.IFS(AND(_xlpm._exists,LEFT($E200,1)="+"),"+",_xlpm._exists,"*",NOT(_xlpm._exists),"")
)</f>
        <v/>
      </c>
      <c r="N200" s="33" t="str" cm="1">
        <f t="array" aca="1" ref="N200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($E200=CLASSIFICATION[[Keyword Aggr]:[Keyword Aggr]])*($D200=CLASSIFICATION[[Functional Scope Aggr]:[Functional Scope Aggr]])),
_xlpm._platform_keywords, _xlfn.TEXTSPLIT(SUBSTITUTE(SUBSTITUTE(VLOOKUP($D200,_xlpm._platform_range,3,FALSE),"+"&amp;CHAR(34),"+"),CHAR(34),""),", "),
_xlpm._exists, SUMPRODUCT(--ISNUMBER(MATCH(_xlpm._platform_keywords,_xlpm._original_keywords,0)))&gt;0,
_xlfn.IFS(AND(_xlpm._exists,LEFT($E200,1)="+"),"+",_xlpm._exists,"*",NOT(_xlpm._exists),"")
)</f>
        <v/>
      </c>
      <c r="O200" s="33" t="str" cm="1">
        <f t="array" aca="1" ref="O200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($E200=CLASSIFICATION[[Keyword Aggr]:[Keyword Aggr]])*($D200=CLASSIFICATION[[Functional Scope Aggr]:[Functional Scope Aggr]])),
_xlpm._platform_keywords, _xlfn.TEXTSPLIT(SUBSTITUTE(SUBSTITUTE(VLOOKUP($D200,_xlpm._platform_range,3,FALSE),"+"&amp;CHAR(34),"+"),CHAR(34),""),", "),
_xlpm._exists, SUMPRODUCT(--ISNUMBER(MATCH(_xlpm._platform_keywords,_xlpm._original_keywords,0)))&gt;0,
_xlfn.IFS(AND(_xlpm._exists,LEFT($E200,1)="+"),"+",_xlpm._exists,"*",NOT(_xlpm._exists),"")
)</f>
        <v/>
      </c>
      <c r="Q200" s="33" t="str">
        <f t="shared" si="31"/>
        <v/>
      </c>
      <c r="R200" s="33" t="str">
        <f t="shared" si="32"/>
        <v/>
      </c>
      <c r="S200" s="33" t="str">
        <f t="shared" si="33"/>
        <v/>
      </c>
      <c r="T200" s="33" t="str">
        <f t="shared" si="34"/>
        <v/>
      </c>
      <c r="U200" s="33" t="str">
        <f t="shared" si="35"/>
        <v/>
      </c>
      <c r="V200" s="33" t="str">
        <f t="shared" si="36"/>
        <v/>
      </c>
    </row>
    <row r="201" spans="1:22" x14ac:dyDescent="0.25">
      <c r="A201" s="19"/>
      <c r="B201" t="s">
        <v>377</v>
      </c>
      <c r="C201" s="19" t="e" cm="1">
        <f t="array" ref="C201">_xlfn.TEXTSPLIT(A201,",")</f>
        <v>#VALUE!</v>
      </c>
      <c r="D201" s="19"/>
      <c r="E201" s="19"/>
      <c r="F201" s="36" t="e" cm="1" vm="1">
        <f t="array" ref="F201">_xlfn.TEXTJOIN(",",TRUE,_xlfn._xlws.FILTER(CLASSIFICATION[Keyword], ($E201=CLASSIFICATION[Keyword Aggr])*($D201=CLASSIFICATION[Functional Scope Aggr])))</f>
        <v>#VALUE!</v>
      </c>
      <c r="G201" s="32" t="e">
        <f t="shared" si="30"/>
        <v>#VALUE!</v>
      </c>
      <c r="H201" s="32" t="str">
        <f t="shared" si="30"/>
        <v/>
      </c>
      <c r="I201" s="32">
        <f t="shared" si="29"/>
        <v>0</v>
      </c>
      <c r="J201" s="33" t="str" cm="1">
        <f t="array" aca="1" ref="J201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($E201=CLASSIFICATION[[Keyword Aggr]:[Keyword Aggr]])*($D201=CLASSIFICATION[[Functional Scope Aggr]:[Functional Scope Aggr]])),
_xlpm._platform_keywords, _xlfn.TEXTSPLIT(SUBSTITUTE(SUBSTITUTE(VLOOKUP($D201,_xlpm._platform_range,3,FALSE),"+"&amp;CHAR(34),"+"),CHAR(34),""),", "),
_xlpm._exists, SUMPRODUCT(--ISNUMBER(MATCH(_xlpm._platform_keywords,_xlpm._original_keywords,0)))&gt;0,
_xlfn.IFS(AND(_xlpm._exists,LEFT($E201,1)="+"),"+",_xlpm._exists,"*",NOT(_xlpm._exists),"")
)</f>
        <v/>
      </c>
      <c r="K201" s="33" t="str" cm="1">
        <f t="array" aca="1" ref="K201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($E201=CLASSIFICATION[[Keyword Aggr]:[Keyword Aggr]])*($D201=CLASSIFICATION[[Functional Scope Aggr]:[Functional Scope Aggr]])),
_xlpm._platform_keywords, _xlfn.TEXTSPLIT(SUBSTITUTE(SUBSTITUTE(VLOOKUP($D201,_xlpm._platform_range,3,FALSE),"+"&amp;CHAR(34),"+"),CHAR(34),""),", "),
_xlpm._exists, SUMPRODUCT(--ISNUMBER(MATCH(_xlpm._platform_keywords,_xlpm._original_keywords,0)))&gt;0,
_xlfn.IFS(AND(_xlpm._exists,LEFT($E201,1)="+"),"+",_xlpm._exists,"*",NOT(_xlpm._exists),"")
)</f>
        <v/>
      </c>
      <c r="L201" s="33" t="str" cm="1">
        <f t="array" aca="1" ref="L201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($E201=CLASSIFICATION[[Keyword Aggr]:[Keyword Aggr]])*($D201=CLASSIFICATION[[Functional Scope Aggr]:[Functional Scope Aggr]])),
_xlpm._platform_keywords, _xlfn.TEXTSPLIT(SUBSTITUTE(SUBSTITUTE(VLOOKUP($D201,_xlpm._platform_range,3,FALSE),"+"&amp;CHAR(34),"+"),CHAR(34),""),", "),
_xlpm._exists, SUMPRODUCT(--ISNUMBER(MATCH(_xlpm._platform_keywords,_xlpm._original_keywords,0)))&gt;0,
_xlfn.IFS(AND(_xlpm._exists,LEFT($E201,1)="+"),"+",_xlpm._exists,"*",NOT(_xlpm._exists),"")
)</f>
        <v/>
      </c>
      <c r="M201" s="33" t="str" cm="1">
        <f t="array" aca="1" ref="M201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($E201=CLASSIFICATION[[Keyword Aggr]:[Keyword Aggr]])*($D201=CLASSIFICATION[[Functional Scope Aggr]:[Functional Scope Aggr]])),
_xlpm._platform_keywords, _xlfn.TEXTSPLIT(SUBSTITUTE(SUBSTITUTE(VLOOKUP($D201,_xlpm._platform_range,3,FALSE),"+"&amp;CHAR(34),"+"),CHAR(34),""),", "),
_xlpm._exists, SUMPRODUCT(--ISNUMBER(MATCH(_xlpm._platform_keywords,_xlpm._original_keywords,0)))&gt;0,
_xlfn.IFS(AND(_xlpm._exists,LEFT($E201,1)="+"),"+",_xlpm._exists,"*",NOT(_xlpm._exists),"")
)</f>
        <v/>
      </c>
      <c r="N201" s="33" t="str" cm="1">
        <f t="array" aca="1" ref="N201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($E201=CLASSIFICATION[[Keyword Aggr]:[Keyword Aggr]])*($D201=CLASSIFICATION[[Functional Scope Aggr]:[Functional Scope Aggr]])),
_xlpm._platform_keywords, _xlfn.TEXTSPLIT(SUBSTITUTE(SUBSTITUTE(VLOOKUP($D201,_xlpm._platform_range,3,FALSE),"+"&amp;CHAR(34),"+"),CHAR(34),""),", "),
_xlpm._exists, SUMPRODUCT(--ISNUMBER(MATCH(_xlpm._platform_keywords,_xlpm._original_keywords,0)))&gt;0,
_xlfn.IFS(AND(_xlpm._exists,LEFT($E201,1)="+"),"+",_xlpm._exists,"*",NOT(_xlpm._exists),"")
)</f>
        <v/>
      </c>
      <c r="O201" s="33" t="str" cm="1">
        <f t="array" aca="1" ref="O201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($E201=CLASSIFICATION[[Keyword Aggr]:[Keyword Aggr]])*($D201=CLASSIFICATION[[Functional Scope Aggr]:[Functional Scope Aggr]])),
_xlpm._platform_keywords, _xlfn.TEXTSPLIT(SUBSTITUTE(SUBSTITUTE(VLOOKUP($D201,_xlpm._platform_range,3,FALSE),"+"&amp;CHAR(34),"+"),CHAR(34),""),", "),
_xlpm._exists, SUMPRODUCT(--ISNUMBER(MATCH(_xlpm._platform_keywords,_xlpm._original_keywords,0)))&gt;0,
_xlfn.IFS(AND(_xlpm._exists,LEFT($E201,1)="+"),"+",_xlpm._exists,"*",NOT(_xlpm._exists),"")
)</f>
        <v/>
      </c>
      <c r="Q201" s="33" t="str">
        <f t="shared" si="31"/>
        <v/>
      </c>
      <c r="R201" s="33" t="str">
        <f t="shared" si="32"/>
        <v/>
      </c>
      <c r="S201" s="33" t="str">
        <f t="shared" si="33"/>
        <v/>
      </c>
      <c r="T201" s="33" t="str">
        <f t="shared" si="34"/>
        <v/>
      </c>
      <c r="U201" s="33" t="str">
        <f t="shared" si="35"/>
        <v/>
      </c>
      <c r="V201" s="33" t="str">
        <f t="shared" si="36"/>
        <v/>
      </c>
    </row>
    <row r="202" spans="1:22" x14ac:dyDescent="0.25">
      <c r="A202" s="19"/>
      <c r="B202" t="s">
        <v>377</v>
      </c>
      <c r="C202" s="19" t="e" cm="1">
        <f t="array" ref="C202">_xlfn.TEXTSPLIT(A202,",")</f>
        <v>#VALUE!</v>
      </c>
      <c r="D202" s="19"/>
      <c r="E202" s="19"/>
      <c r="F202" s="36" t="e" cm="1" vm="1">
        <f t="array" ref="F202">_xlfn.TEXTJOIN(",",TRUE,_xlfn._xlws.FILTER(CLASSIFICATION[Keyword], ($E202=CLASSIFICATION[Keyword Aggr])*($D202=CLASSIFICATION[Functional Scope Aggr])))</f>
        <v>#VALUE!</v>
      </c>
      <c r="G202" s="32" t="e">
        <f t="shared" si="30"/>
        <v>#VALUE!</v>
      </c>
      <c r="H202" s="32" t="str">
        <f t="shared" si="30"/>
        <v/>
      </c>
      <c r="I202" s="32">
        <f t="shared" si="29"/>
        <v>0</v>
      </c>
      <c r="J202" s="33" t="str" cm="1">
        <f t="array" aca="1" ref="J202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($E202=CLASSIFICATION[[Keyword Aggr]:[Keyword Aggr]])*($D202=CLASSIFICATION[[Functional Scope Aggr]:[Functional Scope Aggr]])),
_xlpm._platform_keywords, _xlfn.TEXTSPLIT(SUBSTITUTE(SUBSTITUTE(VLOOKUP($D202,_xlpm._platform_range,3,FALSE),"+"&amp;CHAR(34),"+"),CHAR(34),""),", "),
_xlpm._exists, SUMPRODUCT(--ISNUMBER(MATCH(_xlpm._platform_keywords,_xlpm._original_keywords,0)))&gt;0,
_xlfn.IFS(AND(_xlpm._exists,LEFT($E202,1)="+"),"+",_xlpm._exists,"*",NOT(_xlpm._exists),"")
)</f>
        <v/>
      </c>
      <c r="K202" s="33" t="str" cm="1">
        <f t="array" aca="1" ref="K202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($E202=CLASSIFICATION[[Keyword Aggr]:[Keyword Aggr]])*($D202=CLASSIFICATION[[Functional Scope Aggr]:[Functional Scope Aggr]])),
_xlpm._platform_keywords, _xlfn.TEXTSPLIT(SUBSTITUTE(SUBSTITUTE(VLOOKUP($D202,_xlpm._platform_range,3,FALSE),"+"&amp;CHAR(34),"+"),CHAR(34),""),", "),
_xlpm._exists, SUMPRODUCT(--ISNUMBER(MATCH(_xlpm._platform_keywords,_xlpm._original_keywords,0)))&gt;0,
_xlfn.IFS(AND(_xlpm._exists,LEFT($E202,1)="+"),"+",_xlpm._exists,"*",NOT(_xlpm._exists),"")
)</f>
        <v/>
      </c>
      <c r="L202" s="33" t="str" cm="1">
        <f t="array" aca="1" ref="L202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($E202=CLASSIFICATION[[Keyword Aggr]:[Keyword Aggr]])*($D202=CLASSIFICATION[[Functional Scope Aggr]:[Functional Scope Aggr]])),
_xlpm._platform_keywords, _xlfn.TEXTSPLIT(SUBSTITUTE(SUBSTITUTE(VLOOKUP($D202,_xlpm._platform_range,3,FALSE),"+"&amp;CHAR(34),"+"),CHAR(34),""),", "),
_xlpm._exists, SUMPRODUCT(--ISNUMBER(MATCH(_xlpm._platform_keywords,_xlpm._original_keywords,0)))&gt;0,
_xlfn.IFS(AND(_xlpm._exists,LEFT($E202,1)="+"),"+",_xlpm._exists,"*",NOT(_xlpm._exists),"")
)</f>
        <v/>
      </c>
      <c r="M202" s="33" t="str" cm="1">
        <f t="array" aca="1" ref="M202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($E202=CLASSIFICATION[[Keyword Aggr]:[Keyword Aggr]])*($D202=CLASSIFICATION[[Functional Scope Aggr]:[Functional Scope Aggr]])),
_xlpm._platform_keywords, _xlfn.TEXTSPLIT(SUBSTITUTE(SUBSTITUTE(VLOOKUP($D202,_xlpm._platform_range,3,FALSE),"+"&amp;CHAR(34),"+"),CHAR(34),""),", "),
_xlpm._exists, SUMPRODUCT(--ISNUMBER(MATCH(_xlpm._platform_keywords,_xlpm._original_keywords,0)))&gt;0,
_xlfn.IFS(AND(_xlpm._exists,LEFT($E202,1)="+"),"+",_xlpm._exists,"*",NOT(_xlpm._exists),"")
)</f>
        <v/>
      </c>
      <c r="N202" s="33" t="str" cm="1">
        <f t="array" aca="1" ref="N202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($E202=CLASSIFICATION[[Keyword Aggr]:[Keyword Aggr]])*($D202=CLASSIFICATION[[Functional Scope Aggr]:[Functional Scope Aggr]])),
_xlpm._platform_keywords, _xlfn.TEXTSPLIT(SUBSTITUTE(SUBSTITUTE(VLOOKUP($D202,_xlpm._platform_range,3,FALSE),"+"&amp;CHAR(34),"+"),CHAR(34),""),", "),
_xlpm._exists, SUMPRODUCT(--ISNUMBER(MATCH(_xlpm._platform_keywords,_xlpm._original_keywords,0)))&gt;0,
_xlfn.IFS(AND(_xlpm._exists,LEFT($E202,1)="+"),"+",_xlpm._exists,"*",NOT(_xlpm._exists),"")
)</f>
        <v/>
      </c>
      <c r="O202" s="33" t="str" cm="1">
        <f t="array" aca="1" ref="O202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($E202=CLASSIFICATION[[Keyword Aggr]:[Keyword Aggr]])*($D202=CLASSIFICATION[[Functional Scope Aggr]:[Functional Scope Aggr]])),
_xlpm._platform_keywords, _xlfn.TEXTSPLIT(SUBSTITUTE(SUBSTITUTE(VLOOKUP($D202,_xlpm._platform_range,3,FALSE),"+"&amp;CHAR(34),"+"),CHAR(34),""),", "),
_xlpm._exists, SUMPRODUCT(--ISNUMBER(MATCH(_xlpm._platform_keywords,_xlpm._original_keywords,0)))&gt;0,
_xlfn.IFS(AND(_xlpm._exists,LEFT($E202,1)="+"),"+",_xlpm._exists,"*",NOT(_xlpm._exists),"")
)</f>
        <v/>
      </c>
      <c r="Q202" s="33" t="str">
        <f t="shared" si="31"/>
        <v/>
      </c>
      <c r="R202" s="33" t="str">
        <f t="shared" si="32"/>
        <v/>
      </c>
      <c r="S202" s="33" t="str">
        <f t="shared" si="33"/>
        <v/>
      </c>
      <c r="T202" s="33" t="str">
        <f t="shared" si="34"/>
        <v/>
      </c>
      <c r="U202" s="33" t="str">
        <f t="shared" si="35"/>
        <v/>
      </c>
      <c r="V202" s="33" t="str">
        <f t="shared" si="36"/>
        <v/>
      </c>
    </row>
    <row r="203" spans="1:22" x14ac:dyDescent="0.25">
      <c r="A203" s="19"/>
      <c r="B203" t="s">
        <v>377</v>
      </c>
      <c r="C203" s="19" t="e" cm="1">
        <f t="array" ref="C203">_xlfn.TEXTSPLIT(A203,",")</f>
        <v>#VALUE!</v>
      </c>
      <c r="D203" s="19"/>
      <c r="E203" s="19"/>
      <c r="F203" s="36" t="e" cm="1" vm="1">
        <f t="array" ref="F203">_xlfn.TEXTJOIN(",",TRUE,_xlfn._xlws.FILTER(CLASSIFICATION[Keyword], ($E203=CLASSIFICATION[Keyword Aggr])*($D203=CLASSIFICATION[Functional Scope Aggr])))</f>
        <v>#VALUE!</v>
      </c>
      <c r="G203" s="32" t="e">
        <f t="shared" si="30"/>
        <v>#VALUE!</v>
      </c>
      <c r="H203" s="32" t="str">
        <f t="shared" si="30"/>
        <v/>
      </c>
      <c r="I203" s="32">
        <f t="shared" si="29"/>
        <v>0</v>
      </c>
      <c r="J203" s="33" t="str" cm="1">
        <f t="array" aca="1" ref="J203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($E203=CLASSIFICATION[[Keyword Aggr]:[Keyword Aggr]])*($D203=CLASSIFICATION[[Functional Scope Aggr]:[Functional Scope Aggr]])),
_xlpm._platform_keywords, _xlfn.TEXTSPLIT(SUBSTITUTE(SUBSTITUTE(VLOOKUP($D203,_xlpm._platform_range,3,FALSE),"+"&amp;CHAR(34),"+"),CHAR(34),""),", "),
_xlpm._exists, SUMPRODUCT(--ISNUMBER(MATCH(_xlpm._platform_keywords,_xlpm._original_keywords,0)))&gt;0,
_xlfn.IFS(AND(_xlpm._exists,LEFT($E203,1)="+"),"+",_xlpm._exists,"*",NOT(_xlpm._exists),"")
)</f>
        <v/>
      </c>
      <c r="K203" s="33" t="str" cm="1">
        <f t="array" aca="1" ref="K203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($E203=CLASSIFICATION[[Keyword Aggr]:[Keyword Aggr]])*($D203=CLASSIFICATION[[Functional Scope Aggr]:[Functional Scope Aggr]])),
_xlpm._platform_keywords, _xlfn.TEXTSPLIT(SUBSTITUTE(SUBSTITUTE(VLOOKUP($D203,_xlpm._platform_range,3,FALSE),"+"&amp;CHAR(34),"+"),CHAR(34),""),", "),
_xlpm._exists, SUMPRODUCT(--ISNUMBER(MATCH(_xlpm._platform_keywords,_xlpm._original_keywords,0)))&gt;0,
_xlfn.IFS(AND(_xlpm._exists,LEFT($E203,1)="+"),"+",_xlpm._exists,"*",NOT(_xlpm._exists),"")
)</f>
        <v/>
      </c>
      <c r="L203" s="33" t="str" cm="1">
        <f t="array" aca="1" ref="L203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($E203=CLASSIFICATION[[Keyword Aggr]:[Keyword Aggr]])*($D203=CLASSIFICATION[[Functional Scope Aggr]:[Functional Scope Aggr]])),
_xlpm._platform_keywords, _xlfn.TEXTSPLIT(SUBSTITUTE(SUBSTITUTE(VLOOKUP($D203,_xlpm._platform_range,3,FALSE),"+"&amp;CHAR(34),"+"),CHAR(34),""),", "),
_xlpm._exists, SUMPRODUCT(--ISNUMBER(MATCH(_xlpm._platform_keywords,_xlpm._original_keywords,0)))&gt;0,
_xlfn.IFS(AND(_xlpm._exists,LEFT($E203,1)="+"),"+",_xlpm._exists,"*",NOT(_xlpm._exists),"")
)</f>
        <v/>
      </c>
      <c r="M203" s="33" t="str" cm="1">
        <f t="array" aca="1" ref="M203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($E203=CLASSIFICATION[[Keyword Aggr]:[Keyword Aggr]])*($D203=CLASSIFICATION[[Functional Scope Aggr]:[Functional Scope Aggr]])),
_xlpm._platform_keywords, _xlfn.TEXTSPLIT(SUBSTITUTE(SUBSTITUTE(VLOOKUP($D203,_xlpm._platform_range,3,FALSE),"+"&amp;CHAR(34),"+"),CHAR(34),""),", "),
_xlpm._exists, SUMPRODUCT(--ISNUMBER(MATCH(_xlpm._platform_keywords,_xlpm._original_keywords,0)))&gt;0,
_xlfn.IFS(AND(_xlpm._exists,LEFT($E203,1)="+"),"+",_xlpm._exists,"*",NOT(_xlpm._exists),"")
)</f>
        <v/>
      </c>
      <c r="N203" s="33" t="str" cm="1">
        <f t="array" aca="1" ref="N203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($E203=CLASSIFICATION[[Keyword Aggr]:[Keyword Aggr]])*($D203=CLASSIFICATION[[Functional Scope Aggr]:[Functional Scope Aggr]])),
_xlpm._platform_keywords, _xlfn.TEXTSPLIT(SUBSTITUTE(SUBSTITUTE(VLOOKUP($D203,_xlpm._platform_range,3,FALSE),"+"&amp;CHAR(34),"+"),CHAR(34),""),", "),
_xlpm._exists, SUMPRODUCT(--ISNUMBER(MATCH(_xlpm._platform_keywords,_xlpm._original_keywords,0)))&gt;0,
_xlfn.IFS(AND(_xlpm._exists,LEFT($E203,1)="+"),"+",_xlpm._exists,"*",NOT(_xlpm._exists),"")
)</f>
        <v/>
      </c>
      <c r="O203" s="33" t="str" cm="1">
        <f t="array" aca="1" ref="O203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($E203=CLASSIFICATION[[Keyword Aggr]:[Keyword Aggr]])*($D203=CLASSIFICATION[[Functional Scope Aggr]:[Functional Scope Aggr]])),
_xlpm._platform_keywords, _xlfn.TEXTSPLIT(SUBSTITUTE(SUBSTITUTE(VLOOKUP($D203,_xlpm._platform_range,3,FALSE),"+"&amp;CHAR(34),"+"),CHAR(34),""),", "),
_xlpm._exists, SUMPRODUCT(--ISNUMBER(MATCH(_xlpm._platform_keywords,_xlpm._original_keywords,0)))&gt;0,
_xlfn.IFS(AND(_xlpm._exists,LEFT($E203,1)="+"),"+",_xlpm._exists,"*",NOT(_xlpm._exists),"")
)</f>
        <v/>
      </c>
      <c r="Q203" s="33" t="str">
        <f t="shared" si="31"/>
        <v/>
      </c>
      <c r="R203" s="33" t="str">
        <f t="shared" si="32"/>
        <v/>
      </c>
      <c r="S203" s="33" t="str">
        <f t="shared" si="33"/>
        <v/>
      </c>
      <c r="T203" s="33" t="str">
        <f t="shared" si="34"/>
        <v/>
      </c>
      <c r="U203" s="33" t="str">
        <f t="shared" si="35"/>
        <v/>
      </c>
      <c r="V203" s="33" t="str">
        <f t="shared" si="36"/>
        <v/>
      </c>
    </row>
    <row r="204" spans="1:22" x14ac:dyDescent="0.25">
      <c r="A204" s="19"/>
      <c r="B204" t="s">
        <v>377</v>
      </c>
      <c r="C204" s="19" t="e" cm="1">
        <f t="array" ref="C204">_xlfn.TEXTSPLIT(A204,",")</f>
        <v>#VALUE!</v>
      </c>
      <c r="D204" s="19"/>
      <c r="E204" s="19"/>
      <c r="F204" s="36" t="e" cm="1" vm="1">
        <f t="array" ref="F204">_xlfn.TEXTJOIN(",",TRUE,_xlfn._xlws.FILTER(CLASSIFICATION[Keyword], ($E204=CLASSIFICATION[Keyword Aggr])*($D204=CLASSIFICATION[Functional Scope Aggr])))</f>
        <v>#VALUE!</v>
      </c>
      <c r="G204" s="32" t="e">
        <f t="shared" si="30"/>
        <v>#VALUE!</v>
      </c>
      <c r="H204" s="32" t="str">
        <f t="shared" si="30"/>
        <v/>
      </c>
      <c r="I204" s="32">
        <f t="shared" si="29"/>
        <v>0</v>
      </c>
      <c r="J204" s="33" t="str" cm="1">
        <f t="array" aca="1" ref="J204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($E204=CLASSIFICATION[[Keyword Aggr]:[Keyword Aggr]])*($D204=CLASSIFICATION[[Functional Scope Aggr]:[Functional Scope Aggr]])),
_xlpm._platform_keywords, _xlfn.TEXTSPLIT(SUBSTITUTE(SUBSTITUTE(VLOOKUP($D204,_xlpm._platform_range,3,FALSE),"+"&amp;CHAR(34),"+"),CHAR(34),""),", "),
_xlpm._exists, SUMPRODUCT(--ISNUMBER(MATCH(_xlpm._platform_keywords,_xlpm._original_keywords,0)))&gt;0,
_xlfn.IFS(AND(_xlpm._exists,LEFT($E204,1)="+"),"+",_xlpm._exists,"*",NOT(_xlpm._exists),"")
)</f>
        <v/>
      </c>
      <c r="K204" s="33" t="str" cm="1">
        <f t="array" aca="1" ref="K204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($E204=CLASSIFICATION[[Keyword Aggr]:[Keyword Aggr]])*($D204=CLASSIFICATION[[Functional Scope Aggr]:[Functional Scope Aggr]])),
_xlpm._platform_keywords, _xlfn.TEXTSPLIT(SUBSTITUTE(SUBSTITUTE(VLOOKUP($D204,_xlpm._platform_range,3,FALSE),"+"&amp;CHAR(34),"+"),CHAR(34),""),", "),
_xlpm._exists, SUMPRODUCT(--ISNUMBER(MATCH(_xlpm._platform_keywords,_xlpm._original_keywords,0)))&gt;0,
_xlfn.IFS(AND(_xlpm._exists,LEFT($E204,1)="+"),"+",_xlpm._exists,"*",NOT(_xlpm._exists),"")
)</f>
        <v/>
      </c>
      <c r="L204" s="33" t="str" cm="1">
        <f t="array" aca="1" ref="L204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($E204=CLASSIFICATION[[Keyword Aggr]:[Keyword Aggr]])*($D204=CLASSIFICATION[[Functional Scope Aggr]:[Functional Scope Aggr]])),
_xlpm._platform_keywords, _xlfn.TEXTSPLIT(SUBSTITUTE(SUBSTITUTE(VLOOKUP($D204,_xlpm._platform_range,3,FALSE),"+"&amp;CHAR(34),"+"),CHAR(34),""),", "),
_xlpm._exists, SUMPRODUCT(--ISNUMBER(MATCH(_xlpm._platform_keywords,_xlpm._original_keywords,0)))&gt;0,
_xlfn.IFS(AND(_xlpm._exists,LEFT($E204,1)="+"),"+",_xlpm._exists,"*",NOT(_xlpm._exists),"")
)</f>
        <v/>
      </c>
      <c r="M204" s="33" t="str" cm="1">
        <f t="array" aca="1" ref="M204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($E204=CLASSIFICATION[[Keyword Aggr]:[Keyword Aggr]])*($D204=CLASSIFICATION[[Functional Scope Aggr]:[Functional Scope Aggr]])),
_xlpm._platform_keywords, _xlfn.TEXTSPLIT(SUBSTITUTE(SUBSTITUTE(VLOOKUP($D204,_xlpm._platform_range,3,FALSE),"+"&amp;CHAR(34),"+"),CHAR(34),""),", "),
_xlpm._exists, SUMPRODUCT(--ISNUMBER(MATCH(_xlpm._platform_keywords,_xlpm._original_keywords,0)))&gt;0,
_xlfn.IFS(AND(_xlpm._exists,LEFT($E204,1)="+"),"+",_xlpm._exists,"*",NOT(_xlpm._exists),"")
)</f>
        <v/>
      </c>
      <c r="N204" s="33" t="str" cm="1">
        <f t="array" aca="1" ref="N204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($E204=CLASSIFICATION[[Keyword Aggr]:[Keyword Aggr]])*($D204=CLASSIFICATION[[Functional Scope Aggr]:[Functional Scope Aggr]])),
_xlpm._platform_keywords, _xlfn.TEXTSPLIT(SUBSTITUTE(SUBSTITUTE(VLOOKUP($D204,_xlpm._platform_range,3,FALSE),"+"&amp;CHAR(34),"+"),CHAR(34),""),", "),
_xlpm._exists, SUMPRODUCT(--ISNUMBER(MATCH(_xlpm._platform_keywords,_xlpm._original_keywords,0)))&gt;0,
_xlfn.IFS(AND(_xlpm._exists,LEFT($E204,1)="+"),"+",_xlpm._exists,"*",NOT(_xlpm._exists),"")
)</f>
        <v/>
      </c>
      <c r="O204" s="33" t="str" cm="1">
        <f t="array" aca="1" ref="O204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($E204=CLASSIFICATION[[Keyword Aggr]:[Keyword Aggr]])*($D204=CLASSIFICATION[[Functional Scope Aggr]:[Functional Scope Aggr]])),
_xlpm._platform_keywords, _xlfn.TEXTSPLIT(SUBSTITUTE(SUBSTITUTE(VLOOKUP($D204,_xlpm._platform_range,3,FALSE),"+"&amp;CHAR(34),"+"),CHAR(34),""),", "),
_xlpm._exists, SUMPRODUCT(--ISNUMBER(MATCH(_xlpm._platform_keywords,_xlpm._original_keywords,0)))&gt;0,
_xlfn.IFS(AND(_xlpm._exists,LEFT($E204,1)="+"),"+",_xlpm._exists,"*",NOT(_xlpm._exists),"")
)</f>
        <v/>
      </c>
      <c r="Q204" s="33" t="str">
        <f t="shared" si="31"/>
        <v/>
      </c>
      <c r="R204" s="33" t="str">
        <f t="shared" si="32"/>
        <v/>
      </c>
      <c r="S204" s="33" t="str">
        <f t="shared" si="33"/>
        <v/>
      </c>
      <c r="T204" s="33" t="str">
        <f t="shared" si="34"/>
        <v/>
      </c>
      <c r="U204" s="33" t="str">
        <f t="shared" si="35"/>
        <v/>
      </c>
      <c r="V204" s="33" t="str">
        <f t="shared" si="36"/>
        <v/>
      </c>
    </row>
    <row r="205" spans="1:22" x14ac:dyDescent="0.25">
      <c r="A205" s="19"/>
      <c r="B205" t="s">
        <v>377</v>
      </c>
      <c r="C205" s="19" t="e" cm="1">
        <f t="array" ref="C205">_xlfn.TEXTSPLIT(A205,",")</f>
        <v>#VALUE!</v>
      </c>
      <c r="D205" s="19"/>
      <c r="E205" s="19"/>
      <c r="F205" s="36" t="e" cm="1" vm="1">
        <f t="array" ref="F205">_xlfn.TEXTJOIN(",",TRUE,_xlfn._xlws.FILTER(CLASSIFICATION[Keyword], ($E205=CLASSIFICATION[Keyword Aggr])*($D205=CLASSIFICATION[Functional Scope Aggr])))</f>
        <v>#VALUE!</v>
      </c>
      <c r="G205" s="32" t="e">
        <f t="shared" si="30"/>
        <v>#VALUE!</v>
      </c>
      <c r="H205" s="32" t="str">
        <f t="shared" si="30"/>
        <v/>
      </c>
      <c r="I205" s="32">
        <f t="shared" si="29"/>
        <v>0</v>
      </c>
      <c r="J205" s="33" t="str" cm="1">
        <f t="array" aca="1" ref="J205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($E205=CLASSIFICATION[[Keyword Aggr]:[Keyword Aggr]])*($D205=CLASSIFICATION[[Functional Scope Aggr]:[Functional Scope Aggr]])),
_xlpm._platform_keywords, _xlfn.TEXTSPLIT(SUBSTITUTE(SUBSTITUTE(VLOOKUP($D205,_xlpm._platform_range,3,FALSE),"+"&amp;CHAR(34),"+"),CHAR(34),""),", "),
_xlpm._exists, SUMPRODUCT(--ISNUMBER(MATCH(_xlpm._platform_keywords,_xlpm._original_keywords,0)))&gt;0,
_xlfn.IFS(AND(_xlpm._exists,LEFT($E205,1)="+"),"+",_xlpm._exists,"*",NOT(_xlpm._exists),"")
)</f>
        <v/>
      </c>
      <c r="K205" s="33" t="str" cm="1">
        <f t="array" aca="1" ref="K205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($E205=CLASSIFICATION[[Keyword Aggr]:[Keyword Aggr]])*($D205=CLASSIFICATION[[Functional Scope Aggr]:[Functional Scope Aggr]])),
_xlpm._platform_keywords, _xlfn.TEXTSPLIT(SUBSTITUTE(SUBSTITUTE(VLOOKUP($D205,_xlpm._platform_range,3,FALSE),"+"&amp;CHAR(34),"+"),CHAR(34),""),", "),
_xlpm._exists, SUMPRODUCT(--ISNUMBER(MATCH(_xlpm._platform_keywords,_xlpm._original_keywords,0)))&gt;0,
_xlfn.IFS(AND(_xlpm._exists,LEFT($E205,1)="+"),"+",_xlpm._exists,"*",NOT(_xlpm._exists),"")
)</f>
        <v/>
      </c>
      <c r="L205" s="33" t="str" cm="1">
        <f t="array" aca="1" ref="L205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($E205=CLASSIFICATION[[Keyword Aggr]:[Keyword Aggr]])*($D205=CLASSIFICATION[[Functional Scope Aggr]:[Functional Scope Aggr]])),
_xlpm._platform_keywords, _xlfn.TEXTSPLIT(SUBSTITUTE(SUBSTITUTE(VLOOKUP($D205,_xlpm._platform_range,3,FALSE),"+"&amp;CHAR(34),"+"),CHAR(34),""),", "),
_xlpm._exists, SUMPRODUCT(--ISNUMBER(MATCH(_xlpm._platform_keywords,_xlpm._original_keywords,0)))&gt;0,
_xlfn.IFS(AND(_xlpm._exists,LEFT($E205,1)="+"),"+",_xlpm._exists,"*",NOT(_xlpm._exists),"")
)</f>
        <v/>
      </c>
      <c r="M205" s="33" t="str" cm="1">
        <f t="array" aca="1" ref="M205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($E205=CLASSIFICATION[[Keyword Aggr]:[Keyword Aggr]])*($D205=CLASSIFICATION[[Functional Scope Aggr]:[Functional Scope Aggr]])),
_xlpm._platform_keywords, _xlfn.TEXTSPLIT(SUBSTITUTE(SUBSTITUTE(VLOOKUP($D205,_xlpm._platform_range,3,FALSE),"+"&amp;CHAR(34),"+"),CHAR(34),""),", "),
_xlpm._exists, SUMPRODUCT(--ISNUMBER(MATCH(_xlpm._platform_keywords,_xlpm._original_keywords,0)))&gt;0,
_xlfn.IFS(AND(_xlpm._exists,LEFT($E205,1)="+"),"+",_xlpm._exists,"*",NOT(_xlpm._exists),"")
)</f>
        <v/>
      </c>
      <c r="N205" s="33" t="str" cm="1">
        <f t="array" aca="1" ref="N205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($E205=CLASSIFICATION[[Keyword Aggr]:[Keyword Aggr]])*($D205=CLASSIFICATION[[Functional Scope Aggr]:[Functional Scope Aggr]])),
_xlpm._platform_keywords, _xlfn.TEXTSPLIT(SUBSTITUTE(SUBSTITUTE(VLOOKUP($D205,_xlpm._platform_range,3,FALSE),"+"&amp;CHAR(34),"+"),CHAR(34),""),", "),
_xlpm._exists, SUMPRODUCT(--ISNUMBER(MATCH(_xlpm._platform_keywords,_xlpm._original_keywords,0)))&gt;0,
_xlfn.IFS(AND(_xlpm._exists,LEFT($E205,1)="+"),"+",_xlpm._exists,"*",NOT(_xlpm._exists),"")
)</f>
        <v/>
      </c>
      <c r="O205" s="33" t="str" cm="1">
        <f t="array" aca="1" ref="O205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($E205=CLASSIFICATION[[Keyword Aggr]:[Keyword Aggr]])*($D205=CLASSIFICATION[[Functional Scope Aggr]:[Functional Scope Aggr]])),
_xlpm._platform_keywords, _xlfn.TEXTSPLIT(SUBSTITUTE(SUBSTITUTE(VLOOKUP($D205,_xlpm._platform_range,3,FALSE),"+"&amp;CHAR(34),"+"),CHAR(34),""),", "),
_xlpm._exists, SUMPRODUCT(--ISNUMBER(MATCH(_xlpm._platform_keywords,_xlpm._original_keywords,0)))&gt;0,
_xlfn.IFS(AND(_xlpm._exists,LEFT($E205,1)="+"),"+",_xlpm._exists,"*",NOT(_xlpm._exists),"")
)</f>
        <v/>
      </c>
      <c r="Q205" s="33" t="str">
        <f t="shared" si="31"/>
        <v/>
      </c>
      <c r="R205" s="33" t="str">
        <f t="shared" si="32"/>
        <v/>
      </c>
      <c r="S205" s="33" t="str">
        <f t="shared" si="33"/>
        <v/>
      </c>
      <c r="T205" s="33" t="str">
        <f t="shared" si="34"/>
        <v/>
      </c>
      <c r="U205" s="33" t="str">
        <f t="shared" si="35"/>
        <v/>
      </c>
      <c r="V205" s="33" t="str">
        <f t="shared" si="36"/>
        <v/>
      </c>
    </row>
    <row r="206" spans="1:22" x14ac:dyDescent="0.25">
      <c r="A206" s="19"/>
      <c r="B206" t="s">
        <v>377</v>
      </c>
      <c r="C206" s="19" t="e" cm="1">
        <f t="array" ref="C206">_xlfn.TEXTSPLIT(A206,",")</f>
        <v>#VALUE!</v>
      </c>
      <c r="D206" s="19"/>
      <c r="E206" s="19"/>
      <c r="F206" s="36" t="e" cm="1" vm="1">
        <f t="array" ref="F206">_xlfn.TEXTJOIN(",",TRUE,_xlfn._xlws.FILTER(CLASSIFICATION[Keyword], ($E206=CLASSIFICATION[Keyword Aggr])*($D206=CLASSIFICATION[Functional Scope Aggr])))</f>
        <v>#VALUE!</v>
      </c>
      <c r="G206" s="32" t="e">
        <f t="shared" si="30"/>
        <v>#VALUE!</v>
      </c>
      <c r="H206" s="32" t="str">
        <f t="shared" si="30"/>
        <v/>
      </c>
      <c r="I206" s="32">
        <f t="shared" si="29"/>
        <v>0</v>
      </c>
      <c r="J206" s="33" t="str" cm="1">
        <f t="array" aca="1" ref="J206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($E206=CLASSIFICATION[[Keyword Aggr]:[Keyword Aggr]])*($D206=CLASSIFICATION[[Functional Scope Aggr]:[Functional Scope Aggr]])),
_xlpm._platform_keywords, _xlfn.TEXTSPLIT(SUBSTITUTE(SUBSTITUTE(VLOOKUP($D206,_xlpm._platform_range,3,FALSE),"+"&amp;CHAR(34),"+"),CHAR(34),""),", "),
_xlpm._exists, SUMPRODUCT(--ISNUMBER(MATCH(_xlpm._platform_keywords,_xlpm._original_keywords,0)))&gt;0,
_xlfn.IFS(AND(_xlpm._exists,LEFT($E206,1)="+"),"+",_xlpm._exists,"*",NOT(_xlpm._exists),"")
)</f>
        <v/>
      </c>
      <c r="K206" s="33" t="str" cm="1">
        <f t="array" aca="1" ref="K206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($E206=CLASSIFICATION[[Keyword Aggr]:[Keyword Aggr]])*($D206=CLASSIFICATION[[Functional Scope Aggr]:[Functional Scope Aggr]])),
_xlpm._platform_keywords, _xlfn.TEXTSPLIT(SUBSTITUTE(SUBSTITUTE(VLOOKUP($D206,_xlpm._platform_range,3,FALSE),"+"&amp;CHAR(34),"+"),CHAR(34),""),", "),
_xlpm._exists, SUMPRODUCT(--ISNUMBER(MATCH(_xlpm._platform_keywords,_xlpm._original_keywords,0)))&gt;0,
_xlfn.IFS(AND(_xlpm._exists,LEFT($E206,1)="+"),"+",_xlpm._exists,"*",NOT(_xlpm._exists),"")
)</f>
        <v/>
      </c>
      <c r="L206" s="33" t="str" cm="1">
        <f t="array" aca="1" ref="L206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($E206=CLASSIFICATION[[Keyword Aggr]:[Keyword Aggr]])*($D206=CLASSIFICATION[[Functional Scope Aggr]:[Functional Scope Aggr]])),
_xlpm._platform_keywords, _xlfn.TEXTSPLIT(SUBSTITUTE(SUBSTITUTE(VLOOKUP($D206,_xlpm._platform_range,3,FALSE),"+"&amp;CHAR(34),"+"),CHAR(34),""),", "),
_xlpm._exists, SUMPRODUCT(--ISNUMBER(MATCH(_xlpm._platform_keywords,_xlpm._original_keywords,0)))&gt;0,
_xlfn.IFS(AND(_xlpm._exists,LEFT($E206,1)="+"),"+",_xlpm._exists,"*",NOT(_xlpm._exists),"")
)</f>
        <v/>
      </c>
      <c r="M206" s="33" t="str" cm="1">
        <f t="array" aca="1" ref="M206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($E206=CLASSIFICATION[[Keyword Aggr]:[Keyword Aggr]])*($D206=CLASSIFICATION[[Functional Scope Aggr]:[Functional Scope Aggr]])),
_xlpm._platform_keywords, _xlfn.TEXTSPLIT(SUBSTITUTE(SUBSTITUTE(VLOOKUP($D206,_xlpm._platform_range,3,FALSE),"+"&amp;CHAR(34),"+"),CHAR(34),""),", "),
_xlpm._exists, SUMPRODUCT(--ISNUMBER(MATCH(_xlpm._platform_keywords,_xlpm._original_keywords,0)))&gt;0,
_xlfn.IFS(AND(_xlpm._exists,LEFT($E206,1)="+"),"+",_xlpm._exists,"*",NOT(_xlpm._exists),"")
)</f>
        <v/>
      </c>
      <c r="N206" s="33" t="str" cm="1">
        <f t="array" aca="1" ref="N206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($E206=CLASSIFICATION[[Keyword Aggr]:[Keyword Aggr]])*($D206=CLASSIFICATION[[Functional Scope Aggr]:[Functional Scope Aggr]])),
_xlpm._platform_keywords, _xlfn.TEXTSPLIT(SUBSTITUTE(SUBSTITUTE(VLOOKUP($D206,_xlpm._platform_range,3,FALSE),"+"&amp;CHAR(34),"+"),CHAR(34),""),", "),
_xlpm._exists, SUMPRODUCT(--ISNUMBER(MATCH(_xlpm._platform_keywords,_xlpm._original_keywords,0)))&gt;0,
_xlfn.IFS(AND(_xlpm._exists,LEFT($E206,1)="+"),"+",_xlpm._exists,"*",NOT(_xlpm._exists),"")
)</f>
        <v/>
      </c>
      <c r="O206" s="33" t="str" cm="1">
        <f t="array" aca="1" ref="O206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($E206=CLASSIFICATION[[Keyword Aggr]:[Keyword Aggr]])*($D206=CLASSIFICATION[[Functional Scope Aggr]:[Functional Scope Aggr]])),
_xlpm._platform_keywords, _xlfn.TEXTSPLIT(SUBSTITUTE(SUBSTITUTE(VLOOKUP($D206,_xlpm._platform_range,3,FALSE),"+"&amp;CHAR(34),"+"),CHAR(34),""),", "),
_xlpm._exists, SUMPRODUCT(--ISNUMBER(MATCH(_xlpm._platform_keywords,_xlpm._original_keywords,0)))&gt;0,
_xlfn.IFS(AND(_xlpm._exists,LEFT($E206,1)="+"),"+",_xlpm._exists,"*",NOT(_xlpm._exists),"")
)</f>
        <v/>
      </c>
      <c r="Q206" s="33" t="str">
        <f t="shared" si="31"/>
        <v/>
      </c>
      <c r="R206" s="33" t="str">
        <f t="shared" si="32"/>
        <v/>
      </c>
      <c r="S206" s="33" t="str">
        <f t="shared" si="33"/>
        <v/>
      </c>
      <c r="T206" s="33" t="str">
        <f t="shared" si="34"/>
        <v/>
      </c>
      <c r="U206" s="33" t="str">
        <f t="shared" si="35"/>
        <v/>
      </c>
      <c r="V206" s="33" t="str">
        <f t="shared" si="36"/>
        <v/>
      </c>
    </row>
    <row r="207" spans="1:22" x14ac:dyDescent="0.25">
      <c r="A207" s="19"/>
      <c r="B207" t="s">
        <v>377</v>
      </c>
      <c r="C207" s="19" t="e" cm="1">
        <f t="array" ref="C207">_xlfn.TEXTSPLIT(A207,",")</f>
        <v>#VALUE!</v>
      </c>
      <c r="D207" s="19"/>
      <c r="E207" s="19"/>
      <c r="F207" s="36" t="e" cm="1" vm="1">
        <f t="array" ref="F207">_xlfn.TEXTJOIN(",",TRUE,_xlfn._xlws.FILTER(CLASSIFICATION[Keyword], ($E207=CLASSIFICATION[Keyword Aggr])*($D207=CLASSIFICATION[Functional Scope Aggr])))</f>
        <v>#VALUE!</v>
      </c>
      <c r="G207" s="32" t="e">
        <f t="shared" si="30"/>
        <v>#VALUE!</v>
      </c>
      <c r="H207" s="32" t="str">
        <f t="shared" si="30"/>
        <v/>
      </c>
      <c r="I207" s="32">
        <f t="shared" si="29"/>
        <v>0</v>
      </c>
      <c r="J207" s="33" t="str" cm="1">
        <f t="array" aca="1" ref="J207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($E207=CLASSIFICATION[[Keyword Aggr]:[Keyword Aggr]])*($D207=CLASSIFICATION[[Functional Scope Aggr]:[Functional Scope Aggr]])),
_xlpm._platform_keywords, _xlfn.TEXTSPLIT(SUBSTITUTE(SUBSTITUTE(VLOOKUP($D207,_xlpm._platform_range,3,FALSE),"+"&amp;CHAR(34),"+"),CHAR(34),""),", "),
_xlpm._exists, SUMPRODUCT(--ISNUMBER(MATCH(_xlpm._platform_keywords,_xlpm._original_keywords,0)))&gt;0,
_xlfn.IFS(AND(_xlpm._exists,LEFT($E207,1)="+"),"+",_xlpm._exists,"*",NOT(_xlpm._exists),"")
)</f>
        <v/>
      </c>
      <c r="K207" s="33" t="str" cm="1">
        <f t="array" aca="1" ref="K207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($E207=CLASSIFICATION[[Keyword Aggr]:[Keyword Aggr]])*($D207=CLASSIFICATION[[Functional Scope Aggr]:[Functional Scope Aggr]])),
_xlpm._platform_keywords, _xlfn.TEXTSPLIT(SUBSTITUTE(SUBSTITUTE(VLOOKUP($D207,_xlpm._platform_range,3,FALSE),"+"&amp;CHAR(34),"+"),CHAR(34),""),", "),
_xlpm._exists, SUMPRODUCT(--ISNUMBER(MATCH(_xlpm._platform_keywords,_xlpm._original_keywords,0)))&gt;0,
_xlfn.IFS(AND(_xlpm._exists,LEFT($E207,1)="+"),"+",_xlpm._exists,"*",NOT(_xlpm._exists),"")
)</f>
        <v/>
      </c>
      <c r="L207" s="33" t="str" cm="1">
        <f t="array" aca="1" ref="L207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($E207=CLASSIFICATION[[Keyword Aggr]:[Keyword Aggr]])*($D207=CLASSIFICATION[[Functional Scope Aggr]:[Functional Scope Aggr]])),
_xlpm._platform_keywords, _xlfn.TEXTSPLIT(SUBSTITUTE(SUBSTITUTE(VLOOKUP($D207,_xlpm._platform_range,3,FALSE),"+"&amp;CHAR(34),"+"),CHAR(34),""),", "),
_xlpm._exists, SUMPRODUCT(--ISNUMBER(MATCH(_xlpm._platform_keywords,_xlpm._original_keywords,0)))&gt;0,
_xlfn.IFS(AND(_xlpm._exists,LEFT($E207,1)="+"),"+",_xlpm._exists,"*",NOT(_xlpm._exists),"")
)</f>
        <v/>
      </c>
      <c r="M207" s="33" t="str" cm="1">
        <f t="array" aca="1" ref="M207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($E207=CLASSIFICATION[[Keyword Aggr]:[Keyword Aggr]])*($D207=CLASSIFICATION[[Functional Scope Aggr]:[Functional Scope Aggr]])),
_xlpm._platform_keywords, _xlfn.TEXTSPLIT(SUBSTITUTE(SUBSTITUTE(VLOOKUP($D207,_xlpm._platform_range,3,FALSE),"+"&amp;CHAR(34),"+"),CHAR(34),""),", "),
_xlpm._exists, SUMPRODUCT(--ISNUMBER(MATCH(_xlpm._platform_keywords,_xlpm._original_keywords,0)))&gt;0,
_xlfn.IFS(AND(_xlpm._exists,LEFT($E207,1)="+"),"+",_xlpm._exists,"*",NOT(_xlpm._exists),"")
)</f>
        <v/>
      </c>
      <c r="N207" s="33" t="str" cm="1">
        <f t="array" aca="1" ref="N207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($E207=CLASSIFICATION[[Keyword Aggr]:[Keyword Aggr]])*($D207=CLASSIFICATION[[Functional Scope Aggr]:[Functional Scope Aggr]])),
_xlpm._platform_keywords, _xlfn.TEXTSPLIT(SUBSTITUTE(SUBSTITUTE(VLOOKUP($D207,_xlpm._platform_range,3,FALSE),"+"&amp;CHAR(34),"+"),CHAR(34),""),", "),
_xlpm._exists, SUMPRODUCT(--ISNUMBER(MATCH(_xlpm._platform_keywords,_xlpm._original_keywords,0)))&gt;0,
_xlfn.IFS(AND(_xlpm._exists,LEFT($E207,1)="+"),"+",_xlpm._exists,"*",NOT(_xlpm._exists),"")
)</f>
        <v/>
      </c>
      <c r="O207" s="33" t="str" cm="1">
        <f t="array" aca="1" ref="O207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($E207=CLASSIFICATION[[Keyword Aggr]:[Keyword Aggr]])*($D207=CLASSIFICATION[[Functional Scope Aggr]:[Functional Scope Aggr]])),
_xlpm._platform_keywords, _xlfn.TEXTSPLIT(SUBSTITUTE(SUBSTITUTE(VLOOKUP($D207,_xlpm._platform_range,3,FALSE),"+"&amp;CHAR(34),"+"),CHAR(34),""),", "),
_xlpm._exists, SUMPRODUCT(--ISNUMBER(MATCH(_xlpm._platform_keywords,_xlpm._original_keywords,0)))&gt;0,
_xlfn.IFS(AND(_xlpm._exists,LEFT($E207,1)="+"),"+",_xlpm._exists,"*",NOT(_xlpm._exists),"")
)</f>
        <v/>
      </c>
      <c r="Q207" s="33" t="str">
        <f t="shared" si="31"/>
        <v/>
      </c>
      <c r="R207" s="33" t="str">
        <f t="shared" si="32"/>
        <v/>
      </c>
      <c r="S207" s="33" t="str">
        <f t="shared" si="33"/>
        <v/>
      </c>
      <c r="T207" s="33" t="str">
        <f t="shared" si="34"/>
        <v/>
      </c>
      <c r="U207" s="33" t="str">
        <f t="shared" si="35"/>
        <v/>
      </c>
      <c r="V207" s="33" t="str">
        <f t="shared" si="36"/>
        <v/>
      </c>
    </row>
    <row r="208" spans="1:22" x14ac:dyDescent="0.25">
      <c r="A208" s="19"/>
      <c r="B208" t="s">
        <v>377</v>
      </c>
      <c r="C208" s="19" t="e" cm="1">
        <f t="array" ref="C208">_xlfn.TEXTSPLIT(A208,",")</f>
        <v>#VALUE!</v>
      </c>
      <c r="D208" s="19"/>
      <c r="E208" s="19"/>
      <c r="F208" s="36" t="e" cm="1" vm="1">
        <f t="array" ref="F208">_xlfn.TEXTJOIN(",",TRUE,_xlfn._xlws.FILTER(CLASSIFICATION[Keyword], ($E208=CLASSIFICATION[Keyword Aggr])*($D208=CLASSIFICATION[Functional Scope Aggr])))</f>
        <v>#VALUE!</v>
      </c>
      <c r="G208" s="32" t="e">
        <f t="shared" si="30"/>
        <v>#VALUE!</v>
      </c>
      <c r="H208" s="32" t="str">
        <f t="shared" si="30"/>
        <v/>
      </c>
      <c r="I208" s="32">
        <f t="shared" si="29"/>
        <v>0</v>
      </c>
      <c r="J208" s="33" t="str" cm="1">
        <f t="array" aca="1" ref="J208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($E208=CLASSIFICATION[[Keyword Aggr]:[Keyword Aggr]])*($D208=CLASSIFICATION[[Functional Scope Aggr]:[Functional Scope Aggr]])),
_xlpm._platform_keywords, _xlfn.TEXTSPLIT(SUBSTITUTE(SUBSTITUTE(VLOOKUP($D208,_xlpm._platform_range,3,FALSE),"+"&amp;CHAR(34),"+"),CHAR(34),""),", "),
_xlpm._exists, SUMPRODUCT(--ISNUMBER(MATCH(_xlpm._platform_keywords,_xlpm._original_keywords,0)))&gt;0,
_xlfn.IFS(AND(_xlpm._exists,LEFT($E208,1)="+"),"+",_xlpm._exists,"*",NOT(_xlpm._exists),"")
)</f>
        <v/>
      </c>
      <c r="K208" s="33" t="str" cm="1">
        <f t="array" aca="1" ref="K208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($E208=CLASSIFICATION[[Keyword Aggr]:[Keyword Aggr]])*($D208=CLASSIFICATION[[Functional Scope Aggr]:[Functional Scope Aggr]])),
_xlpm._platform_keywords, _xlfn.TEXTSPLIT(SUBSTITUTE(SUBSTITUTE(VLOOKUP($D208,_xlpm._platform_range,3,FALSE),"+"&amp;CHAR(34),"+"),CHAR(34),""),", "),
_xlpm._exists, SUMPRODUCT(--ISNUMBER(MATCH(_xlpm._platform_keywords,_xlpm._original_keywords,0)))&gt;0,
_xlfn.IFS(AND(_xlpm._exists,LEFT($E208,1)="+"),"+",_xlpm._exists,"*",NOT(_xlpm._exists),"")
)</f>
        <v/>
      </c>
      <c r="L208" s="33" t="str" cm="1">
        <f t="array" aca="1" ref="L208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($E208=CLASSIFICATION[[Keyword Aggr]:[Keyword Aggr]])*($D208=CLASSIFICATION[[Functional Scope Aggr]:[Functional Scope Aggr]])),
_xlpm._platform_keywords, _xlfn.TEXTSPLIT(SUBSTITUTE(SUBSTITUTE(VLOOKUP($D208,_xlpm._platform_range,3,FALSE),"+"&amp;CHAR(34),"+"),CHAR(34),""),", "),
_xlpm._exists, SUMPRODUCT(--ISNUMBER(MATCH(_xlpm._platform_keywords,_xlpm._original_keywords,0)))&gt;0,
_xlfn.IFS(AND(_xlpm._exists,LEFT($E208,1)="+"),"+",_xlpm._exists,"*",NOT(_xlpm._exists),"")
)</f>
        <v/>
      </c>
      <c r="M208" s="33" t="str" cm="1">
        <f t="array" aca="1" ref="M208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($E208=CLASSIFICATION[[Keyword Aggr]:[Keyword Aggr]])*($D208=CLASSIFICATION[[Functional Scope Aggr]:[Functional Scope Aggr]])),
_xlpm._platform_keywords, _xlfn.TEXTSPLIT(SUBSTITUTE(SUBSTITUTE(VLOOKUP($D208,_xlpm._platform_range,3,FALSE),"+"&amp;CHAR(34),"+"),CHAR(34),""),", "),
_xlpm._exists, SUMPRODUCT(--ISNUMBER(MATCH(_xlpm._platform_keywords,_xlpm._original_keywords,0)))&gt;0,
_xlfn.IFS(AND(_xlpm._exists,LEFT($E208,1)="+"),"+",_xlpm._exists,"*",NOT(_xlpm._exists),"")
)</f>
        <v/>
      </c>
      <c r="N208" s="33" t="str" cm="1">
        <f t="array" aca="1" ref="N208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($E208=CLASSIFICATION[[Keyword Aggr]:[Keyword Aggr]])*($D208=CLASSIFICATION[[Functional Scope Aggr]:[Functional Scope Aggr]])),
_xlpm._platform_keywords, _xlfn.TEXTSPLIT(SUBSTITUTE(SUBSTITUTE(VLOOKUP($D208,_xlpm._platform_range,3,FALSE),"+"&amp;CHAR(34),"+"),CHAR(34),""),", "),
_xlpm._exists, SUMPRODUCT(--ISNUMBER(MATCH(_xlpm._platform_keywords,_xlpm._original_keywords,0)))&gt;0,
_xlfn.IFS(AND(_xlpm._exists,LEFT($E208,1)="+"),"+",_xlpm._exists,"*",NOT(_xlpm._exists),"")
)</f>
        <v/>
      </c>
      <c r="O208" s="33" t="str" cm="1">
        <f t="array" aca="1" ref="O208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($E208=CLASSIFICATION[[Keyword Aggr]:[Keyword Aggr]])*($D208=CLASSIFICATION[[Functional Scope Aggr]:[Functional Scope Aggr]])),
_xlpm._platform_keywords, _xlfn.TEXTSPLIT(SUBSTITUTE(SUBSTITUTE(VLOOKUP($D208,_xlpm._platform_range,3,FALSE),"+"&amp;CHAR(34),"+"),CHAR(34),""),", "),
_xlpm._exists, SUMPRODUCT(--ISNUMBER(MATCH(_xlpm._platform_keywords,_xlpm._original_keywords,0)))&gt;0,
_xlfn.IFS(AND(_xlpm._exists,LEFT($E208,1)="+"),"+",_xlpm._exists,"*",NOT(_xlpm._exists),"")
)</f>
        <v/>
      </c>
      <c r="Q208" s="33" t="str">
        <f t="shared" si="31"/>
        <v/>
      </c>
      <c r="R208" s="33" t="str">
        <f t="shared" si="32"/>
        <v/>
      </c>
      <c r="S208" s="33" t="str">
        <f t="shared" si="33"/>
        <v/>
      </c>
      <c r="T208" s="33" t="str">
        <f t="shared" si="34"/>
        <v/>
      </c>
      <c r="U208" s="33" t="str">
        <f t="shared" si="35"/>
        <v/>
      </c>
      <c r="V208" s="33" t="str">
        <f t="shared" si="36"/>
        <v/>
      </c>
    </row>
    <row r="209" spans="1:22" x14ac:dyDescent="0.25">
      <c r="A209" s="19"/>
      <c r="B209" t="s">
        <v>377</v>
      </c>
      <c r="C209" s="19" t="e" cm="1">
        <f t="array" ref="C209">_xlfn.TEXTSPLIT(A209,",")</f>
        <v>#VALUE!</v>
      </c>
      <c r="D209" s="19"/>
      <c r="E209" s="19"/>
      <c r="F209" s="36" t="e" cm="1" vm="1">
        <f t="array" ref="F209">_xlfn.TEXTJOIN(",",TRUE,_xlfn._xlws.FILTER(CLASSIFICATION[Keyword], ($E209=CLASSIFICATION[Keyword Aggr])*($D209=CLASSIFICATION[Functional Scope Aggr])))</f>
        <v>#VALUE!</v>
      </c>
      <c r="G209" s="32" t="e">
        <f t="shared" si="30"/>
        <v>#VALUE!</v>
      </c>
      <c r="H209" s="32" t="str">
        <f t="shared" si="30"/>
        <v/>
      </c>
      <c r="I209" s="32">
        <f t="shared" si="29"/>
        <v>0</v>
      </c>
      <c r="J209" s="33" t="str" cm="1">
        <f t="array" aca="1" ref="J209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($E209=CLASSIFICATION[[Keyword Aggr]:[Keyword Aggr]])*($D209=CLASSIFICATION[[Functional Scope Aggr]:[Functional Scope Aggr]])),
_xlpm._platform_keywords, _xlfn.TEXTSPLIT(SUBSTITUTE(SUBSTITUTE(VLOOKUP($D209,_xlpm._platform_range,3,FALSE),"+"&amp;CHAR(34),"+"),CHAR(34),""),", "),
_xlpm._exists, SUMPRODUCT(--ISNUMBER(MATCH(_xlpm._platform_keywords,_xlpm._original_keywords,0)))&gt;0,
_xlfn.IFS(AND(_xlpm._exists,LEFT($E209,1)="+"),"+",_xlpm._exists,"*",NOT(_xlpm._exists),"")
)</f>
        <v/>
      </c>
      <c r="K209" s="33" t="str" cm="1">
        <f t="array" aca="1" ref="K209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($E209=CLASSIFICATION[[Keyword Aggr]:[Keyword Aggr]])*($D209=CLASSIFICATION[[Functional Scope Aggr]:[Functional Scope Aggr]])),
_xlpm._platform_keywords, _xlfn.TEXTSPLIT(SUBSTITUTE(SUBSTITUTE(VLOOKUP($D209,_xlpm._platform_range,3,FALSE),"+"&amp;CHAR(34),"+"),CHAR(34),""),", "),
_xlpm._exists, SUMPRODUCT(--ISNUMBER(MATCH(_xlpm._platform_keywords,_xlpm._original_keywords,0)))&gt;0,
_xlfn.IFS(AND(_xlpm._exists,LEFT($E209,1)="+"),"+",_xlpm._exists,"*",NOT(_xlpm._exists),"")
)</f>
        <v/>
      </c>
      <c r="L209" s="33" t="str" cm="1">
        <f t="array" aca="1" ref="L209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($E209=CLASSIFICATION[[Keyword Aggr]:[Keyword Aggr]])*($D209=CLASSIFICATION[[Functional Scope Aggr]:[Functional Scope Aggr]])),
_xlpm._platform_keywords, _xlfn.TEXTSPLIT(SUBSTITUTE(SUBSTITUTE(VLOOKUP($D209,_xlpm._platform_range,3,FALSE),"+"&amp;CHAR(34),"+"),CHAR(34),""),", "),
_xlpm._exists, SUMPRODUCT(--ISNUMBER(MATCH(_xlpm._platform_keywords,_xlpm._original_keywords,0)))&gt;0,
_xlfn.IFS(AND(_xlpm._exists,LEFT($E209,1)="+"),"+",_xlpm._exists,"*",NOT(_xlpm._exists),"")
)</f>
        <v/>
      </c>
      <c r="M209" s="33" t="str" cm="1">
        <f t="array" aca="1" ref="M209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($E209=CLASSIFICATION[[Keyword Aggr]:[Keyword Aggr]])*($D209=CLASSIFICATION[[Functional Scope Aggr]:[Functional Scope Aggr]])),
_xlpm._platform_keywords, _xlfn.TEXTSPLIT(SUBSTITUTE(SUBSTITUTE(VLOOKUP($D209,_xlpm._platform_range,3,FALSE),"+"&amp;CHAR(34),"+"),CHAR(34),""),", "),
_xlpm._exists, SUMPRODUCT(--ISNUMBER(MATCH(_xlpm._platform_keywords,_xlpm._original_keywords,0)))&gt;0,
_xlfn.IFS(AND(_xlpm._exists,LEFT($E209,1)="+"),"+",_xlpm._exists,"*",NOT(_xlpm._exists),"")
)</f>
        <v/>
      </c>
      <c r="N209" s="33" t="str" cm="1">
        <f t="array" aca="1" ref="N209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($E209=CLASSIFICATION[[Keyword Aggr]:[Keyword Aggr]])*($D209=CLASSIFICATION[[Functional Scope Aggr]:[Functional Scope Aggr]])),
_xlpm._platform_keywords, _xlfn.TEXTSPLIT(SUBSTITUTE(SUBSTITUTE(VLOOKUP($D209,_xlpm._platform_range,3,FALSE),"+"&amp;CHAR(34),"+"),CHAR(34),""),", "),
_xlpm._exists, SUMPRODUCT(--ISNUMBER(MATCH(_xlpm._platform_keywords,_xlpm._original_keywords,0)))&gt;0,
_xlfn.IFS(AND(_xlpm._exists,LEFT($E209,1)="+"),"+",_xlpm._exists,"*",NOT(_xlpm._exists),"")
)</f>
        <v/>
      </c>
      <c r="O209" s="33" t="str" cm="1">
        <f t="array" aca="1" ref="O209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($E209=CLASSIFICATION[[Keyword Aggr]:[Keyword Aggr]])*($D209=CLASSIFICATION[[Functional Scope Aggr]:[Functional Scope Aggr]])),
_xlpm._platform_keywords, _xlfn.TEXTSPLIT(SUBSTITUTE(SUBSTITUTE(VLOOKUP($D209,_xlpm._platform_range,3,FALSE),"+"&amp;CHAR(34),"+"),CHAR(34),""),", "),
_xlpm._exists, SUMPRODUCT(--ISNUMBER(MATCH(_xlpm._platform_keywords,_xlpm._original_keywords,0)))&gt;0,
_xlfn.IFS(AND(_xlpm._exists,LEFT($E209,1)="+"),"+",_xlpm._exists,"*",NOT(_xlpm._exists),"")
)</f>
        <v/>
      </c>
      <c r="Q209" s="33" t="str">
        <f t="shared" si="31"/>
        <v/>
      </c>
      <c r="R209" s="33" t="str">
        <f t="shared" si="32"/>
        <v/>
      </c>
      <c r="S209" s="33" t="str">
        <f t="shared" si="33"/>
        <v/>
      </c>
      <c r="T209" s="33" t="str">
        <f t="shared" si="34"/>
        <v/>
      </c>
      <c r="U209" s="33" t="str">
        <f t="shared" si="35"/>
        <v/>
      </c>
      <c r="V209" s="33" t="str">
        <f t="shared" si="36"/>
        <v/>
      </c>
    </row>
    <row r="210" spans="1:22" x14ac:dyDescent="0.25">
      <c r="A210" s="19"/>
      <c r="B210" t="s">
        <v>377</v>
      </c>
      <c r="C210" s="19" t="e" cm="1">
        <f t="array" ref="C210">_xlfn.TEXTSPLIT(A210,",")</f>
        <v>#VALUE!</v>
      </c>
      <c r="D210" s="19"/>
      <c r="E210" s="19"/>
      <c r="F210" s="36" t="e" cm="1" vm="1">
        <f t="array" ref="F210">_xlfn.TEXTJOIN(",",TRUE,_xlfn._xlws.FILTER(CLASSIFICATION[Keyword], ($E210=CLASSIFICATION[Keyword Aggr])*($D210=CLASSIFICATION[Functional Scope Aggr])))</f>
        <v>#VALUE!</v>
      </c>
      <c r="G210" s="32" t="e">
        <f t="shared" si="30"/>
        <v>#VALUE!</v>
      </c>
      <c r="H210" s="32" t="str">
        <f t="shared" si="30"/>
        <v/>
      </c>
      <c r="I210" s="32">
        <f t="shared" ref="I210:I216" si="37">E210</f>
        <v>0</v>
      </c>
      <c r="J210" s="33" t="str" cm="1">
        <f t="array" aca="1" ref="J210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($E210=CLASSIFICATION[[Keyword Aggr]:[Keyword Aggr]])*($D210=CLASSIFICATION[[Functional Scope Aggr]:[Functional Scope Aggr]])),
_xlpm._platform_keywords, _xlfn.TEXTSPLIT(SUBSTITUTE(SUBSTITUTE(VLOOKUP($D210,_xlpm._platform_range,3,FALSE),"+"&amp;CHAR(34),"+"),CHAR(34),""),", "),
_xlpm._exists, SUMPRODUCT(--ISNUMBER(MATCH(_xlpm._platform_keywords,_xlpm._original_keywords,0)))&gt;0,
_xlfn.IFS(AND(_xlpm._exists,LEFT($E210,1)="+"),"+",_xlpm._exists,"*",NOT(_xlpm._exists),"")
)</f>
        <v/>
      </c>
      <c r="K210" s="33" t="str" cm="1">
        <f t="array" aca="1" ref="K210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($E210=CLASSIFICATION[[Keyword Aggr]:[Keyword Aggr]])*($D210=CLASSIFICATION[[Functional Scope Aggr]:[Functional Scope Aggr]])),
_xlpm._platform_keywords, _xlfn.TEXTSPLIT(SUBSTITUTE(SUBSTITUTE(VLOOKUP($D210,_xlpm._platform_range,3,FALSE),"+"&amp;CHAR(34),"+"),CHAR(34),""),", "),
_xlpm._exists, SUMPRODUCT(--ISNUMBER(MATCH(_xlpm._platform_keywords,_xlpm._original_keywords,0)))&gt;0,
_xlfn.IFS(AND(_xlpm._exists,LEFT($E210,1)="+"),"+",_xlpm._exists,"*",NOT(_xlpm._exists),"")
)</f>
        <v/>
      </c>
      <c r="L210" s="33" t="str" cm="1">
        <f t="array" aca="1" ref="L210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($E210=CLASSIFICATION[[Keyword Aggr]:[Keyword Aggr]])*($D210=CLASSIFICATION[[Functional Scope Aggr]:[Functional Scope Aggr]])),
_xlpm._platform_keywords, _xlfn.TEXTSPLIT(SUBSTITUTE(SUBSTITUTE(VLOOKUP($D210,_xlpm._platform_range,3,FALSE),"+"&amp;CHAR(34),"+"),CHAR(34),""),", "),
_xlpm._exists, SUMPRODUCT(--ISNUMBER(MATCH(_xlpm._platform_keywords,_xlpm._original_keywords,0)))&gt;0,
_xlfn.IFS(AND(_xlpm._exists,LEFT($E210,1)="+"),"+",_xlpm._exists,"*",NOT(_xlpm._exists),"")
)</f>
        <v/>
      </c>
      <c r="M210" s="33" t="str" cm="1">
        <f t="array" aca="1" ref="M210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($E210=CLASSIFICATION[[Keyword Aggr]:[Keyword Aggr]])*($D210=CLASSIFICATION[[Functional Scope Aggr]:[Functional Scope Aggr]])),
_xlpm._platform_keywords, _xlfn.TEXTSPLIT(SUBSTITUTE(SUBSTITUTE(VLOOKUP($D210,_xlpm._platform_range,3,FALSE),"+"&amp;CHAR(34),"+"),CHAR(34),""),", "),
_xlpm._exists, SUMPRODUCT(--ISNUMBER(MATCH(_xlpm._platform_keywords,_xlpm._original_keywords,0)))&gt;0,
_xlfn.IFS(AND(_xlpm._exists,LEFT($E210,1)="+"),"+",_xlpm._exists,"*",NOT(_xlpm._exists),"")
)</f>
        <v/>
      </c>
      <c r="N210" s="33" t="str" cm="1">
        <f t="array" aca="1" ref="N210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($E210=CLASSIFICATION[[Keyword Aggr]:[Keyword Aggr]])*($D210=CLASSIFICATION[[Functional Scope Aggr]:[Functional Scope Aggr]])),
_xlpm._platform_keywords, _xlfn.TEXTSPLIT(SUBSTITUTE(SUBSTITUTE(VLOOKUP($D210,_xlpm._platform_range,3,FALSE),"+"&amp;CHAR(34),"+"),CHAR(34),""),", "),
_xlpm._exists, SUMPRODUCT(--ISNUMBER(MATCH(_xlpm._platform_keywords,_xlpm._original_keywords,0)))&gt;0,
_xlfn.IFS(AND(_xlpm._exists,LEFT($E210,1)="+"),"+",_xlpm._exists,"*",NOT(_xlpm._exists),"")
)</f>
        <v/>
      </c>
      <c r="O210" s="33" t="str" cm="1">
        <f t="array" aca="1" ref="O210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($E210=CLASSIFICATION[[Keyword Aggr]:[Keyword Aggr]])*($D210=CLASSIFICATION[[Functional Scope Aggr]:[Functional Scope Aggr]])),
_xlpm._platform_keywords, _xlfn.TEXTSPLIT(SUBSTITUTE(SUBSTITUTE(VLOOKUP($D210,_xlpm._platform_range,3,FALSE),"+"&amp;CHAR(34),"+"),CHAR(34),""),", "),
_xlpm._exists, SUMPRODUCT(--ISNUMBER(MATCH(_xlpm._platform_keywords,_xlpm._original_keywords,0)))&gt;0,
_xlfn.IFS(AND(_xlpm._exists,LEFT($E210,1)="+"),"+",_xlpm._exists,"*",NOT(_xlpm._exists),"")
)</f>
        <v/>
      </c>
      <c r="Q210" s="33" t="str">
        <f t="shared" si="31"/>
        <v/>
      </c>
      <c r="R210" s="33" t="str">
        <f t="shared" si="32"/>
        <v/>
      </c>
      <c r="S210" s="33" t="str">
        <f t="shared" si="33"/>
        <v/>
      </c>
      <c r="T210" s="33" t="str">
        <f t="shared" si="34"/>
        <v/>
      </c>
      <c r="U210" s="33" t="str">
        <f t="shared" si="35"/>
        <v/>
      </c>
      <c r="V210" s="33" t="str">
        <f t="shared" si="36"/>
        <v/>
      </c>
    </row>
    <row r="211" spans="1:22" x14ac:dyDescent="0.25">
      <c r="A211" s="19"/>
      <c r="B211" t="s">
        <v>377</v>
      </c>
      <c r="C211" s="19" t="e" cm="1">
        <f t="array" ref="C211">_xlfn.TEXTSPLIT(A211,",")</f>
        <v>#VALUE!</v>
      </c>
      <c r="D211" s="19"/>
      <c r="E211" s="19"/>
      <c r="F211" s="36" t="e" cm="1" vm="1">
        <f t="array" ref="F211">_xlfn.TEXTJOIN(",",TRUE,_xlfn._xlws.FILTER(CLASSIFICATION[Keyword], ($E211=CLASSIFICATION[Keyword Aggr])*($D211=CLASSIFICATION[Functional Scope Aggr])))</f>
        <v>#VALUE!</v>
      </c>
      <c r="G211" s="32" t="e">
        <f t="shared" si="30"/>
        <v>#VALUE!</v>
      </c>
      <c r="H211" s="32" t="str">
        <f t="shared" si="30"/>
        <v/>
      </c>
      <c r="I211" s="32">
        <f t="shared" si="37"/>
        <v>0</v>
      </c>
      <c r="J211" s="33" t="str" cm="1">
        <f t="array" aca="1" ref="J211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($E211=CLASSIFICATION[[Keyword Aggr]:[Keyword Aggr]])*($D211=CLASSIFICATION[[Functional Scope Aggr]:[Functional Scope Aggr]])),
_xlpm._platform_keywords, _xlfn.TEXTSPLIT(SUBSTITUTE(SUBSTITUTE(VLOOKUP($D211,_xlpm._platform_range,3,FALSE),"+"&amp;CHAR(34),"+"),CHAR(34),""),", "),
_xlpm._exists, SUMPRODUCT(--ISNUMBER(MATCH(_xlpm._platform_keywords,_xlpm._original_keywords,0)))&gt;0,
_xlfn.IFS(AND(_xlpm._exists,LEFT($E211,1)="+"),"+",_xlpm._exists,"*",NOT(_xlpm._exists),"")
)</f>
        <v/>
      </c>
      <c r="K211" s="33" t="str" cm="1">
        <f t="array" aca="1" ref="K211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($E211=CLASSIFICATION[[Keyword Aggr]:[Keyword Aggr]])*($D211=CLASSIFICATION[[Functional Scope Aggr]:[Functional Scope Aggr]])),
_xlpm._platform_keywords, _xlfn.TEXTSPLIT(SUBSTITUTE(SUBSTITUTE(VLOOKUP($D211,_xlpm._platform_range,3,FALSE),"+"&amp;CHAR(34),"+"),CHAR(34),""),", "),
_xlpm._exists, SUMPRODUCT(--ISNUMBER(MATCH(_xlpm._platform_keywords,_xlpm._original_keywords,0)))&gt;0,
_xlfn.IFS(AND(_xlpm._exists,LEFT($E211,1)="+"),"+",_xlpm._exists,"*",NOT(_xlpm._exists),"")
)</f>
        <v/>
      </c>
      <c r="L211" s="33" t="str" cm="1">
        <f t="array" aca="1" ref="L211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($E211=CLASSIFICATION[[Keyword Aggr]:[Keyword Aggr]])*($D211=CLASSIFICATION[[Functional Scope Aggr]:[Functional Scope Aggr]])),
_xlpm._platform_keywords, _xlfn.TEXTSPLIT(SUBSTITUTE(SUBSTITUTE(VLOOKUP($D211,_xlpm._platform_range,3,FALSE),"+"&amp;CHAR(34),"+"),CHAR(34),""),", "),
_xlpm._exists, SUMPRODUCT(--ISNUMBER(MATCH(_xlpm._platform_keywords,_xlpm._original_keywords,0)))&gt;0,
_xlfn.IFS(AND(_xlpm._exists,LEFT($E211,1)="+"),"+",_xlpm._exists,"*",NOT(_xlpm._exists),"")
)</f>
        <v/>
      </c>
      <c r="M211" s="33" t="str" cm="1">
        <f t="array" aca="1" ref="M211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($E211=CLASSIFICATION[[Keyword Aggr]:[Keyword Aggr]])*($D211=CLASSIFICATION[[Functional Scope Aggr]:[Functional Scope Aggr]])),
_xlpm._platform_keywords, _xlfn.TEXTSPLIT(SUBSTITUTE(SUBSTITUTE(VLOOKUP($D211,_xlpm._platform_range,3,FALSE),"+"&amp;CHAR(34),"+"),CHAR(34),""),", "),
_xlpm._exists, SUMPRODUCT(--ISNUMBER(MATCH(_xlpm._platform_keywords,_xlpm._original_keywords,0)))&gt;0,
_xlfn.IFS(AND(_xlpm._exists,LEFT($E211,1)="+"),"+",_xlpm._exists,"*",NOT(_xlpm._exists),"")
)</f>
        <v/>
      </c>
      <c r="N211" s="33" t="str" cm="1">
        <f t="array" aca="1" ref="N211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($E211=CLASSIFICATION[[Keyword Aggr]:[Keyword Aggr]])*($D211=CLASSIFICATION[[Functional Scope Aggr]:[Functional Scope Aggr]])),
_xlpm._platform_keywords, _xlfn.TEXTSPLIT(SUBSTITUTE(SUBSTITUTE(VLOOKUP($D211,_xlpm._platform_range,3,FALSE),"+"&amp;CHAR(34),"+"),CHAR(34),""),", "),
_xlpm._exists, SUMPRODUCT(--ISNUMBER(MATCH(_xlpm._platform_keywords,_xlpm._original_keywords,0)))&gt;0,
_xlfn.IFS(AND(_xlpm._exists,LEFT($E211,1)="+"),"+",_xlpm._exists,"*",NOT(_xlpm._exists),"")
)</f>
        <v/>
      </c>
      <c r="O211" s="33" t="str" cm="1">
        <f t="array" aca="1" ref="O211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($E211=CLASSIFICATION[[Keyword Aggr]:[Keyword Aggr]])*($D211=CLASSIFICATION[[Functional Scope Aggr]:[Functional Scope Aggr]])),
_xlpm._platform_keywords, _xlfn.TEXTSPLIT(SUBSTITUTE(SUBSTITUTE(VLOOKUP($D211,_xlpm._platform_range,3,FALSE),"+"&amp;CHAR(34),"+"),CHAR(34),""),", "),
_xlpm._exists, SUMPRODUCT(--ISNUMBER(MATCH(_xlpm._platform_keywords,_xlpm._original_keywords,0)))&gt;0,
_xlfn.IFS(AND(_xlpm._exists,LEFT($E211,1)="+"),"+",_xlpm._exists,"*",NOT(_xlpm._exists),"")
)</f>
        <v/>
      </c>
      <c r="Q211" s="33" t="str">
        <f t="shared" si="31"/>
        <v/>
      </c>
      <c r="R211" s="33" t="str">
        <f t="shared" si="32"/>
        <v/>
      </c>
      <c r="S211" s="33" t="str">
        <f t="shared" si="33"/>
        <v/>
      </c>
      <c r="T211" s="33" t="str">
        <f t="shared" si="34"/>
        <v/>
      </c>
      <c r="U211" s="33" t="str">
        <f t="shared" si="35"/>
        <v/>
      </c>
      <c r="V211" s="33" t="str">
        <f t="shared" si="36"/>
        <v/>
      </c>
    </row>
    <row r="212" spans="1:22" x14ac:dyDescent="0.25">
      <c r="A212" s="19"/>
      <c r="B212" t="s">
        <v>377</v>
      </c>
      <c r="C212" s="19" t="e" cm="1">
        <f t="array" ref="C212">_xlfn.TEXTSPLIT(A212,",")</f>
        <v>#VALUE!</v>
      </c>
      <c r="D212" s="19"/>
      <c r="E212" s="19"/>
      <c r="F212" s="36" t="e" cm="1" vm="1">
        <f t="array" ref="F212">_xlfn.TEXTJOIN(",",TRUE,_xlfn._xlws.FILTER(CLASSIFICATION[Keyword], ($E212=CLASSIFICATION[Keyword Aggr])*($D212=CLASSIFICATION[Functional Scope Aggr])))</f>
        <v>#VALUE!</v>
      </c>
      <c r="G212" s="32" t="e">
        <f t="shared" si="30"/>
        <v>#VALUE!</v>
      </c>
      <c r="H212" s="32" t="str">
        <f t="shared" si="30"/>
        <v/>
      </c>
      <c r="I212" s="32">
        <f t="shared" si="37"/>
        <v>0</v>
      </c>
      <c r="J212" s="33" t="str" cm="1">
        <f t="array" aca="1" ref="J212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($E212=CLASSIFICATION[[Keyword Aggr]:[Keyword Aggr]])*($D212=CLASSIFICATION[[Functional Scope Aggr]:[Functional Scope Aggr]])),
_xlpm._platform_keywords, _xlfn.TEXTSPLIT(SUBSTITUTE(SUBSTITUTE(VLOOKUP($D212,_xlpm._platform_range,3,FALSE),"+"&amp;CHAR(34),"+"),CHAR(34),""),", "),
_xlpm._exists, SUMPRODUCT(--ISNUMBER(MATCH(_xlpm._platform_keywords,_xlpm._original_keywords,0)))&gt;0,
_xlfn.IFS(AND(_xlpm._exists,LEFT($E212,1)="+"),"+",_xlpm._exists,"*",NOT(_xlpm._exists),"")
)</f>
        <v/>
      </c>
      <c r="K212" s="33" t="str" cm="1">
        <f t="array" aca="1" ref="K212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($E212=CLASSIFICATION[[Keyword Aggr]:[Keyword Aggr]])*($D212=CLASSIFICATION[[Functional Scope Aggr]:[Functional Scope Aggr]])),
_xlpm._platform_keywords, _xlfn.TEXTSPLIT(SUBSTITUTE(SUBSTITUTE(VLOOKUP($D212,_xlpm._platform_range,3,FALSE),"+"&amp;CHAR(34),"+"),CHAR(34),""),", "),
_xlpm._exists, SUMPRODUCT(--ISNUMBER(MATCH(_xlpm._platform_keywords,_xlpm._original_keywords,0)))&gt;0,
_xlfn.IFS(AND(_xlpm._exists,LEFT($E212,1)="+"),"+",_xlpm._exists,"*",NOT(_xlpm._exists),"")
)</f>
        <v/>
      </c>
      <c r="L212" s="33" t="str" cm="1">
        <f t="array" aca="1" ref="L212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($E212=CLASSIFICATION[[Keyword Aggr]:[Keyword Aggr]])*($D212=CLASSIFICATION[[Functional Scope Aggr]:[Functional Scope Aggr]])),
_xlpm._platform_keywords, _xlfn.TEXTSPLIT(SUBSTITUTE(SUBSTITUTE(VLOOKUP($D212,_xlpm._platform_range,3,FALSE),"+"&amp;CHAR(34),"+"),CHAR(34),""),", "),
_xlpm._exists, SUMPRODUCT(--ISNUMBER(MATCH(_xlpm._platform_keywords,_xlpm._original_keywords,0)))&gt;0,
_xlfn.IFS(AND(_xlpm._exists,LEFT($E212,1)="+"),"+",_xlpm._exists,"*",NOT(_xlpm._exists),"")
)</f>
        <v/>
      </c>
      <c r="M212" s="33" t="str" cm="1">
        <f t="array" aca="1" ref="M212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($E212=CLASSIFICATION[[Keyword Aggr]:[Keyword Aggr]])*($D212=CLASSIFICATION[[Functional Scope Aggr]:[Functional Scope Aggr]])),
_xlpm._platform_keywords, _xlfn.TEXTSPLIT(SUBSTITUTE(SUBSTITUTE(VLOOKUP($D212,_xlpm._platform_range,3,FALSE),"+"&amp;CHAR(34),"+"),CHAR(34),""),", "),
_xlpm._exists, SUMPRODUCT(--ISNUMBER(MATCH(_xlpm._platform_keywords,_xlpm._original_keywords,0)))&gt;0,
_xlfn.IFS(AND(_xlpm._exists,LEFT($E212,1)="+"),"+",_xlpm._exists,"*",NOT(_xlpm._exists),"")
)</f>
        <v/>
      </c>
      <c r="N212" s="33" t="str" cm="1">
        <f t="array" aca="1" ref="N212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($E212=CLASSIFICATION[[Keyword Aggr]:[Keyword Aggr]])*($D212=CLASSIFICATION[[Functional Scope Aggr]:[Functional Scope Aggr]])),
_xlpm._platform_keywords, _xlfn.TEXTSPLIT(SUBSTITUTE(SUBSTITUTE(VLOOKUP($D212,_xlpm._platform_range,3,FALSE),"+"&amp;CHAR(34),"+"),CHAR(34),""),", "),
_xlpm._exists, SUMPRODUCT(--ISNUMBER(MATCH(_xlpm._platform_keywords,_xlpm._original_keywords,0)))&gt;0,
_xlfn.IFS(AND(_xlpm._exists,LEFT($E212,1)="+"),"+",_xlpm._exists,"*",NOT(_xlpm._exists),"")
)</f>
        <v/>
      </c>
      <c r="O212" s="33" t="str" cm="1">
        <f t="array" aca="1" ref="O212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($E212=CLASSIFICATION[[Keyword Aggr]:[Keyword Aggr]])*($D212=CLASSIFICATION[[Functional Scope Aggr]:[Functional Scope Aggr]])),
_xlpm._platform_keywords, _xlfn.TEXTSPLIT(SUBSTITUTE(SUBSTITUTE(VLOOKUP($D212,_xlpm._platform_range,3,FALSE),"+"&amp;CHAR(34),"+"),CHAR(34),""),", "),
_xlpm._exists, SUMPRODUCT(--ISNUMBER(MATCH(_xlpm._platform_keywords,_xlpm._original_keywords,0)))&gt;0,
_xlfn.IFS(AND(_xlpm._exists,LEFT($E212,1)="+"),"+",_xlpm._exists,"*",NOT(_xlpm._exists),"")
)</f>
        <v/>
      </c>
      <c r="Q212" s="33" t="str">
        <f t="shared" si="31"/>
        <v/>
      </c>
      <c r="R212" s="33" t="str">
        <f t="shared" si="32"/>
        <v/>
      </c>
      <c r="S212" s="33" t="str">
        <f t="shared" si="33"/>
        <v/>
      </c>
      <c r="T212" s="33" t="str">
        <f t="shared" si="34"/>
        <v/>
      </c>
      <c r="U212" s="33" t="str">
        <f t="shared" si="35"/>
        <v/>
      </c>
      <c r="V212" s="33" t="str">
        <f t="shared" si="36"/>
        <v/>
      </c>
    </row>
    <row r="213" spans="1:22" x14ac:dyDescent="0.25">
      <c r="A213" s="19"/>
      <c r="B213" t="s">
        <v>377</v>
      </c>
      <c r="C213" s="19" t="e" cm="1">
        <f t="array" ref="C213">_xlfn.TEXTSPLIT(A213,",")</f>
        <v>#VALUE!</v>
      </c>
      <c r="D213" s="19"/>
      <c r="E213" s="19"/>
      <c r="F213" s="36" t="e" cm="1" vm="1">
        <f t="array" ref="F213">_xlfn.TEXTJOIN(",",TRUE,_xlfn._xlws.FILTER(CLASSIFICATION[Keyword], ($E213=CLASSIFICATION[Keyword Aggr])*($D213=CLASSIFICATION[Functional Scope Aggr])))</f>
        <v>#VALUE!</v>
      </c>
      <c r="G213" s="32" t="e">
        <f t="shared" si="30"/>
        <v>#VALUE!</v>
      </c>
      <c r="H213" s="32" t="str">
        <f t="shared" si="30"/>
        <v/>
      </c>
      <c r="I213" s="32">
        <f t="shared" si="37"/>
        <v>0</v>
      </c>
      <c r="J213" s="33" t="str" cm="1">
        <f t="array" aca="1" ref="J213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($E213=CLASSIFICATION[[Keyword Aggr]:[Keyword Aggr]])*($D213=CLASSIFICATION[[Functional Scope Aggr]:[Functional Scope Aggr]])),
_xlpm._platform_keywords, _xlfn.TEXTSPLIT(SUBSTITUTE(SUBSTITUTE(VLOOKUP($D213,_xlpm._platform_range,3,FALSE),"+"&amp;CHAR(34),"+"),CHAR(34),""),", "),
_xlpm._exists, SUMPRODUCT(--ISNUMBER(MATCH(_xlpm._platform_keywords,_xlpm._original_keywords,0)))&gt;0,
_xlfn.IFS(AND(_xlpm._exists,LEFT($E213,1)="+"),"+",_xlpm._exists,"*",NOT(_xlpm._exists),"")
)</f>
        <v/>
      </c>
      <c r="K213" s="33" t="str" cm="1">
        <f t="array" aca="1" ref="K213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($E213=CLASSIFICATION[[Keyword Aggr]:[Keyword Aggr]])*($D213=CLASSIFICATION[[Functional Scope Aggr]:[Functional Scope Aggr]])),
_xlpm._platform_keywords, _xlfn.TEXTSPLIT(SUBSTITUTE(SUBSTITUTE(VLOOKUP($D213,_xlpm._platform_range,3,FALSE),"+"&amp;CHAR(34),"+"),CHAR(34),""),", "),
_xlpm._exists, SUMPRODUCT(--ISNUMBER(MATCH(_xlpm._platform_keywords,_xlpm._original_keywords,0)))&gt;0,
_xlfn.IFS(AND(_xlpm._exists,LEFT($E213,1)="+"),"+",_xlpm._exists,"*",NOT(_xlpm._exists),"")
)</f>
        <v/>
      </c>
      <c r="L213" s="33" t="str" cm="1">
        <f t="array" aca="1" ref="L213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($E213=CLASSIFICATION[[Keyword Aggr]:[Keyword Aggr]])*($D213=CLASSIFICATION[[Functional Scope Aggr]:[Functional Scope Aggr]])),
_xlpm._platform_keywords, _xlfn.TEXTSPLIT(SUBSTITUTE(SUBSTITUTE(VLOOKUP($D213,_xlpm._platform_range,3,FALSE),"+"&amp;CHAR(34),"+"),CHAR(34),""),", "),
_xlpm._exists, SUMPRODUCT(--ISNUMBER(MATCH(_xlpm._platform_keywords,_xlpm._original_keywords,0)))&gt;0,
_xlfn.IFS(AND(_xlpm._exists,LEFT($E213,1)="+"),"+",_xlpm._exists,"*",NOT(_xlpm._exists),"")
)</f>
        <v/>
      </c>
      <c r="M213" s="33" t="str" cm="1">
        <f t="array" aca="1" ref="M213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($E213=CLASSIFICATION[[Keyword Aggr]:[Keyword Aggr]])*($D213=CLASSIFICATION[[Functional Scope Aggr]:[Functional Scope Aggr]])),
_xlpm._platform_keywords, _xlfn.TEXTSPLIT(SUBSTITUTE(SUBSTITUTE(VLOOKUP($D213,_xlpm._platform_range,3,FALSE),"+"&amp;CHAR(34),"+"),CHAR(34),""),", "),
_xlpm._exists, SUMPRODUCT(--ISNUMBER(MATCH(_xlpm._platform_keywords,_xlpm._original_keywords,0)))&gt;0,
_xlfn.IFS(AND(_xlpm._exists,LEFT($E213,1)="+"),"+",_xlpm._exists,"*",NOT(_xlpm._exists),"")
)</f>
        <v/>
      </c>
      <c r="N213" s="33" t="str" cm="1">
        <f t="array" aca="1" ref="N213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($E213=CLASSIFICATION[[Keyword Aggr]:[Keyword Aggr]])*($D213=CLASSIFICATION[[Functional Scope Aggr]:[Functional Scope Aggr]])),
_xlpm._platform_keywords, _xlfn.TEXTSPLIT(SUBSTITUTE(SUBSTITUTE(VLOOKUP($D213,_xlpm._platform_range,3,FALSE),"+"&amp;CHAR(34),"+"),CHAR(34),""),", "),
_xlpm._exists, SUMPRODUCT(--ISNUMBER(MATCH(_xlpm._platform_keywords,_xlpm._original_keywords,0)))&gt;0,
_xlfn.IFS(AND(_xlpm._exists,LEFT($E213,1)="+"),"+",_xlpm._exists,"*",NOT(_xlpm._exists),"")
)</f>
        <v/>
      </c>
      <c r="O213" s="33" t="str" cm="1">
        <f t="array" aca="1" ref="O213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($E213=CLASSIFICATION[[Keyword Aggr]:[Keyword Aggr]])*($D213=CLASSIFICATION[[Functional Scope Aggr]:[Functional Scope Aggr]])),
_xlpm._platform_keywords, _xlfn.TEXTSPLIT(SUBSTITUTE(SUBSTITUTE(VLOOKUP($D213,_xlpm._platform_range,3,FALSE),"+"&amp;CHAR(34),"+"),CHAR(34),""),", "),
_xlpm._exists, SUMPRODUCT(--ISNUMBER(MATCH(_xlpm._platform_keywords,_xlpm._original_keywords,0)))&gt;0,
_xlfn.IFS(AND(_xlpm._exists,LEFT($E213,1)="+"),"+",_xlpm._exists,"*",NOT(_xlpm._exists),"")
)</f>
        <v/>
      </c>
      <c r="Q213" s="33" t="str">
        <f t="shared" si="31"/>
        <v/>
      </c>
      <c r="R213" s="33" t="str">
        <f t="shared" si="32"/>
        <v/>
      </c>
      <c r="S213" s="33" t="str">
        <f t="shared" si="33"/>
        <v/>
      </c>
      <c r="T213" s="33" t="str">
        <f t="shared" si="34"/>
        <v/>
      </c>
      <c r="U213" s="33" t="str">
        <f t="shared" si="35"/>
        <v/>
      </c>
      <c r="V213" s="33" t="str">
        <f t="shared" si="36"/>
        <v/>
      </c>
    </row>
    <row r="214" spans="1:22" x14ac:dyDescent="0.25">
      <c r="A214" s="19"/>
      <c r="B214" t="s">
        <v>377</v>
      </c>
      <c r="C214" s="19" t="e" cm="1">
        <f t="array" ref="C214">_xlfn.TEXTSPLIT(A214,",")</f>
        <v>#VALUE!</v>
      </c>
      <c r="D214" s="19"/>
      <c r="E214" s="19"/>
      <c r="F214" s="36" t="e" cm="1" vm="1">
        <f t="array" ref="F214">_xlfn.TEXTJOIN(",",TRUE,_xlfn._xlws.FILTER(CLASSIFICATION[Keyword], ($E214=CLASSIFICATION[Keyword Aggr])*($D214=CLASSIFICATION[Functional Scope Aggr])))</f>
        <v>#VALUE!</v>
      </c>
      <c r="G214" s="32" t="e">
        <f t="shared" si="30"/>
        <v>#VALUE!</v>
      </c>
      <c r="H214" s="32" t="str">
        <f t="shared" si="30"/>
        <v/>
      </c>
      <c r="I214" s="32">
        <f t="shared" si="37"/>
        <v>0</v>
      </c>
      <c r="J214" s="33" t="str" cm="1">
        <f t="array" aca="1" ref="J214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($E214=CLASSIFICATION[[Keyword Aggr]:[Keyword Aggr]])*($D214=CLASSIFICATION[[Functional Scope Aggr]:[Functional Scope Aggr]])),
_xlpm._platform_keywords, _xlfn.TEXTSPLIT(SUBSTITUTE(SUBSTITUTE(VLOOKUP($D214,_xlpm._platform_range,3,FALSE),"+"&amp;CHAR(34),"+"),CHAR(34),""),", "),
_xlpm._exists, SUMPRODUCT(--ISNUMBER(MATCH(_xlpm._platform_keywords,_xlpm._original_keywords,0)))&gt;0,
_xlfn.IFS(AND(_xlpm._exists,LEFT($E214,1)="+"),"+",_xlpm._exists,"*",NOT(_xlpm._exists),"")
)</f>
        <v/>
      </c>
      <c r="K214" s="33" t="str" cm="1">
        <f t="array" aca="1" ref="K214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($E214=CLASSIFICATION[[Keyword Aggr]:[Keyword Aggr]])*($D214=CLASSIFICATION[[Functional Scope Aggr]:[Functional Scope Aggr]])),
_xlpm._platform_keywords, _xlfn.TEXTSPLIT(SUBSTITUTE(SUBSTITUTE(VLOOKUP($D214,_xlpm._platform_range,3,FALSE),"+"&amp;CHAR(34),"+"),CHAR(34),""),", "),
_xlpm._exists, SUMPRODUCT(--ISNUMBER(MATCH(_xlpm._platform_keywords,_xlpm._original_keywords,0)))&gt;0,
_xlfn.IFS(AND(_xlpm._exists,LEFT($E214,1)="+"),"+",_xlpm._exists,"*",NOT(_xlpm._exists),"")
)</f>
        <v/>
      </c>
      <c r="L214" s="33" t="str" cm="1">
        <f t="array" aca="1" ref="L214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($E214=CLASSIFICATION[[Keyword Aggr]:[Keyword Aggr]])*($D214=CLASSIFICATION[[Functional Scope Aggr]:[Functional Scope Aggr]])),
_xlpm._platform_keywords, _xlfn.TEXTSPLIT(SUBSTITUTE(SUBSTITUTE(VLOOKUP($D214,_xlpm._platform_range,3,FALSE),"+"&amp;CHAR(34),"+"),CHAR(34),""),", "),
_xlpm._exists, SUMPRODUCT(--ISNUMBER(MATCH(_xlpm._platform_keywords,_xlpm._original_keywords,0)))&gt;0,
_xlfn.IFS(AND(_xlpm._exists,LEFT($E214,1)="+"),"+",_xlpm._exists,"*",NOT(_xlpm._exists),"")
)</f>
        <v/>
      </c>
      <c r="M214" s="33" t="str" cm="1">
        <f t="array" aca="1" ref="M214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($E214=CLASSIFICATION[[Keyword Aggr]:[Keyword Aggr]])*($D214=CLASSIFICATION[[Functional Scope Aggr]:[Functional Scope Aggr]])),
_xlpm._platform_keywords, _xlfn.TEXTSPLIT(SUBSTITUTE(SUBSTITUTE(VLOOKUP($D214,_xlpm._platform_range,3,FALSE),"+"&amp;CHAR(34),"+"),CHAR(34),""),", "),
_xlpm._exists, SUMPRODUCT(--ISNUMBER(MATCH(_xlpm._platform_keywords,_xlpm._original_keywords,0)))&gt;0,
_xlfn.IFS(AND(_xlpm._exists,LEFT($E214,1)="+"),"+",_xlpm._exists,"*",NOT(_xlpm._exists),"")
)</f>
        <v/>
      </c>
      <c r="N214" s="33" t="str" cm="1">
        <f t="array" aca="1" ref="N214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($E214=CLASSIFICATION[[Keyword Aggr]:[Keyword Aggr]])*($D214=CLASSIFICATION[[Functional Scope Aggr]:[Functional Scope Aggr]])),
_xlpm._platform_keywords, _xlfn.TEXTSPLIT(SUBSTITUTE(SUBSTITUTE(VLOOKUP($D214,_xlpm._platform_range,3,FALSE),"+"&amp;CHAR(34),"+"),CHAR(34),""),", "),
_xlpm._exists, SUMPRODUCT(--ISNUMBER(MATCH(_xlpm._platform_keywords,_xlpm._original_keywords,0)))&gt;0,
_xlfn.IFS(AND(_xlpm._exists,LEFT($E214,1)="+"),"+",_xlpm._exists,"*",NOT(_xlpm._exists),"")
)</f>
        <v/>
      </c>
      <c r="O214" s="33" t="str" cm="1">
        <f t="array" aca="1" ref="O214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($E214=CLASSIFICATION[[Keyword Aggr]:[Keyword Aggr]])*($D214=CLASSIFICATION[[Functional Scope Aggr]:[Functional Scope Aggr]])),
_xlpm._platform_keywords, _xlfn.TEXTSPLIT(SUBSTITUTE(SUBSTITUTE(VLOOKUP($D214,_xlpm._platform_range,3,FALSE),"+"&amp;CHAR(34),"+"),CHAR(34),""),", "),
_xlpm._exists, SUMPRODUCT(--ISNUMBER(MATCH(_xlpm._platform_keywords,_xlpm._original_keywords,0)))&gt;0,
_xlfn.IFS(AND(_xlpm._exists,LEFT($E214,1)="+"),"+",_xlpm._exists,"*",NOT(_xlpm._exists),"")
)</f>
        <v/>
      </c>
      <c r="Q214" s="33" t="str">
        <f t="shared" si="31"/>
        <v/>
      </c>
      <c r="R214" s="33" t="str">
        <f t="shared" si="32"/>
        <v/>
      </c>
      <c r="S214" s="33" t="str">
        <f t="shared" si="33"/>
        <v/>
      </c>
      <c r="T214" s="33" t="str">
        <f t="shared" si="34"/>
        <v/>
      </c>
      <c r="U214" s="33" t="str">
        <f t="shared" si="35"/>
        <v/>
      </c>
      <c r="V214" s="33" t="str">
        <f t="shared" si="36"/>
        <v/>
      </c>
    </row>
    <row r="215" spans="1:22" x14ac:dyDescent="0.25">
      <c r="A215" s="19"/>
      <c r="B215" t="s">
        <v>377</v>
      </c>
      <c r="C215" s="19" t="e" cm="1">
        <f t="array" ref="C215">_xlfn.TEXTSPLIT(A215,",")</f>
        <v>#VALUE!</v>
      </c>
      <c r="D215" s="19"/>
      <c r="E215" s="19"/>
      <c r="F215" s="36" t="e" cm="1" vm="1">
        <f t="array" ref="F215">_xlfn.TEXTJOIN(",",TRUE,_xlfn._xlws.FILTER(CLASSIFICATION[Keyword], ($E215=CLASSIFICATION[Keyword Aggr])*($D215=CLASSIFICATION[Functional Scope Aggr])))</f>
        <v>#VALUE!</v>
      </c>
      <c r="G215" s="32" t="e">
        <f t="shared" si="30"/>
        <v>#VALUE!</v>
      </c>
      <c r="H215" s="32" t="str">
        <f t="shared" si="30"/>
        <v/>
      </c>
      <c r="I215" s="32">
        <f t="shared" si="37"/>
        <v>0</v>
      </c>
      <c r="J215" s="33" t="str" cm="1">
        <f t="array" aca="1" ref="J215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($E215=CLASSIFICATION[[Keyword Aggr]:[Keyword Aggr]])*($D215=CLASSIFICATION[[Functional Scope Aggr]:[Functional Scope Aggr]])),
_xlpm._platform_keywords, _xlfn.TEXTSPLIT(SUBSTITUTE(SUBSTITUTE(VLOOKUP($D215,_xlpm._platform_range,3,FALSE),"+"&amp;CHAR(34),"+"),CHAR(34),""),", "),
_xlpm._exists, SUMPRODUCT(--ISNUMBER(MATCH(_xlpm._platform_keywords,_xlpm._original_keywords,0)))&gt;0,
_xlfn.IFS(AND(_xlpm._exists,LEFT($E215,1)="+"),"+",_xlpm._exists,"*",NOT(_xlpm._exists),"")
)</f>
        <v/>
      </c>
      <c r="K215" s="33" t="str" cm="1">
        <f t="array" aca="1" ref="K215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($E215=CLASSIFICATION[[Keyword Aggr]:[Keyword Aggr]])*($D215=CLASSIFICATION[[Functional Scope Aggr]:[Functional Scope Aggr]])),
_xlpm._platform_keywords, _xlfn.TEXTSPLIT(SUBSTITUTE(SUBSTITUTE(VLOOKUP($D215,_xlpm._platform_range,3,FALSE),"+"&amp;CHAR(34),"+"),CHAR(34),""),", "),
_xlpm._exists, SUMPRODUCT(--ISNUMBER(MATCH(_xlpm._platform_keywords,_xlpm._original_keywords,0)))&gt;0,
_xlfn.IFS(AND(_xlpm._exists,LEFT($E215,1)="+"),"+",_xlpm._exists,"*",NOT(_xlpm._exists),"")
)</f>
        <v/>
      </c>
      <c r="L215" s="33" t="str" cm="1">
        <f t="array" aca="1" ref="L215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($E215=CLASSIFICATION[[Keyword Aggr]:[Keyword Aggr]])*($D215=CLASSIFICATION[[Functional Scope Aggr]:[Functional Scope Aggr]])),
_xlpm._platform_keywords, _xlfn.TEXTSPLIT(SUBSTITUTE(SUBSTITUTE(VLOOKUP($D215,_xlpm._platform_range,3,FALSE),"+"&amp;CHAR(34),"+"),CHAR(34),""),", "),
_xlpm._exists, SUMPRODUCT(--ISNUMBER(MATCH(_xlpm._platform_keywords,_xlpm._original_keywords,0)))&gt;0,
_xlfn.IFS(AND(_xlpm._exists,LEFT($E215,1)="+"),"+",_xlpm._exists,"*",NOT(_xlpm._exists),"")
)</f>
        <v/>
      </c>
      <c r="M215" s="33" t="str" cm="1">
        <f t="array" aca="1" ref="M215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($E215=CLASSIFICATION[[Keyword Aggr]:[Keyword Aggr]])*($D215=CLASSIFICATION[[Functional Scope Aggr]:[Functional Scope Aggr]])),
_xlpm._platform_keywords, _xlfn.TEXTSPLIT(SUBSTITUTE(SUBSTITUTE(VLOOKUP($D215,_xlpm._platform_range,3,FALSE),"+"&amp;CHAR(34),"+"),CHAR(34),""),", "),
_xlpm._exists, SUMPRODUCT(--ISNUMBER(MATCH(_xlpm._platform_keywords,_xlpm._original_keywords,0)))&gt;0,
_xlfn.IFS(AND(_xlpm._exists,LEFT($E215,1)="+"),"+",_xlpm._exists,"*",NOT(_xlpm._exists),"")
)</f>
        <v/>
      </c>
      <c r="N215" s="33" t="str" cm="1">
        <f t="array" aca="1" ref="N215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($E215=CLASSIFICATION[[Keyword Aggr]:[Keyword Aggr]])*($D215=CLASSIFICATION[[Functional Scope Aggr]:[Functional Scope Aggr]])),
_xlpm._platform_keywords, _xlfn.TEXTSPLIT(SUBSTITUTE(SUBSTITUTE(VLOOKUP($D215,_xlpm._platform_range,3,FALSE),"+"&amp;CHAR(34),"+"),CHAR(34),""),", "),
_xlpm._exists, SUMPRODUCT(--ISNUMBER(MATCH(_xlpm._platform_keywords,_xlpm._original_keywords,0)))&gt;0,
_xlfn.IFS(AND(_xlpm._exists,LEFT($E215,1)="+"),"+",_xlpm._exists,"*",NOT(_xlpm._exists),"")
)</f>
        <v/>
      </c>
      <c r="O215" s="33" t="str" cm="1">
        <f t="array" aca="1" ref="O215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($E215=CLASSIFICATION[[Keyword Aggr]:[Keyword Aggr]])*($D215=CLASSIFICATION[[Functional Scope Aggr]:[Functional Scope Aggr]])),
_xlpm._platform_keywords, _xlfn.TEXTSPLIT(SUBSTITUTE(SUBSTITUTE(VLOOKUP($D215,_xlpm._platform_range,3,FALSE),"+"&amp;CHAR(34),"+"),CHAR(34),""),", "),
_xlpm._exists, SUMPRODUCT(--ISNUMBER(MATCH(_xlpm._platform_keywords,_xlpm._original_keywords,0)))&gt;0,
_xlfn.IFS(AND(_xlpm._exists,LEFT($E215,1)="+"),"+",_xlpm._exists,"*",NOT(_xlpm._exists),"")
)</f>
        <v/>
      </c>
      <c r="Q215" s="33" t="str">
        <f t="shared" si="31"/>
        <v/>
      </c>
      <c r="R215" s="33" t="str">
        <f t="shared" si="32"/>
        <v/>
      </c>
      <c r="S215" s="33" t="str">
        <f t="shared" si="33"/>
        <v/>
      </c>
      <c r="T215" s="33" t="str">
        <f t="shared" si="34"/>
        <v/>
      </c>
      <c r="U215" s="33" t="str">
        <f t="shared" si="35"/>
        <v/>
      </c>
      <c r="V215" s="33" t="str">
        <f t="shared" si="36"/>
        <v/>
      </c>
    </row>
    <row r="216" spans="1:22" x14ac:dyDescent="0.25">
      <c r="A216" s="19"/>
      <c r="B216" t="s">
        <v>377</v>
      </c>
      <c r="C216" s="19" t="e" cm="1">
        <f t="array" ref="C216">_xlfn.TEXTSPLIT(A216,",")</f>
        <v>#VALUE!</v>
      </c>
      <c r="D216" s="19"/>
      <c r="E216" s="19"/>
      <c r="F216" s="36" t="e" cm="1" vm="1">
        <f t="array" ref="F216">_xlfn.TEXTJOIN(",",TRUE,_xlfn._xlws.FILTER(CLASSIFICATION[Keyword], ($E216=CLASSIFICATION[Keyword Aggr])*($D216=CLASSIFICATION[Functional Scope Aggr])))</f>
        <v>#VALUE!</v>
      </c>
      <c r="G216" s="32" t="e">
        <f t="shared" si="30"/>
        <v>#VALUE!</v>
      </c>
      <c r="H216" s="32" t="str">
        <f t="shared" si="30"/>
        <v/>
      </c>
      <c r="I216" s="32">
        <f t="shared" si="37"/>
        <v>0</v>
      </c>
      <c r="J216" s="33" t="str" cm="1">
        <f t="array" aca="1" ref="J216" ca="1">_xlfn.LET(
_xlpm._platform_range, INDIRECT("'Platform review'!$C"&amp;_xlfn.XMATCH(J$2,'Platform review'!$A$1:$A$127)&amp;":$E"&amp;_xlfn.XMATCH(J$2,'Platform review'!$A$1:$A$127)+19),
_xlpm._original_keywords, _xlfn._xlws.FILTER(CLASSIFICATION[[Keyword]:[Keyword]], ($E216=CLASSIFICATION[[Keyword Aggr]:[Keyword Aggr]])*($D216=CLASSIFICATION[[Functional Scope Aggr]:[Functional Scope Aggr]])),
_xlpm._platform_keywords, _xlfn.TEXTSPLIT(SUBSTITUTE(SUBSTITUTE(VLOOKUP($D216,_xlpm._platform_range,3,FALSE),"+"&amp;CHAR(34),"+"),CHAR(34),""),", "),
_xlpm._exists, SUMPRODUCT(--ISNUMBER(MATCH(_xlpm._platform_keywords,_xlpm._original_keywords,0)))&gt;0,
_xlfn.IFS(AND(_xlpm._exists,LEFT($E216,1)="+"),"+",_xlpm._exists,"*",NOT(_xlpm._exists),"")
)</f>
        <v/>
      </c>
      <c r="K216" s="33" t="str" cm="1">
        <f t="array" aca="1" ref="K216" ca="1">_xlfn.LET(
_xlpm._platform_range, INDIRECT("'Platform review'!$C"&amp;_xlfn.XMATCH(K$2,'Platform review'!$A$1:$A$127)&amp;":$E"&amp;_xlfn.XMATCH(K$2,'Platform review'!$A$1:$A$127)+19),
_xlpm._original_keywords, _xlfn._xlws.FILTER(CLASSIFICATION[[Keyword]:[Keyword]], ($E216=CLASSIFICATION[[Keyword Aggr]:[Keyword Aggr]])*($D216=CLASSIFICATION[[Functional Scope Aggr]:[Functional Scope Aggr]])),
_xlpm._platform_keywords, _xlfn.TEXTSPLIT(SUBSTITUTE(SUBSTITUTE(VLOOKUP($D216,_xlpm._platform_range,3,FALSE),"+"&amp;CHAR(34),"+"),CHAR(34),""),", "),
_xlpm._exists, SUMPRODUCT(--ISNUMBER(MATCH(_xlpm._platform_keywords,_xlpm._original_keywords,0)))&gt;0,
_xlfn.IFS(AND(_xlpm._exists,LEFT($E216,1)="+"),"+",_xlpm._exists,"*",NOT(_xlpm._exists),"")
)</f>
        <v/>
      </c>
      <c r="L216" s="33" t="str" cm="1">
        <f t="array" aca="1" ref="L216" ca="1">_xlfn.LET(
_xlpm._platform_range, INDIRECT("'Platform review'!$C"&amp;_xlfn.XMATCH(L$2,'Platform review'!$A$1:$A$127)&amp;":$E"&amp;_xlfn.XMATCH(L$2,'Platform review'!$A$1:$A$127)+19),
_xlpm._original_keywords, _xlfn._xlws.FILTER(CLASSIFICATION[[Keyword]:[Keyword]], ($E216=CLASSIFICATION[[Keyword Aggr]:[Keyword Aggr]])*($D216=CLASSIFICATION[[Functional Scope Aggr]:[Functional Scope Aggr]])),
_xlpm._platform_keywords, _xlfn.TEXTSPLIT(SUBSTITUTE(SUBSTITUTE(VLOOKUP($D216,_xlpm._platform_range,3,FALSE),"+"&amp;CHAR(34),"+"),CHAR(34),""),", "),
_xlpm._exists, SUMPRODUCT(--ISNUMBER(MATCH(_xlpm._platform_keywords,_xlpm._original_keywords,0)))&gt;0,
_xlfn.IFS(AND(_xlpm._exists,LEFT($E216,1)="+"),"+",_xlpm._exists,"*",NOT(_xlpm._exists),"")
)</f>
        <v/>
      </c>
      <c r="M216" s="33" t="str" cm="1">
        <f t="array" aca="1" ref="M216" ca="1">_xlfn.LET(
_xlpm._platform_range, INDIRECT("'Platform review'!$C"&amp;_xlfn.XMATCH(M$2,'Platform review'!$A$1:$A$127)&amp;":$E"&amp;_xlfn.XMATCH(M$2,'Platform review'!$A$1:$A$127)+19),
_xlpm._original_keywords, _xlfn._xlws.FILTER(CLASSIFICATION[[Keyword]:[Keyword]], ($E216=CLASSIFICATION[[Keyword Aggr]:[Keyword Aggr]])*($D216=CLASSIFICATION[[Functional Scope Aggr]:[Functional Scope Aggr]])),
_xlpm._platform_keywords, _xlfn.TEXTSPLIT(SUBSTITUTE(SUBSTITUTE(VLOOKUP($D216,_xlpm._platform_range,3,FALSE),"+"&amp;CHAR(34),"+"),CHAR(34),""),", "),
_xlpm._exists, SUMPRODUCT(--ISNUMBER(MATCH(_xlpm._platform_keywords,_xlpm._original_keywords,0)))&gt;0,
_xlfn.IFS(AND(_xlpm._exists,LEFT($E216,1)="+"),"+",_xlpm._exists,"*",NOT(_xlpm._exists),"")
)</f>
        <v/>
      </c>
      <c r="N216" s="33" t="str" cm="1">
        <f t="array" aca="1" ref="N216" ca="1">_xlfn.LET(
_xlpm._platform_range, INDIRECT("'Platform review'!$C"&amp;_xlfn.XMATCH(N$2,'Platform review'!$A$1:$A$127)&amp;":$E"&amp;_xlfn.XMATCH(N$2,'Platform review'!$A$1:$A$127)+19),
_xlpm._original_keywords, _xlfn._xlws.FILTER(CLASSIFICATION[[Keyword]:[Keyword]], ($E216=CLASSIFICATION[[Keyword Aggr]:[Keyword Aggr]])*($D216=CLASSIFICATION[[Functional Scope Aggr]:[Functional Scope Aggr]])),
_xlpm._platform_keywords, _xlfn.TEXTSPLIT(SUBSTITUTE(SUBSTITUTE(VLOOKUP($D216,_xlpm._platform_range,3,FALSE),"+"&amp;CHAR(34),"+"),CHAR(34),""),", "),
_xlpm._exists, SUMPRODUCT(--ISNUMBER(MATCH(_xlpm._platform_keywords,_xlpm._original_keywords,0)))&gt;0,
_xlfn.IFS(AND(_xlpm._exists,LEFT($E216,1)="+"),"+",_xlpm._exists,"*",NOT(_xlpm._exists),"")
)</f>
        <v/>
      </c>
      <c r="O216" s="33" t="str" cm="1">
        <f t="array" aca="1" ref="O216" ca="1">_xlfn.LET(
_xlpm._platform_range, INDIRECT("'Platform review'!$C"&amp;_xlfn.XMATCH(O$2,'Platform review'!$A$1:$A$127)&amp;":$E"&amp;_xlfn.XMATCH(O$2,'Platform review'!$A$1:$A$127)+19),
_xlpm._original_keywords, _xlfn._xlws.FILTER(CLASSIFICATION[[Keyword]:[Keyword]], ($E216=CLASSIFICATION[[Keyword Aggr]:[Keyword Aggr]])*($D216=CLASSIFICATION[[Functional Scope Aggr]:[Functional Scope Aggr]])),
_xlpm._platform_keywords, _xlfn.TEXTSPLIT(SUBSTITUTE(SUBSTITUTE(VLOOKUP($D216,_xlpm._platform_range,3,FALSE),"+"&amp;CHAR(34),"+"),CHAR(34),""),", "),
_xlpm._exists, SUMPRODUCT(--ISNUMBER(MATCH(_xlpm._platform_keywords,_xlpm._original_keywords,0)))&gt;0,
_xlfn.IFS(AND(_xlpm._exists,LEFT($E216,1)="+"),"+",_xlpm._exists,"*",NOT(_xlpm._exists),"")
)</f>
        <v/>
      </c>
      <c r="Q216" s="33" t="str">
        <f t="shared" si="31"/>
        <v/>
      </c>
      <c r="R216" s="33" t="str">
        <f t="shared" si="32"/>
        <v/>
      </c>
      <c r="S216" s="33" t="str">
        <f t="shared" si="33"/>
        <v/>
      </c>
      <c r="T216" s="33" t="str">
        <f t="shared" si="34"/>
        <v/>
      </c>
      <c r="U216" s="33" t="str">
        <f t="shared" si="35"/>
        <v/>
      </c>
      <c r="V216" s="33" t="str">
        <f t="shared" si="36"/>
        <v/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9C5A8-DCFB-4385-BB56-6ACDE7CB6B16}">
  <dimension ref="A1:G23"/>
  <sheetViews>
    <sheetView workbookViewId="0">
      <selection activeCell="D15" sqref="D15"/>
    </sheetView>
  </sheetViews>
  <sheetFormatPr defaultColWidth="8.875" defaultRowHeight="15.75" x14ac:dyDescent="0.25"/>
  <cols>
    <col min="1" max="1" width="29.625" bestFit="1" customWidth="1"/>
  </cols>
  <sheetData>
    <row r="1" spans="1:7" x14ac:dyDescent="0.25">
      <c r="B1" t="s">
        <v>1</v>
      </c>
      <c r="C1" t="s">
        <v>41</v>
      </c>
      <c r="D1" t="s">
        <v>62</v>
      </c>
      <c r="E1" t="s">
        <v>79</v>
      </c>
      <c r="F1" t="s">
        <v>101</v>
      </c>
      <c r="G1" t="s">
        <v>2</v>
      </c>
    </row>
    <row r="2" spans="1:7" x14ac:dyDescent="0.25">
      <c r="A2" s="4" t="s">
        <v>444</v>
      </c>
    </row>
    <row r="3" spans="1:7" x14ac:dyDescent="0.25">
      <c r="A3" t="s">
        <v>38</v>
      </c>
      <c r="B3">
        <v>0</v>
      </c>
      <c r="C3">
        <v>1</v>
      </c>
      <c r="D3">
        <v>1</v>
      </c>
      <c r="E3">
        <v>1</v>
      </c>
      <c r="F3">
        <v>1</v>
      </c>
      <c r="G3">
        <v>0</v>
      </c>
    </row>
    <row r="4" spans="1:7" x14ac:dyDescent="0.25">
      <c r="A4" t="s">
        <v>39</v>
      </c>
      <c r="B4">
        <v>3</v>
      </c>
      <c r="C4">
        <v>3</v>
      </c>
      <c r="D4">
        <v>2</v>
      </c>
      <c r="E4">
        <v>2</v>
      </c>
      <c r="F4">
        <v>2</v>
      </c>
      <c r="G4">
        <v>1</v>
      </c>
    </row>
    <row r="5" spans="1:7" x14ac:dyDescent="0.25">
      <c r="A5" t="s">
        <v>40</v>
      </c>
      <c r="B5">
        <v>2</v>
      </c>
      <c r="C5">
        <v>1</v>
      </c>
      <c r="D5">
        <v>1</v>
      </c>
      <c r="E5">
        <v>1</v>
      </c>
      <c r="F5">
        <v>0</v>
      </c>
      <c r="G5">
        <v>1</v>
      </c>
    </row>
    <row r="6" spans="1:7" x14ac:dyDescent="0.25">
      <c r="A6" t="s">
        <v>37</v>
      </c>
      <c r="B6">
        <v>1</v>
      </c>
      <c r="C6">
        <v>0</v>
      </c>
      <c r="D6">
        <v>1</v>
      </c>
      <c r="E6">
        <v>0</v>
      </c>
      <c r="F6">
        <v>0</v>
      </c>
      <c r="G6">
        <v>1</v>
      </c>
    </row>
    <row r="7" spans="1:7" x14ac:dyDescent="0.25">
      <c r="A7" t="s">
        <v>36</v>
      </c>
      <c r="B7">
        <v>3</v>
      </c>
      <c r="C7">
        <v>1</v>
      </c>
      <c r="D7">
        <v>2</v>
      </c>
      <c r="E7">
        <v>1</v>
      </c>
      <c r="F7">
        <v>2</v>
      </c>
      <c r="G7">
        <v>3</v>
      </c>
    </row>
    <row r="8" spans="1:7" x14ac:dyDescent="0.25">
      <c r="A8" s="4" t="s">
        <v>445</v>
      </c>
    </row>
    <row r="9" spans="1:7" x14ac:dyDescent="0.25">
      <c r="A9" t="s">
        <v>400</v>
      </c>
      <c r="B9">
        <v>1</v>
      </c>
      <c r="C9">
        <v>1</v>
      </c>
      <c r="D9">
        <v>1</v>
      </c>
      <c r="E9">
        <v>1</v>
      </c>
      <c r="F9">
        <v>3</v>
      </c>
      <c r="G9">
        <v>0</v>
      </c>
    </row>
    <row r="10" spans="1:7" x14ac:dyDescent="0.25">
      <c r="A10" t="s">
        <v>32</v>
      </c>
      <c r="B10">
        <v>2</v>
      </c>
      <c r="C10">
        <v>2</v>
      </c>
      <c r="D10">
        <v>1</v>
      </c>
      <c r="E10">
        <v>4</v>
      </c>
      <c r="F10">
        <v>3</v>
      </c>
      <c r="G10">
        <v>1</v>
      </c>
    </row>
    <row r="11" spans="1:7" x14ac:dyDescent="0.25">
      <c r="A11" t="s">
        <v>45</v>
      </c>
      <c r="B11">
        <v>0</v>
      </c>
      <c r="C11">
        <v>1</v>
      </c>
      <c r="D11">
        <v>2</v>
      </c>
      <c r="E11">
        <v>5</v>
      </c>
      <c r="F11">
        <v>2</v>
      </c>
      <c r="G11">
        <v>0</v>
      </c>
    </row>
    <row r="12" spans="1:7" x14ac:dyDescent="0.25">
      <c r="A12" t="s">
        <v>33</v>
      </c>
      <c r="B12">
        <v>2</v>
      </c>
      <c r="C12">
        <v>4</v>
      </c>
      <c r="D12">
        <v>4</v>
      </c>
      <c r="E12">
        <v>3</v>
      </c>
      <c r="F12">
        <v>0</v>
      </c>
      <c r="G12">
        <v>1</v>
      </c>
    </row>
    <row r="13" spans="1:7" x14ac:dyDescent="0.25">
      <c r="A13" t="s">
        <v>34</v>
      </c>
      <c r="B13">
        <v>1</v>
      </c>
      <c r="C13">
        <v>0</v>
      </c>
      <c r="D13">
        <v>1</v>
      </c>
      <c r="E13">
        <v>0</v>
      </c>
      <c r="F13">
        <v>0</v>
      </c>
      <c r="G13">
        <v>1</v>
      </c>
    </row>
    <row r="14" spans="1:7" x14ac:dyDescent="0.25">
      <c r="A14" t="s">
        <v>35</v>
      </c>
      <c r="B14">
        <v>3</v>
      </c>
      <c r="C14">
        <v>2</v>
      </c>
      <c r="D14">
        <v>2</v>
      </c>
      <c r="E14">
        <v>3</v>
      </c>
      <c r="F14">
        <v>0</v>
      </c>
      <c r="G14">
        <v>2</v>
      </c>
    </row>
    <row r="15" spans="1:7" x14ac:dyDescent="0.25">
      <c r="A15" t="s">
        <v>16</v>
      </c>
      <c r="B15">
        <v>3</v>
      </c>
      <c r="C15">
        <v>1</v>
      </c>
      <c r="D15">
        <v>5</v>
      </c>
      <c r="E15">
        <v>6</v>
      </c>
      <c r="F15">
        <v>6</v>
      </c>
      <c r="G15">
        <v>3</v>
      </c>
    </row>
    <row r="16" spans="1:7" x14ac:dyDescent="0.25">
      <c r="A16" s="4" t="s">
        <v>446</v>
      </c>
      <c r="B16" s="4">
        <f t="shared" ref="B16:G16" si="0">SUM(B3:B15)</f>
        <v>21</v>
      </c>
      <c r="C16" s="4">
        <f t="shared" si="0"/>
        <v>17</v>
      </c>
      <c r="D16" s="4">
        <f t="shared" si="0"/>
        <v>23</v>
      </c>
      <c r="E16" s="4">
        <f t="shared" si="0"/>
        <v>27</v>
      </c>
      <c r="F16" s="4">
        <f t="shared" si="0"/>
        <v>19</v>
      </c>
      <c r="G16" s="4">
        <f t="shared" si="0"/>
        <v>14</v>
      </c>
    </row>
    <row r="18" spans="1:7" x14ac:dyDescent="0.25">
      <c r="A18" t="s">
        <v>23</v>
      </c>
      <c r="B18">
        <v>9</v>
      </c>
      <c r="C18">
        <v>1</v>
      </c>
      <c r="D18">
        <v>2</v>
      </c>
      <c r="E18">
        <v>0</v>
      </c>
      <c r="F18">
        <v>0</v>
      </c>
      <c r="G18">
        <v>0</v>
      </c>
    </row>
    <row r="19" spans="1:7" x14ac:dyDescent="0.25">
      <c r="A19" t="s">
        <v>22</v>
      </c>
      <c r="B19">
        <v>2</v>
      </c>
      <c r="C19">
        <v>2</v>
      </c>
      <c r="D19">
        <v>1</v>
      </c>
      <c r="E19">
        <v>1</v>
      </c>
      <c r="F19">
        <v>2</v>
      </c>
      <c r="G19">
        <v>1</v>
      </c>
    </row>
    <row r="20" spans="1:7" x14ac:dyDescent="0.25">
      <c r="A20" t="s">
        <v>21</v>
      </c>
      <c r="B20">
        <v>2</v>
      </c>
      <c r="C20">
        <v>1</v>
      </c>
      <c r="D20">
        <v>0</v>
      </c>
      <c r="E20">
        <v>1</v>
      </c>
      <c r="F20">
        <v>0</v>
      </c>
      <c r="G20">
        <v>0</v>
      </c>
    </row>
    <row r="21" spans="1:7" x14ac:dyDescent="0.25">
      <c r="A21" t="s">
        <v>24</v>
      </c>
      <c r="B21">
        <v>3</v>
      </c>
      <c r="C21">
        <v>4</v>
      </c>
      <c r="D21">
        <v>4</v>
      </c>
      <c r="E21">
        <v>0</v>
      </c>
      <c r="F21">
        <v>0</v>
      </c>
      <c r="G21">
        <v>0</v>
      </c>
    </row>
    <row r="22" spans="1:7" x14ac:dyDescent="0.25">
      <c r="A22" t="s">
        <v>14</v>
      </c>
      <c r="B22">
        <v>2</v>
      </c>
      <c r="C22">
        <v>1</v>
      </c>
      <c r="D22">
        <v>1</v>
      </c>
      <c r="E22">
        <v>2</v>
      </c>
      <c r="F22">
        <v>1</v>
      </c>
      <c r="G22">
        <v>1</v>
      </c>
    </row>
    <row r="23" spans="1:7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ADF05-D7D1-4028-9F02-F71F0B67AFDC}">
  <dimension ref="A1:C143"/>
  <sheetViews>
    <sheetView workbookViewId="0"/>
  </sheetViews>
  <sheetFormatPr defaultColWidth="8.875" defaultRowHeight="15.75" x14ac:dyDescent="0.25"/>
  <cols>
    <col min="1" max="1" width="84" customWidth="1"/>
  </cols>
  <sheetData>
    <row r="1" spans="1:3" ht="31.5" customHeight="1" x14ac:dyDescent="0.25">
      <c r="A1" s="1" t="str">
        <f>'LaTeX TAB DEF'!B13</f>
        <v>\begin{adjustwidth}{-\extralength}{-2cm}
\begin{longtblr}[
	theme = shortcaption,
	caption = {IT skills (*) and non-IT skills (+) necessary to build applications in individual LCDP platforms, divided into Project stage and Functional scope},
	entry = {IT and non-IT skills in LCDPs},
	label = {tab:lcdp_skills},
	note{1} = {* Source: own elaboration.},
]</v>
      </c>
    </row>
    <row r="2" spans="1:3" ht="31.5" customHeight="1" x14ac:dyDescent="0.25">
      <c r="A2" s="1" t="str">
        <f>'LaTeX TAB DEF'!B14</f>
        <v>{
	hlines, %vlines,
	colspec = {p{3cm} &gt;{\raggedright}p{3cm} l *{6}{c}}
	,cell{  2}{1} = {r= 56,c=1}{l,h} % Requirements documentation
	,cell{ 58}{1} = {r=104,c=1}{l,h} % Design and Development
	,cell{162}{1} = {r= 53,c=1}{l,h} % Implementation
	,cell{  2}{2} = {r= 2}{l,h} % Workflow model
	,cell{  4}{2} = {r=17}{l,h} % Database model
	,cell{ 21}{2} = {r=12}{l,h} % UI model
	,cell{ 33}{2} = {r= 7}{l,h} % Validations
	,cell{ 40}{2} = {r=18}{l,h} % Application logic
	,cell{ 58}{2} = {r= 8}{l,h} % Workflow design and development
	,cell{ 66}{2} = {r=14}{l,h} % Database design
	,cell{ 80}{2} = {r=16}{l,h} % Fetching data
	,cell{ 96}{2} = {r=20}{l,h} % GUI design and development
	,cell{116}{2} = {r= 6}{l,h} % Data validation development
	,cell{122}{2} = {r=11}{l,h} % Actions design and development
	,cell{133}{2} = {r=29}{l,h} % Programming
	,cell{162}{2} = {r=24}{l,h} % Runtime server installation
	,cell{186}{2} = {r= 4}{l,h} % Database installation
	,cell{190}{2} = {r= 8}{l,h} % Client module installation
	,cell{198}{2} = {r=14}{l,h} % Deployment
	,cell{212}{2} = {r= 3}{l,h} % Version control
}</v>
      </c>
    </row>
    <row r="3" spans="1:3" x14ac:dyDescent="0.25">
      <c r="A3" t="s">
        <v>433</v>
      </c>
      <c r="C3" t="str" cm="1">
        <f t="array" aca="1" ref="C3" ca="1">_xlfn.TEXTJOIN(" &amp; ",FALSE,
IF(MID('LaTeX TAB DEF'!$B$11,COLUMN(TABELA_UNIQUE!$G1:$O1)-COLUMN(INDIRECT('LaTeX TAB DEF'!$B$2))+1,1)="V",
"\rotatebox[origin=c]{90}{"&amp;TABELA_UNIQUE!$G1:$O1&amp;"}",
TABELA_UNIQUE!$G1:$O1)
)&amp;" \\ \midrule"</f>
        <v>Project stage &amp; Project tasks &amp; \rotatebox[origin=c]{90}{Keywords} &amp; \rotatebox[origin=c]{90}{Mendix} &amp; \rotatebox[origin=c]{90}{Outsystems} &amp; \rotatebox[origin=c]{90}{Zoho Creator} &amp; \rotatebox[origin=c]{90}{MS Power App} &amp; \rotatebox[origin=c]{90}{Google AppSheet} &amp; Aurea \\ \midrule</v>
      </c>
    </row>
    <row r="4" spans="1:3" x14ac:dyDescent="0.25">
      <c r="A4" t="str">
        <f ca="1">_xlfn.TEXTJOIN(" &amp; ",FALSE,TABELA_UNIQUE_IMPORTANT!G3:O3)&amp;" \\"</f>
        <v xml:space="preserve"> &amp;  &amp;  &amp;  &amp;  &amp;  &amp;  &amp;  &amp;  \\</v>
      </c>
      <c r="B4" t="str" cm="1">
        <f t="array" aca="1" ref="B4" ca="1">_xlfn.LET(_xlpm.columns_orientation, 'LaTeX TAB DEF'!$B$9,
           _xlpm.table_range_begin, 'LaTeX TAB DEF'!$B$2,
      _xlfn.TEXTJOIN(" &amp; ",FALSE,
            IF(MID(_xlpm.columns_orientation,COLUMN(TABELA_UNIQUE!$G2:$O2)-COLUMN(INDIRECT(_xlpm.table_range_begin))+1,1)="V",
            IF(TABELA_UNIQUE!$G2:$O2="","","\multirow[m]{9}{*}{\rotatebox[origin=c]{90}{"&amp;TABELA_UNIQUE!$G2:$O2&amp;"}}"),
            TABELA_UNIQUE!$G2:$O2),
      )&amp;" \\"
)</f>
        <v>Design &amp; Workflow model &amp; +BPMN Process Model &amp; + &amp;  &amp;  &amp;  &amp;  &amp; + &amp;  \\</v>
      </c>
    </row>
    <row r="5" spans="1:3" x14ac:dyDescent="0.25">
      <c r="A5" t="str">
        <f ca="1">_xlfn.TEXTJOIN(" &amp; ",FALSE,TABELA_UNIQUE_IMPORTANT!G4:O4)&amp;" \\"</f>
        <v>Design &amp; Database model &amp; Entity Diagrams &amp; * &amp; * &amp; * &amp; * &amp; * &amp;  \\</v>
      </c>
    </row>
    <row r="6" spans="1:3" x14ac:dyDescent="0.25">
      <c r="A6" t="str">
        <f ca="1">_xlfn.TEXTJOIN(" &amp; ",FALSE,TABELA_UNIQUE_IMPORTANT!G5:O5)&amp;" \\"</f>
        <v xml:space="preserve"> &amp;  &amp; Relational Database &amp; * &amp; * &amp; * &amp; * &amp;  &amp;  \\</v>
      </c>
    </row>
    <row r="7" spans="1:3" x14ac:dyDescent="0.25">
      <c r="A7" t="str">
        <f ca="1">_xlfn.TEXTJOIN(" &amp; ",FALSE,TABELA_UNIQUE_IMPORTANT!G6:O6)&amp;" \\"</f>
        <v xml:space="preserve"> &amp;  &amp; XML/XPath &amp; * &amp;  &amp;  &amp;  &amp;  &amp; * \\</v>
      </c>
    </row>
    <row r="8" spans="1:3" x14ac:dyDescent="0.25">
      <c r="A8" t="str">
        <f ca="1">_xlfn.TEXTJOIN(" &amp; ",FALSE,TABELA_UNIQUE_IMPORTANT!G7:O7)&amp;" \\"</f>
        <v xml:space="preserve"> &amp; UI model &amp; IT Data Types &amp; * &amp;  &amp;  &amp;  &amp;  &amp;  \\</v>
      </c>
    </row>
    <row r="9" spans="1:3" x14ac:dyDescent="0.25">
      <c r="A9" t="str">
        <f ca="1">_xlfn.TEXTJOIN(" &amp; ",FALSE,TABELA_UNIQUE_IMPORTANT!G8:O8)&amp;" \\"</f>
        <v xml:space="preserve"> &amp;  &amp; Responsive Web Design &amp; * &amp;  &amp;  &amp; * &amp;  &amp;  \\</v>
      </c>
    </row>
    <row r="10" spans="1:3" x14ac:dyDescent="0.25">
      <c r="A10" t="str">
        <f ca="1">_xlfn.TEXTJOIN(" &amp; ",FALSE,TABELA_UNIQUE_IMPORTANT!G9:O9)&amp;" \\"</f>
        <v xml:space="preserve"> &amp;  &amp; Variables &amp;  &amp; * &amp; * &amp;  &amp;  &amp; * \\</v>
      </c>
    </row>
    <row r="11" spans="1:3" x14ac:dyDescent="0.25">
      <c r="A11" t="str">
        <f ca="1">_xlfn.TEXTJOIN(" &amp; ",FALSE,TABELA_UNIQUE_IMPORTANT!G10:O10)&amp;" \\"</f>
        <v xml:space="preserve"> &amp; Validations &amp; JavaScript &amp; * &amp;  &amp;  &amp;  &amp;  &amp;  \\</v>
      </c>
    </row>
    <row r="12" spans="1:3" x14ac:dyDescent="0.25">
      <c r="A12" t="str">
        <f ca="1">_xlfn.TEXTJOIN(" &amp; ",FALSE,TABELA_UNIQUE_IMPORTANT!G11:O11)&amp;" \\"</f>
        <v xml:space="preserve"> &amp;  &amp; Scripts &amp;  &amp;  &amp; * &amp;  &amp;  &amp; * \\</v>
      </c>
    </row>
    <row r="13" spans="1:3" x14ac:dyDescent="0.25">
      <c r="A13" t="str">
        <f ca="1">_xlfn.TEXTJOIN(" &amp; ",FALSE,TABELA_UNIQUE_IMPORTANT!G12:O12)&amp;" \\"</f>
        <v xml:space="preserve"> &amp; Application logic &amp; Events &amp;  &amp;  &amp;  &amp;  &amp; * &amp; * \\</v>
      </c>
    </row>
    <row r="14" spans="1:3" x14ac:dyDescent="0.25">
      <c r="A14" t="str">
        <f ca="1">_xlfn.TEXTJOIN(" &amp; ",FALSE,TABELA_UNIQUE_IMPORTANT!G13:O13)&amp;" \\"</f>
        <v xml:space="preserve"> &amp;  &amp; Microservices &amp;  &amp;  &amp; * &amp;  &amp;  &amp;  \\</v>
      </c>
    </row>
    <row r="15" spans="1:3" x14ac:dyDescent="0.25">
      <c r="A15" t="str">
        <f ca="1">_xlfn.TEXTJOIN(" &amp; ",FALSE,TABELA_UNIQUE_IMPORTANT!G14:O14)&amp;" \\"</f>
        <v xml:space="preserve"> &amp;  &amp; UML &amp; * &amp;  &amp;  &amp;  &amp;  &amp;  \\</v>
      </c>
    </row>
    <row r="16" spans="1:3" x14ac:dyDescent="0.25">
      <c r="A16" t="str">
        <f ca="1">_xlfn.TEXTJOIN(" &amp; ",FALSE,TABELA_UNIQUE_IMPORTANT!G15:O15)&amp;" \\"</f>
        <v xml:space="preserve"> &amp;  &amp; SQL &amp; * &amp;  &amp;  &amp;  &amp;  &amp; * \\</v>
      </c>
    </row>
    <row r="17" spans="1:1" x14ac:dyDescent="0.25">
      <c r="A17" t="str">
        <f ca="1">_xlfn.TEXTJOIN(" &amp; ",FALSE,TABELA_UNIQUE_IMPORTANT!G16:O16)&amp;" \\"</f>
        <v xml:space="preserve"> &amp;  &amp; Variables &amp; * &amp; * &amp; * &amp; * &amp; * &amp; * \\</v>
      </c>
    </row>
    <row r="18" spans="1:1" x14ac:dyDescent="0.25">
      <c r="A18" t="str">
        <f ca="1">_xlfn.TEXTJOIN(" &amp; ",FALSE,TABELA_UNIQUE_IMPORTANT!G17:O17)&amp;" \\"</f>
        <v>Development &amp; Workflow design and development &amp; Custom Process Model &amp;  &amp; * &amp; * &amp; * &amp; * &amp;  \\</v>
      </c>
    </row>
    <row r="19" spans="1:1" x14ac:dyDescent="0.25">
      <c r="A19" t="str">
        <f ca="1">_xlfn.TEXTJOIN(" &amp; ",FALSE,TABELA_UNIQUE_IMPORTANT!G18:O18)&amp;" \\"</f>
        <v xml:space="preserve"> &amp;  &amp; Java API &amp; * &amp;  &amp;  &amp;  &amp;  &amp;  \\</v>
      </c>
    </row>
    <row r="20" spans="1:1" x14ac:dyDescent="0.25">
      <c r="A20" t="str">
        <f ca="1">_xlfn.TEXTJOIN(" &amp; ",FALSE,TABELA_UNIQUE_IMPORTANT!G19:O19)&amp;" \\"</f>
        <v xml:space="preserve"> &amp;  &amp; JavaScript &amp;  &amp;  &amp;  &amp;  &amp; * &amp;  \\</v>
      </c>
    </row>
    <row r="21" spans="1:1" x14ac:dyDescent="0.25">
      <c r="A21" t="str">
        <f ca="1">_xlfn.TEXTJOIN(" &amp; ",FALSE,TABELA_UNIQUE_IMPORTANT!G20:O20)&amp;" \\"</f>
        <v xml:space="preserve"> &amp;  &amp; REST API &amp;  &amp;  &amp;  &amp;  &amp; * &amp;  \\</v>
      </c>
    </row>
    <row r="22" spans="1:1" x14ac:dyDescent="0.25">
      <c r="A22" t="str">
        <f ca="1">_xlfn.TEXTJOIN(" &amp; ",FALSE,TABELA_UNIQUE_IMPORTANT!G21:O21)&amp;" \\"</f>
        <v xml:space="preserve"> &amp; Database design &amp; Relational Database &amp; * &amp; * &amp; * &amp; * &amp; * &amp;  \\</v>
      </c>
    </row>
    <row r="23" spans="1:1" x14ac:dyDescent="0.25">
      <c r="A23" t="str">
        <f ca="1">_xlfn.TEXTJOIN(" &amp; ",FALSE,TABELA_UNIQUE_IMPORTANT!G22:O22)&amp;" \\"</f>
        <v xml:space="preserve"> &amp;  &amp; Functions &amp;  &amp;  &amp;  &amp; * &amp; * &amp;  \\</v>
      </c>
    </row>
    <row r="24" spans="1:1" x14ac:dyDescent="0.25">
      <c r="A24" t="str">
        <f ca="1">_xlfn.TEXTJOIN(" &amp; ",FALSE,TABELA_UNIQUE_IMPORTANT!G23:O23)&amp;" \\"</f>
        <v xml:space="preserve"> &amp;  &amp; SQL &amp; * &amp; * &amp;  &amp;  &amp;  &amp;  \\</v>
      </c>
    </row>
    <row r="25" spans="1:1" x14ac:dyDescent="0.25">
      <c r="A25" t="str">
        <f ca="1">_xlfn.TEXTJOIN(" &amp; ",FALSE,TABELA_UNIQUE_IMPORTANT!G24:O24)&amp;" \\"</f>
        <v xml:space="preserve"> &amp;  &amp; IT Data Types &amp;  &amp;  &amp;  &amp; * &amp; * &amp; * \\</v>
      </c>
    </row>
    <row r="26" spans="1:1" x14ac:dyDescent="0.25">
      <c r="A26" t="str">
        <f ca="1">_xlfn.TEXTJOIN(" &amp; ",FALSE,TABELA_UNIQUE_IMPORTANT!G25:O25)&amp;" \\"</f>
        <v xml:space="preserve"> &amp;  &amp; Web API &amp;  &amp;  &amp;  &amp; * &amp;  &amp;  \\</v>
      </c>
    </row>
    <row r="27" spans="1:1" x14ac:dyDescent="0.25">
      <c r="A27" t="str">
        <f ca="1">_xlfn.TEXTJOIN(" &amp; ",FALSE,TABELA_UNIQUE_IMPORTANT!G26:O26)&amp;" \\"</f>
        <v xml:space="preserve"> &amp; Fetching data &amp; .NET &amp;  &amp;  &amp;  &amp; * &amp;  &amp;  \\</v>
      </c>
    </row>
    <row r="28" spans="1:1" x14ac:dyDescent="0.25">
      <c r="A28" t="str">
        <f ca="1">_xlfn.TEXTJOIN(" &amp; ",FALSE,TABELA_UNIQUE_IMPORTANT!G27:O27)&amp;" \\"</f>
        <v xml:space="preserve"> &amp;  &amp; Custom Query Language &amp;  &amp;  &amp;  &amp; * &amp;  &amp;  \\</v>
      </c>
    </row>
    <row r="29" spans="1:1" x14ac:dyDescent="0.25">
      <c r="A29" t="str">
        <f ca="1">_xlfn.TEXTJOIN(" &amp; ",FALSE,TABELA_UNIQUE_IMPORTANT!G28:O28)&amp;" \\"</f>
        <v xml:space="preserve"> &amp;  &amp; OAuth &amp;  &amp;  &amp; * &amp;  &amp;  &amp;  \\</v>
      </c>
    </row>
    <row r="30" spans="1:1" x14ac:dyDescent="0.25">
      <c r="A30" t="str">
        <f ca="1">_xlfn.TEXTJOIN(" &amp; ",FALSE,TABELA_UNIQUE_IMPORTANT!G29:O29)&amp;" \\"</f>
        <v xml:space="preserve"> &amp;  &amp; REST API &amp;  &amp;  &amp; * &amp;  &amp;  &amp;  \\</v>
      </c>
    </row>
    <row r="31" spans="1:1" x14ac:dyDescent="0.25">
      <c r="A31" t="str">
        <f ca="1">_xlfn.TEXTJOIN(" &amp; ",FALSE,TABELA_UNIQUE_IMPORTANT!G30:O30)&amp;" \\"</f>
        <v xml:space="preserve"> &amp;  &amp; SDK &amp;  &amp;  &amp;  &amp; * &amp;  &amp;  \\</v>
      </c>
    </row>
    <row r="32" spans="1:1" x14ac:dyDescent="0.25">
      <c r="A32" t="str">
        <f ca="1">_xlfn.TEXTJOIN(" &amp; ",FALSE,TABELA_UNIQUE_IMPORTANT!G31:O31)&amp;" \\"</f>
        <v xml:space="preserve"> &amp;  &amp; SQL &amp;  &amp; * &amp;  &amp; * &amp; * &amp;  \\</v>
      </c>
    </row>
    <row r="33" spans="1:1" x14ac:dyDescent="0.25">
      <c r="A33" t="str">
        <f ca="1">_xlfn.TEXTJOIN(" &amp; ",FALSE,TABELA_UNIQUE_IMPORTANT!G32:O32)&amp;" \\"</f>
        <v xml:space="preserve"> &amp;  &amp; Web API &amp;  &amp;  &amp;  &amp; * &amp; * &amp;  \\</v>
      </c>
    </row>
    <row r="34" spans="1:1" x14ac:dyDescent="0.25">
      <c r="A34" t="str">
        <f ca="1">_xlfn.TEXTJOIN(" &amp; ",FALSE,TABELA_UNIQUE_IMPORTANT!G33:O33)&amp;" \\"</f>
        <v xml:space="preserve"> &amp; GUI design and development &amp; CSS/SCSS &amp; * &amp; * &amp;  &amp;  &amp;  &amp;  \\</v>
      </c>
    </row>
    <row r="35" spans="1:1" x14ac:dyDescent="0.25">
      <c r="A35" t="str">
        <f ca="1">_xlfn.TEXTJOIN(" &amp; ",FALSE,TABELA_UNIQUE_IMPORTANT!G34:O34)&amp;" \\"</f>
        <v xml:space="preserve"> &amp;  &amp; Responsive Web Design &amp;  &amp; * &amp;  &amp;  &amp;  &amp;  \\</v>
      </c>
    </row>
    <row r="36" spans="1:1" x14ac:dyDescent="0.25">
      <c r="A36" t="str">
        <f ca="1">_xlfn.TEXTJOIN(" &amp; ",FALSE,TABELA_UNIQUE_IMPORTANT!G35:O35)&amp;" \\"</f>
        <v xml:space="preserve"> &amp;  &amp; HTML &amp; * &amp; * &amp; * &amp;  &amp;  &amp;  \\</v>
      </c>
    </row>
    <row r="37" spans="1:1" x14ac:dyDescent="0.25">
      <c r="A37" t="str">
        <f ca="1">_xlfn.TEXTJOIN(" &amp; ",FALSE,TABELA_UNIQUE_IMPORTANT!G36:O36)&amp;" \\"</f>
        <v xml:space="preserve"> &amp;  &amp; IT Data Types &amp;  &amp; * &amp; * &amp; * &amp;  &amp;  \\</v>
      </c>
    </row>
    <row r="38" spans="1:1" x14ac:dyDescent="0.25">
      <c r="A38" t="str">
        <f ca="1">_xlfn.TEXTJOIN(" &amp; ",FALSE,TABELA_UNIQUE_IMPORTANT!G37:O37)&amp;" \\"</f>
        <v xml:space="preserve"> &amp;  &amp; JavaScript &amp;  &amp;  &amp;  &amp; * &amp;  &amp;  \\</v>
      </c>
    </row>
    <row r="39" spans="1:1" x14ac:dyDescent="0.25">
      <c r="A39" t="str">
        <f ca="1">_xlfn.TEXTJOIN(" &amp; ",FALSE,TABELA_UNIQUE_IMPORTANT!G38:O38)&amp;" \\"</f>
        <v xml:space="preserve"> &amp;  &amp; Scripts &amp;  &amp;  &amp; * &amp;  &amp;  &amp;  \\</v>
      </c>
    </row>
    <row r="40" spans="1:1" x14ac:dyDescent="0.25">
      <c r="A40" t="str">
        <f ca="1">_xlfn.TEXTJOIN(" &amp; ",FALSE,TABELA_UNIQUE_IMPORTANT!G39:O39)&amp;" \\"</f>
        <v xml:space="preserve"> &amp;  &amp; Variables &amp;  &amp;  &amp; * &amp;  &amp;  &amp;  \\</v>
      </c>
    </row>
    <row r="41" spans="1:1" x14ac:dyDescent="0.25">
      <c r="A41" t="str">
        <f ca="1">_xlfn.TEXTJOIN(" &amp; ",FALSE,TABELA_UNIQUE_IMPORTANT!G40:O40)&amp;" \\"</f>
        <v xml:space="preserve"> &amp;  &amp; XML &amp;  &amp;  &amp;  &amp; * &amp;  &amp; * \\</v>
      </c>
    </row>
    <row r="42" spans="1:1" x14ac:dyDescent="0.25">
      <c r="A42" t="str">
        <f ca="1">_xlfn.TEXTJOIN(" &amp; ",FALSE,TABELA_UNIQUE_IMPORTANT!G41:O41)&amp;" \\"</f>
        <v xml:space="preserve"> &amp; Data validation development &amp; Domain Model &amp; * &amp;  &amp;  &amp;  &amp;  &amp;  \\</v>
      </c>
    </row>
    <row r="43" spans="1:1" x14ac:dyDescent="0.25">
      <c r="A43" t="str">
        <f ca="1">_xlfn.TEXTJOIN(" &amp; ",FALSE,TABELA_UNIQUE_IMPORTANT!G42:O42)&amp;" \\"</f>
        <v xml:space="preserve"> &amp;  &amp; Scripts &amp;  &amp;  &amp; * &amp;  &amp;  &amp; * \\</v>
      </c>
    </row>
    <row r="44" spans="1:1" x14ac:dyDescent="0.25">
      <c r="A44" t="str">
        <f ca="1">_xlfn.TEXTJOIN(" &amp; ",FALSE,TABELA_UNIQUE_IMPORTANT!G43:O43)&amp;" \\"</f>
        <v xml:space="preserve"> &amp; Actions design and development &amp; API &amp; * &amp; * &amp; * &amp; * &amp;  &amp; * \\</v>
      </c>
    </row>
    <row r="45" spans="1:1" x14ac:dyDescent="0.25">
      <c r="A45" t="str">
        <f ca="1">_xlfn.TEXTJOIN(" &amp; ",FALSE,TABELA_UNIQUE_IMPORTANT!G44:O44)&amp;" \\"</f>
        <v xml:space="preserve"> &amp;  &amp; Java &amp; * &amp;  &amp;  &amp;  &amp;  &amp;  \\</v>
      </c>
    </row>
    <row r="46" spans="1:1" x14ac:dyDescent="0.25">
      <c r="A46" t="str">
        <f ca="1">_xlfn.TEXTJOIN(" &amp; ",FALSE,TABELA_UNIQUE_IMPORTANT!G45:O45)&amp;" \\"</f>
        <v xml:space="preserve"> &amp;  &amp; JavaScript &amp; * &amp; * &amp;  &amp; * &amp;  &amp;  \\</v>
      </c>
    </row>
    <row r="47" spans="1:1" x14ac:dyDescent="0.25">
      <c r="A47" t="str">
        <f ca="1">_xlfn.TEXTJOIN(" &amp; ",FALSE,TABELA_UNIQUE_IMPORTANT!G46:O46)&amp;" \\"</f>
        <v xml:space="preserve"> &amp;  &amp; Object Model &amp;  &amp;  &amp;  &amp; * &amp;  &amp;  \\</v>
      </c>
    </row>
    <row r="48" spans="1:1" x14ac:dyDescent="0.25">
      <c r="A48" t="str">
        <f ca="1">_xlfn.TEXTJOIN(" &amp; ",FALSE,TABELA_UNIQUE_IMPORTANT!G47:O47)&amp;" \\"</f>
        <v xml:space="preserve"> &amp;  &amp; Scripts &amp;  &amp;  &amp; * &amp;  &amp;  &amp; * \\</v>
      </c>
    </row>
    <row r="49" spans="1:1" x14ac:dyDescent="0.25">
      <c r="A49" t="str">
        <f ca="1">_xlfn.TEXTJOIN(" &amp; ",FALSE,TABELA_UNIQUE_IMPORTANT!G48:O48)&amp;" \\"</f>
        <v xml:space="preserve"> &amp; Programming &amp; Eclipse &amp; * &amp;  &amp;  &amp;  &amp;  &amp;  \\</v>
      </c>
    </row>
    <row r="50" spans="1:1" x14ac:dyDescent="0.25">
      <c r="A50" t="str">
        <f ca="1">_xlfn.TEXTJOIN(" &amp; ",FALSE,TABELA_UNIQUE_IMPORTANT!G49:O49)&amp;" \\"</f>
        <v xml:space="preserve"> &amp;  &amp; Entity Types &amp;  &amp;  &amp;  &amp; * &amp;  &amp;  \\</v>
      </c>
    </row>
    <row r="51" spans="1:1" x14ac:dyDescent="0.25">
      <c r="A51" t="str">
        <f ca="1">_xlfn.TEXTJOIN(" &amp; ",FALSE,TABELA_UNIQUE_IMPORTANT!G50:O50)&amp;" \\"</f>
        <v xml:space="preserve"> &amp;  &amp; Functions &amp;  &amp;  &amp;  &amp; * &amp; * &amp;  \\</v>
      </c>
    </row>
    <row r="52" spans="1:1" x14ac:dyDescent="0.25">
      <c r="A52" t="str">
        <f ca="1">_xlfn.TEXTJOIN(" &amp; ",FALSE,TABELA_UNIQUE_IMPORTANT!G51:O51)&amp;" \\"</f>
        <v xml:space="preserve"> &amp;  &amp; HTML &amp;  &amp; * &amp; * &amp;  &amp; * &amp; * \\</v>
      </c>
    </row>
    <row r="53" spans="1:1" x14ac:dyDescent="0.25">
      <c r="A53" t="str">
        <f ca="1">_xlfn.TEXTJOIN(" &amp; ",FALSE,TABELA_UNIQUE_IMPORTANT!G52:O52)&amp;" \\"</f>
        <v xml:space="preserve"> &amp;  &amp; SDK/IDE &amp;  &amp;  &amp; * &amp; * &amp;  &amp;  \\</v>
      </c>
    </row>
    <row r="54" spans="1:1" x14ac:dyDescent="0.25">
      <c r="A54" t="str">
        <f ca="1">_xlfn.TEXTJOIN(" &amp; ",FALSE,TABELA_UNIQUE_IMPORTANT!G53:O53)&amp;" \\"</f>
        <v xml:space="preserve"> &amp;  &amp; Java &amp; * &amp;  &amp;  &amp;  &amp;  &amp;  \\</v>
      </c>
    </row>
    <row r="55" spans="1:1" x14ac:dyDescent="0.25">
      <c r="A55" t="str">
        <f ca="1">_xlfn.TEXTJOIN(" &amp; ",FALSE,TABELA_UNIQUE_IMPORTANT!G54:O54)&amp;" \\"</f>
        <v xml:space="preserve"> &amp;  &amp; JavaScript &amp;  &amp;  &amp;  &amp;  &amp; * &amp; * \\</v>
      </c>
    </row>
    <row r="56" spans="1:1" x14ac:dyDescent="0.25">
      <c r="A56" t="str">
        <f ca="1">_xlfn.TEXTJOIN(" &amp; ",FALSE,TABELA_UNIQUE_IMPORTANT!G55:O55)&amp;" \\"</f>
        <v xml:space="preserve"> &amp;  &amp; JSON &amp;  &amp;  &amp;  &amp;  &amp; * &amp;  \\</v>
      </c>
    </row>
    <row r="57" spans="1:1" x14ac:dyDescent="0.25">
      <c r="A57" t="str">
        <f ca="1">_xlfn.TEXTJOIN(" &amp; ",FALSE,TABELA_UNIQUE_IMPORTANT!G56:O56)&amp;" \\"</f>
        <v xml:space="preserve"> &amp;  &amp; Markup Language &amp;  &amp;  &amp; * &amp;  &amp;  &amp;  \\</v>
      </c>
    </row>
    <row r="58" spans="1:1" x14ac:dyDescent="0.25">
      <c r="A58" t="str">
        <f ca="1">_xlfn.TEXTJOIN(" &amp; ",FALSE,TABELA_UNIQUE_IMPORTANT!G57:O57)&amp;" \\"</f>
        <v xml:space="preserve"> &amp;  &amp; node.js &amp;  &amp;  &amp;  &amp; * &amp;  &amp;  \\</v>
      </c>
    </row>
    <row r="59" spans="1:1" x14ac:dyDescent="0.25">
      <c r="A59" t="str">
        <f ca="1">_xlfn.TEXTJOIN(" &amp; ",FALSE,TABELA_UNIQUE_IMPORTANT!G58:O58)&amp;" \\"</f>
        <v xml:space="preserve"> &amp;  &amp; PWA &amp; * &amp;  &amp;  &amp;  &amp;  &amp;  \\</v>
      </c>
    </row>
    <row r="60" spans="1:1" x14ac:dyDescent="0.25">
      <c r="A60" t="str">
        <f ca="1">_xlfn.TEXTJOIN(" &amp; ",FALSE,TABELA_UNIQUE_IMPORTANT!G59:O59)&amp;" \\"</f>
        <v xml:space="preserve"> &amp;  &amp; Scripts &amp;  &amp;  &amp; * &amp;  &amp;  &amp;  \\</v>
      </c>
    </row>
    <row r="61" spans="1:1" x14ac:dyDescent="0.25">
      <c r="A61" t="str">
        <f ca="1">_xlfn.TEXTJOIN(" &amp; ",FALSE,TABELA_UNIQUE_IMPORTANT!G60:O60)&amp;" \\"</f>
        <v xml:space="preserve"> &amp;  &amp; Snippets &amp;  &amp;  &amp; * &amp;  &amp;  &amp;  \\</v>
      </c>
    </row>
    <row r="62" spans="1:1" x14ac:dyDescent="0.25">
      <c r="A62" t="str">
        <f ca="1">_xlfn.TEXTJOIN(" &amp; ",FALSE,TABELA_UNIQUE_IMPORTANT!G61:O61)&amp;" \\"</f>
        <v xml:space="preserve"> &amp;  &amp; TypeScript &amp;  &amp;  &amp;  &amp; * &amp;  &amp;  \\</v>
      </c>
    </row>
    <row r="63" spans="1:1" x14ac:dyDescent="0.25">
      <c r="A63" t="str">
        <f ca="1">_xlfn.TEXTJOIN(" &amp; ",FALSE,TABELA_UNIQUE_IMPORTANT!G62:O62)&amp;" \\"</f>
        <v xml:space="preserve"> &amp;  &amp; Web API &amp;  &amp;  &amp;  &amp; * &amp; * &amp;  \\</v>
      </c>
    </row>
    <row r="64" spans="1:1" x14ac:dyDescent="0.25">
      <c r="A64" t="str">
        <f ca="1">_xlfn.TEXTJOIN(" &amp; ",FALSE,TABELA_UNIQUE_IMPORTANT!G63:O63)&amp;" \\"</f>
        <v xml:space="preserve"> &amp;  &amp; XML &amp;  &amp;  &amp;  &amp;  &amp; * &amp; * \\</v>
      </c>
    </row>
    <row r="65" spans="1:1" x14ac:dyDescent="0.25">
      <c r="A65" t="str">
        <f ca="1">_xlfn.TEXTJOIN(" &amp; ",FALSE,TABELA_UNIQUE_IMPORTANT!G64:O64)&amp;" \\"</f>
        <v>Implementation &amp; Runtime server installation &amp; API &amp; * &amp;  &amp;  &amp;  &amp;  &amp;  \\</v>
      </c>
    </row>
    <row r="66" spans="1:1" x14ac:dyDescent="0.25">
      <c r="A66" t="str">
        <f ca="1">_xlfn.TEXTJOIN(" &amp; ",FALSE,TABELA_UNIQUE_IMPORTANT!G65:O65)&amp;" \\"</f>
        <v xml:space="preserve"> &amp;  &amp; File Storage &amp; * &amp;  &amp;  &amp;  &amp;  &amp;  \\</v>
      </c>
    </row>
    <row r="67" spans="1:1" x14ac:dyDescent="0.25">
      <c r="A67" t="str">
        <f ca="1">_xlfn.TEXTJOIN(" &amp; ",FALSE,TABELA_UNIQUE_IMPORTANT!G66:O66)&amp;" \\"</f>
        <v xml:space="preserve"> &amp;  &amp; HTTPS Server &amp; * &amp; * &amp;  &amp;  &amp;  &amp;  \\</v>
      </c>
    </row>
    <row r="68" spans="1:1" x14ac:dyDescent="0.25">
      <c r="A68" t="str">
        <f ca="1">_xlfn.TEXTJOIN(" &amp; ",FALSE,TABELA_UNIQUE_IMPORTANT!G67:O67)&amp;" \\"</f>
        <v xml:space="preserve"> &amp;  &amp; Java &amp; * &amp;  &amp;  &amp;  &amp;  &amp;  \\</v>
      </c>
    </row>
    <row r="69" spans="1:1" x14ac:dyDescent="0.25">
      <c r="A69" t="str">
        <f ca="1">_xlfn.TEXTJOIN(" &amp; ",FALSE,TABELA_UNIQUE_IMPORTANT!G68:O68)&amp;" \\"</f>
        <v xml:space="preserve"> &amp;  &amp; Proxy server &amp;  &amp;  &amp; * &amp;  &amp;  &amp;  \\</v>
      </c>
    </row>
    <row r="70" spans="1:1" x14ac:dyDescent="0.25">
      <c r="A70" t="str">
        <f ca="1">_xlfn.TEXTJOIN(" &amp; ",FALSE,TABELA_UNIQUE_IMPORTANT!G69:O69)&amp;" \\"</f>
        <v xml:space="preserve"> &amp;  &amp; Relational Database &amp; * &amp;  &amp;  &amp;  &amp;  &amp;  \\</v>
      </c>
    </row>
    <row r="71" spans="1:1" x14ac:dyDescent="0.25">
      <c r="A71" t="str">
        <f ca="1">_xlfn.TEXTJOIN(" &amp; ",FALSE,TABELA_UNIQUE_IMPORTANT!G70:O70)&amp;" \\"</f>
        <v xml:space="preserve"> &amp;  &amp; REST API &amp; * &amp;  &amp;  &amp;  &amp;  &amp;  \\</v>
      </c>
    </row>
    <row r="72" spans="1:1" x14ac:dyDescent="0.25">
      <c r="A72" t="str">
        <f ca="1">_xlfn.TEXTJOIN(" &amp; ",FALSE,TABELA_UNIQUE_IMPORTANT!G71:O71)&amp;" \\"</f>
        <v xml:space="preserve"> &amp;  &amp; SAML Authentication &amp;  &amp;  &amp; * &amp;  &amp;  &amp;  \\</v>
      </c>
    </row>
    <row r="73" spans="1:1" x14ac:dyDescent="0.25">
      <c r="A73" t="str">
        <f ca="1">_xlfn.TEXTJOIN(" &amp; ",FALSE,TABELA_UNIQUE_IMPORTANT!G72:O72)&amp;" \\"</f>
        <v xml:space="preserve"> &amp;  &amp; SOAP &amp; * &amp;  &amp;  &amp;  &amp;  &amp;  \\</v>
      </c>
    </row>
    <row r="74" spans="1:1" x14ac:dyDescent="0.25">
      <c r="A74" t="str">
        <f ca="1">_xlfn.TEXTJOIN(" &amp; ",FALSE,TABELA_UNIQUE_IMPORTANT!G73:O73)&amp;" \\"</f>
        <v xml:space="preserve"> &amp;  &amp; Swagger &amp; * &amp;  &amp;  &amp;  &amp;  &amp;  \\</v>
      </c>
    </row>
    <row r="75" spans="1:1" x14ac:dyDescent="0.25">
      <c r="A75" t="str">
        <f ca="1">_xlfn.TEXTJOIN(" &amp; ",FALSE,TABELA_UNIQUE_IMPORTANT!G74:O74)&amp;" \\"</f>
        <v xml:space="preserve"> &amp;  &amp; XML/XPath &amp; * &amp;  &amp;  &amp;  &amp;  &amp;  \\</v>
      </c>
    </row>
    <row r="76" spans="1:1" x14ac:dyDescent="0.25">
      <c r="A76" t="str">
        <f ca="1">_xlfn.TEXTJOIN(" &amp; ",FALSE,TABELA_UNIQUE_IMPORTANT!G75:O75)&amp;" \\"</f>
        <v xml:space="preserve"> &amp; Database installation &amp; File Storage &amp; * &amp; * &amp;  &amp;  &amp;  &amp;  \\</v>
      </c>
    </row>
    <row r="77" spans="1:1" x14ac:dyDescent="0.25">
      <c r="A77" t="str">
        <f ca="1">_xlfn.TEXTJOIN(" &amp; ",FALSE,TABELA_UNIQUE_IMPORTANT!G76:O76)&amp;" \\"</f>
        <v xml:space="preserve"> &amp;  &amp; Relational Database &amp; * &amp; * &amp; * &amp; * &amp; * &amp; * \\</v>
      </c>
    </row>
    <row r="78" spans="1:1" x14ac:dyDescent="0.25">
      <c r="A78" t="str">
        <f ca="1">_xlfn.TEXTJOIN(" &amp; ",FALSE,TABELA_UNIQUE_IMPORTANT!G77:O77)&amp;" \\"</f>
        <v xml:space="preserve"> &amp;  &amp; REST API &amp;  &amp;  &amp;  &amp;  &amp; * &amp;  \\</v>
      </c>
    </row>
    <row r="79" spans="1:1" x14ac:dyDescent="0.25">
      <c r="A79" t="str">
        <f ca="1">_xlfn.TEXTJOIN(" &amp; ",FALSE,TABELA_UNIQUE_IMPORTANT!G78:O78)&amp;" \\"</f>
        <v xml:space="preserve"> &amp; Client module installation &amp; .NET Framework &amp;  &amp; * &amp;  &amp;  &amp;  &amp;  \\</v>
      </c>
    </row>
    <row r="80" spans="1:1" x14ac:dyDescent="0.25">
      <c r="A80" t="str">
        <f ca="1">_xlfn.TEXTJOIN(" &amp; ",FALSE,TABELA_UNIQUE_IMPORTANT!G79:O79)&amp;" \\"</f>
        <v xml:space="preserve"> &amp;  &amp; API &amp; * &amp;  &amp;  &amp;  &amp;  &amp;  \\</v>
      </c>
    </row>
    <row r="81" spans="1:1" x14ac:dyDescent="0.25">
      <c r="A81" t="str">
        <f ca="1">_xlfn.TEXTJOIN(" &amp; ",FALSE,TABELA_UNIQUE_IMPORTANT!G80:O80)&amp;" \\"</f>
        <v xml:space="preserve"> &amp;  &amp; HTTPS Server &amp; * &amp;  &amp;  &amp;  &amp;  &amp;  \\</v>
      </c>
    </row>
    <row r="82" spans="1:1" x14ac:dyDescent="0.25">
      <c r="A82" t="str">
        <f ca="1">_xlfn.TEXTJOIN(" &amp; ",FALSE,TABELA_UNIQUE_IMPORTANT!G81:O81)&amp;" \\"</f>
        <v xml:space="preserve"> &amp;  &amp; Web Services &amp;  &amp;  &amp;  &amp; * &amp;  &amp;  \\</v>
      </c>
    </row>
    <row r="83" spans="1:1" x14ac:dyDescent="0.25">
      <c r="A83" t="str">
        <f ca="1">_xlfn.TEXTJOIN(" &amp; ",FALSE,TABELA_UNIQUE_IMPORTANT!G82:O82)&amp;" \\"</f>
        <v xml:space="preserve"> &amp; Deployment &amp; Application IDE &amp;  &amp;  &amp; * &amp;  &amp;  &amp;  \\</v>
      </c>
    </row>
    <row r="84" spans="1:1" x14ac:dyDescent="0.25">
      <c r="A84" t="str">
        <f ca="1">_xlfn.TEXTJOIN(" &amp; ",FALSE,TABELA_UNIQUE_IMPORTANT!G83:O83)&amp;" \\"</f>
        <v xml:space="preserve"> &amp;  &amp; CI/CD &amp; * &amp; * &amp;  &amp;  &amp;  &amp;  \\</v>
      </c>
    </row>
    <row r="85" spans="1:1" x14ac:dyDescent="0.25">
      <c r="A85" t="str">
        <f ca="1">_xlfn.TEXTJOIN(" &amp; ",FALSE,TABELA_UNIQUE_IMPORTANT!G84:O84)&amp;" \\"</f>
        <v xml:space="preserve"> &amp;  &amp; Cloud Computing &amp;  &amp; * &amp; * &amp;  &amp;  &amp;  \\</v>
      </c>
    </row>
    <row r="86" spans="1:1" x14ac:dyDescent="0.25">
      <c r="A86" t="str">
        <f ca="1">_xlfn.TEXTJOIN(" &amp; ",FALSE,TABELA_UNIQUE_IMPORTANT!G85:O85)&amp;" \\"</f>
        <v xml:space="preserve"> &amp;  &amp; Docker &amp; * &amp;  &amp;  &amp;  &amp;  &amp;  \\</v>
      </c>
    </row>
    <row r="87" spans="1:1" x14ac:dyDescent="0.25">
      <c r="A87" t="str">
        <f ca="1">_xlfn.TEXTJOIN(" &amp; ",FALSE,TABELA_UNIQUE_IMPORTANT!G86:O86)&amp;" \\"</f>
        <v xml:space="preserve"> &amp;  &amp; Kubernetes &amp; * &amp;  &amp;  &amp;  &amp;  &amp;  \\</v>
      </c>
    </row>
    <row r="88" spans="1:1" x14ac:dyDescent="0.25">
      <c r="A88" t="str">
        <f ca="1">_xlfn.TEXTJOIN(" &amp; ",FALSE,TABELA_UNIQUE_IMPORTANT!G87:O87)&amp;" \\"</f>
        <v xml:space="preserve"> &amp;  &amp; On-Premise &amp;  &amp;  &amp; * &amp;  &amp;  &amp;  \\</v>
      </c>
    </row>
    <row r="89" spans="1:1" x14ac:dyDescent="0.25">
      <c r="A89" t="str">
        <f ca="1">_xlfn.TEXTJOIN(" &amp; ",FALSE,TABELA_UNIQUE_IMPORTANT!G88:O88)&amp;" \\"</f>
        <v xml:space="preserve"> &amp;  &amp; REST API &amp;  &amp; * &amp;  &amp;  &amp;  &amp;  \\</v>
      </c>
    </row>
    <row r="90" spans="1:1" x14ac:dyDescent="0.25">
      <c r="A90" t="str">
        <f ca="1">_xlfn.TEXTJOIN(" &amp; ",FALSE,TABELA_UNIQUE_IMPORTANT!G89:O89)&amp;" \\"</f>
        <v xml:space="preserve"> &amp;  &amp; Scripts &amp;  &amp;  &amp; * &amp;  &amp;  &amp;  \\</v>
      </c>
    </row>
    <row r="91" spans="1:1" x14ac:dyDescent="0.25">
      <c r="A91" t="str">
        <f ca="1">_xlfn.TEXTJOIN(" &amp; ",FALSE,TABELA_UNIQUE_IMPORTANT!G90:O90)&amp;" \\"</f>
        <v xml:space="preserve"> &amp;  &amp; SOAP &amp;  &amp; * &amp;  &amp;  &amp;  &amp;  \\</v>
      </c>
    </row>
    <row r="92" spans="1:1" x14ac:dyDescent="0.25">
      <c r="A92" t="str">
        <f ca="1">_xlfn.TEXTJOIN(" &amp; ",FALSE,TABELA_UNIQUE_IMPORTANT!G91:O91)&amp;" \\"</f>
        <v xml:space="preserve"> &amp; Version control &amp; Code Repository Concept &amp; * &amp;  &amp;  &amp; * &amp;  &amp;  \\</v>
      </c>
    </row>
    <row r="93" spans="1:1" x14ac:dyDescent="0.25">
      <c r="A93" t="str">
        <f ca="1">_xlfn.TEXTJOIN(" &amp; ",FALSE,TABELA_UNIQUE_IMPORTANT!G92:O92)&amp;" \\"</f>
        <v xml:space="preserve"> &amp;  &amp; Custom Version Control &amp;  &amp; * &amp; * &amp;  &amp; * &amp; * \\</v>
      </c>
    </row>
    <row r="94" spans="1:1" x14ac:dyDescent="0.25">
      <c r="A94" t="str">
        <f ca="1">_xlfn.TEXTJOIN(" &amp; ",FALSE,TABELA_UNIQUE_IMPORTANT!G93:O93)&amp;" \\"</f>
        <v xml:space="preserve"> &amp;  &amp; Git &amp; * &amp;  &amp;  &amp; * &amp;  &amp;  \\</v>
      </c>
    </row>
    <row r="95" spans="1:1" x14ac:dyDescent="0.25">
      <c r="A95" t="e">
        <f>_xlfn.TEXTJOIN(" &amp; ",FALSE,TABELA_UNIQUE_IMPORTANT!G94:O94)&amp;" \\"</f>
        <v>#VALUE!</v>
      </c>
    </row>
    <row r="96" spans="1:1" x14ac:dyDescent="0.25">
      <c r="A96" t="e">
        <f>_xlfn.TEXTJOIN(" &amp; ",FALSE,TABELA_UNIQUE_IMPORTANT!G95:O95)&amp;" \\"</f>
        <v>#VALUE!</v>
      </c>
    </row>
    <row r="97" spans="1:1" x14ac:dyDescent="0.25">
      <c r="A97" t="e">
        <f>_xlfn.TEXTJOIN(" &amp; ",FALSE,TABELA_UNIQUE_IMPORTANT!G96:O96)&amp;" \\"</f>
        <v>#VALUE!</v>
      </c>
    </row>
    <row r="98" spans="1:1" x14ac:dyDescent="0.25">
      <c r="A98" t="e">
        <f>_xlfn.TEXTJOIN(" &amp; ",FALSE,TABELA_UNIQUE_IMPORTANT!G97:O97)&amp;" \\"</f>
        <v>#VALUE!</v>
      </c>
    </row>
    <row r="99" spans="1:1" x14ac:dyDescent="0.25">
      <c r="A99" t="e">
        <f>_xlfn.TEXTJOIN(" &amp; ",FALSE,TABELA_UNIQUE_IMPORTANT!G98:O98)&amp;" \\"</f>
        <v>#VALUE!</v>
      </c>
    </row>
    <row r="100" spans="1:1" x14ac:dyDescent="0.25">
      <c r="A100" t="e">
        <f>_xlfn.TEXTJOIN(" &amp; ",FALSE,TABELA_UNIQUE_IMPORTANT!G99:O99)&amp;" \\"</f>
        <v>#VALUE!</v>
      </c>
    </row>
    <row r="101" spans="1:1" x14ac:dyDescent="0.25">
      <c r="A101" t="e">
        <f>_xlfn.TEXTJOIN(" &amp; ",FALSE,TABELA_UNIQUE_IMPORTANT!G100:O100)&amp;" \\"</f>
        <v>#VALUE!</v>
      </c>
    </row>
    <row r="102" spans="1:1" x14ac:dyDescent="0.25">
      <c r="A102" t="e">
        <f>_xlfn.TEXTJOIN(" &amp; ",FALSE,TABELA_UNIQUE_IMPORTANT!G101:O101)&amp;" \\"</f>
        <v>#VALUE!</v>
      </c>
    </row>
    <row r="103" spans="1:1" x14ac:dyDescent="0.25">
      <c r="A103" t="e">
        <f>_xlfn.TEXTJOIN(" &amp; ",FALSE,TABELA_UNIQUE_IMPORTANT!G102:O102)&amp;" \\"</f>
        <v>#VALUE!</v>
      </c>
    </row>
    <row r="104" spans="1:1" x14ac:dyDescent="0.25">
      <c r="A104" t="e">
        <f>_xlfn.TEXTJOIN(" &amp; ",FALSE,TABELA_UNIQUE_IMPORTANT!G103:O103)&amp;" \\"</f>
        <v>#VALUE!</v>
      </c>
    </row>
    <row r="105" spans="1:1" x14ac:dyDescent="0.25">
      <c r="A105" t="e">
        <f>_xlfn.TEXTJOIN(" &amp; ",FALSE,TABELA_UNIQUE_IMPORTANT!G104:O104)&amp;" \\"</f>
        <v>#VALUE!</v>
      </c>
    </row>
    <row r="106" spans="1:1" x14ac:dyDescent="0.25">
      <c r="A106" t="e">
        <f>_xlfn.TEXTJOIN(" &amp; ",FALSE,TABELA_UNIQUE_IMPORTANT!G105:O105)&amp;" \\"</f>
        <v>#VALUE!</v>
      </c>
    </row>
    <row r="107" spans="1:1" x14ac:dyDescent="0.25">
      <c r="A107" t="e">
        <f>_xlfn.TEXTJOIN(" &amp; ",FALSE,TABELA_UNIQUE_IMPORTANT!G106:O106)&amp;" \\"</f>
        <v>#VALUE!</v>
      </c>
    </row>
    <row r="108" spans="1:1" x14ac:dyDescent="0.25">
      <c r="A108" t="e">
        <f>_xlfn.TEXTJOIN(" &amp; ",FALSE,TABELA_UNIQUE_IMPORTANT!G107:O107)&amp;" \\"</f>
        <v>#VALUE!</v>
      </c>
    </row>
    <row r="109" spans="1:1" x14ac:dyDescent="0.25">
      <c r="A109" t="e">
        <f>_xlfn.TEXTJOIN(" &amp; ",FALSE,TABELA_UNIQUE_IMPORTANT!G108:O108)&amp;" \\"</f>
        <v>#VALUE!</v>
      </c>
    </row>
    <row r="110" spans="1:1" x14ac:dyDescent="0.25">
      <c r="A110" t="e">
        <f>_xlfn.TEXTJOIN(" &amp; ",FALSE,TABELA_UNIQUE_IMPORTANT!G109:O109)&amp;" \\"</f>
        <v>#VALUE!</v>
      </c>
    </row>
    <row r="111" spans="1:1" x14ac:dyDescent="0.25">
      <c r="A111" t="e">
        <f>_xlfn.TEXTJOIN(" &amp; ",FALSE,TABELA_UNIQUE_IMPORTANT!G110:O110)&amp;" \\"</f>
        <v>#VALUE!</v>
      </c>
    </row>
    <row r="112" spans="1:1" x14ac:dyDescent="0.25">
      <c r="A112" t="e">
        <f>_xlfn.TEXTJOIN(" &amp; ",FALSE,TABELA_UNIQUE_IMPORTANT!G111:O111)&amp;" \\"</f>
        <v>#VALUE!</v>
      </c>
    </row>
    <row r="113" spans="1:1" x14ac:dyDescent="0.25">
      <c r="A113" t="e">
        <f>_xlfn.TEXTJOIN(" &amp; ",FALSE,TABELA_UNIQUE_IMPORTANT!G112:O112)&amp;" \\"</f>
        <v>#VALUE!</v>
      </c>
    </row>
    <row r="114" spans="1:1" x14ac:dyDescent="0.25">
      <c r="A114" t="e">
        <f>_xlfn.TEXTJOIN(" &amp; ",FALSE,TABELA_UNIQUE_IMPORTANT!G113:O113)&amp;" \\"</f>
        <v>#VALUE!</v>
      </c>
    </row>
    <row r="115" spans="1:1" x14ac:dyDescent="0.25">
      <c r="A115" t="e">
        <f>_xlfn.TEXTJOIN(" &amp; ",FALSE,TABELA_UNIQUE_IMPORTANT!G114:O114)&amp;" \\"</f>
        <v>#VALUE!</v>
      </c>
    </row>
    <row r="116" spans="1:1" x14ac:dyDescent="0.25">
      <c r="A116" t="e">
        <f>_xlfn.TEXTJOIN(" &amp; ",FALSE,TABELA_UNIQUE_IMPORTANT!G115:O115)&amp;" \\"</f>
        <v>#VALUE!</v>
      </c>
    </row>
    <row r="117" spans="1:1" x14ac:dyDescent="0.25">
      <c r="A117" t="e">
        <f>_xlfn.TEXTJOIN(" &amp; ",FALSE,TABELA_UNIQUE_IMPORTANT!G116:O116)&amp;" \\"</f>
        <v>#VALUE!</v>
      </c>
    </row>
    <row r="118" spans="1:1" x14ac:dyDescent="0.25">
      <c r="A118" t="e">
        <f>_xlfn.TEXTJOIN(" &amp; ",FALSE,TABELA_UNIQUE_IMPORTANT!G117:O117)&amp;" \\"</f>
        <v>#VALUE!</v>
      </c>
    </row>
    <row r="119" spans="1:1" x14ac:dyDescent="0.25">
      <c r="A119" t="e">
        <f>_xlfn.TEXTJOIN(" &amp; ",FALSE,TABELA_UNIQUE_IMPORTANT!G118:O118)&amp;" \\"</f>
        <v>#VALUE!</v>
      </c>
    </row>
    <row r="120" spans="1:1" x14ac:dyDescent="0.25">
      <c r="A120" t="e">
        <f>_xlfn.TEXTJOIN(" &amp; ",FALSE,TABELA_UNIQUE_IMPORTANT!G119:O119)&amp;" \\"</f>
        <v>#VALUE!</v>
      </c>
    </row>
    <row r="121" spans="1:1" x14ac:dyDescent="0.25">
      <c r="A121" t="e">
        <f>_xlfn.TEXTJOIN(" &amp; ",FALSE,TABELA_UNIQUE_IMPORTANT!G120:O120)&amp;" \\"</f>
        <v>#VALUE!</v>
      </c>
    </row>
    <row r="122" spans="1:1" x14ac:dyDescent="0.25">
      <c r="A122" t="e">
        <f>_xlfn.TEXTJOIN(" &amp; ",FALSE,TABELA_UNIQUE_IMPORTANT!G121:O121)&amp;" \\"</f>
        <v>#VALUE!</v>
      </c>
    </row>
    <row r="123" spans="1:1" x14ac:dyDescent="0.25">
      <c r="A123" t="e">
        <f>_xlfn.TEXTJOIN(" &amp; ",FALSE,TABELA_UNIQUE_IMPORTANT!G122:O122)&amp;" \\"</f>
        <v>#VALUE!</v>
      </c>
    </row>
    <row r="124" spans="1:1" x14ac:dyDescent="0.25">
      <c r="A124" t="e">
        <f>_xlfn.TEXTJOIN(" &amp; ",FALSE,TABELA_UNIQUE_IMPORTANT!G123:O123)&amp;" \\"</f>
        <v>#VALUE!</v>
      </c>
    </row>
    <row r="125" spans="1:1" x14ac:dyDescent="0.25">
      <c r="A125" t="e">
        <f>_xlfn.TEXTJOIN(" &amp; ",FALSE,TABELA_UNIQUE_IMPORTANT!G124:O124)&amp;" \\"</f>
        <v>#VALUE!</v>
      </c>
    </row>
    <row r="126" spans="1:1" x14ac:dyDescent="0.25">
      <c r="A126" t="e">
        <f>_xlfn.TEXTJOIN(" &amp; ",FALSE,TABELA_UNIQUE_IMPORTANT!G125:O125)&amp;" \\"</f>
        <v>#VALUE!</v>
      </c>
    </row>
    <row r="127" spans="1:1" x14ac:dyDescent="0.25">
      <c r="A127" t="e">
        <f>_xlfn.TEXTJOIN(" &amp; ",FALSE,TABELA_UNIQUE_IMPORTANT!G126:O126)&amp;" \\"</f>
        <v>#VALUE!</v>
      </c>
    </row>
    <row r="128" spans="1:1" x14ac:dyDescent="0.25">
      <c r="A128" t="e">
        <f>_xlfn.TEXTJOIN(" &amp; ",FALSE,TABELA_UNIQUE_IMPORTANT!G127:O127)&amp;" \\"</f>
        <v>#VALUE!</v>
      </c>
    </row>
    <row r="129" spans="1:1" x14ac:dyDescent="0.25">
      <c r="A129" t="e">
        <f>_xlfn.TEXTJOIN(" &amp; ",FALSE,TABELA_UNIQUE_IMPORTANT!G128:O128)&amp;" \\"</f>
        <v>#VALUE!</v>
      </c>
    </row>
    <row r="130" spans="1:1" x14ac:dyDescent="0.25">
      <c r="A130" t="e">
        <f>_xlfn.TEXTJOIN(" &amp; ",FALSE,TABELA_UNIQUE_IMPORTANT!G129:O129)&amp;" \\"</f>
        <v>#VALUE!</v>
      </c>
    </row>
    <row r="131" spans="1:1" x14ac:dyDescent="0.25">
      <c r="A131" t="e">
        <f>_xlfn.TEXTJOIN(" &amp; ",FALSE,TABELA_UNIQUE_IMPORTANT!G130:O130)&amp;" \\"</f>
        <v>#VALUE!</v>
      </c>
    </row>
    <row r="132" spans="1:1" x14ac:dyDescent="0.25">
      <c r="A132" t="e">
        <f>_xlfn.TEXTJOIN(" &amp; ",FALSE,TABELA_UNIQUE_IMPORTANT!G131:O131)&amp;" \\"</f>
        <v>#VALUE!</v>
      </c>
    </row>
    <row r="133" spans="1:1" x14ac:dyDescent="0.25">
      <c r="A133" t="e">
        <f>_xlfn.TEXTJOIN(" &amp; ",FALSE,TABELA_UNIQUE_IMPORTANT!G132:O132)&amp;" \\"</f>
        <v>#VALUE!</v>
      </c>
    </row>
    <row r="134" spans="1:1" x14ac:dyDescent="0.25">
      <c r="A134" t="e">
        <f>_xlfn.TEXTJOIN(" &amp; ",FALSE,TABELA_UNIQUE_IMPORTANT!G133:O133)&amp;" \\"</f>
        <v>#VALUE!</v>
      </c>
    </row>
    <row r="135" spans="1:1" x14ac:dyDescent="0.25">
      <c r="A135" t="e">
        <f>_xlfn.TEXTJOIN(" &amp; ",FALSE,TABELA_UNIQUE_IMPORTANT!G134:O134)&amp;" \\"</f>
        <v>#VALUE!</v>
      </c>
    </row>
    <row r="136" spans="1:1" x14ac:dyDescent="0.25">
      <c r="A136" t="e">
        <f>_xlfn.TEXTJOIN(" &amp; ",FALSE,TABELA_UNIQUE_IMPORTANT!G135:O135)&amp;" \\"</f>
        <v>#VALUE!</v>
      </c>
    </row>
    <row r="137" spans="1:1" x14ac:dyDescent="0.25">
      <c r="A137" t="e">
        <f>_xlfn.TEXTJOIN(" &amp; ",FALSE,TABELA_UNIQUE_IMPORTANT!G136:O136)&amp;" \\"</f>
        <v>#VALUE!</v>
      </c>
    </row>
    <row r="138" spans="1:1" x14ac:dyDescent="0.25">
      <c r="A138" t="e">
        <f>_xlfn.TEXTJOIN(" &amp; ",FALSE,TABELA_UNIQUE_IMPORTANT!G137:O137)&amp;" \\"</f>
        <v>#VALUE!</v>
      </c>
    </row>
    <row r="139" spans="1:1" x14ac:dyDescent="0.25">
      <c r="A139" t="e">
        <f>_xlfn.TEXTJOIN(" &amp; ",FALSE,TABELA_UNIQUE_IMPORTANT!G138:O138)&amp;" \\"</f>
        <v>#VALUE!</v>
      </c>
    </row>
    <row r="140" spans="1:1" x14ac:dyDescent="0.25">
      <c r="A140" t="e">
        <f>_xlfn.TEXTJOIN(" &amp; ",FALSE,TABELA_UNIQUE_IMPORTANT!G139:O139)&amp;" \\"</f>
        <v>#VALUE!</v>
      </c>
    </row>
    <row r="141" spans="1:1" x14ac:dyDescent="0.25">
      <c r="A141" t="e">
        <f>_xlfn.TEXTJOIN(" &amp; ",FALSE,TABELA_UNIQUE_IMPORTANT!G140:O140)&amp;" \\"</f>
        <v>#VALUE!</v>
      </c>
    </row>
    <row r="142" spans="1:1" x14ac:dyDescent="0.25">
      <c r="A142" t="e">
        <f>_xlfn.TEXTJOIN(" &amp; ",FALSE,TABELA_UNIQUE_IMPORTANT!G141:O141)&amp;" \\"</f>
        <v>#VALUE!</v>
      </c>
    </row>
    <row r="143" spans="1:1" ht="32.25" customHeight="1" x14ac:dyDescent="0.25">
      <c r="A143" s="1" t="str">
        <f>'LaTeX TAB DEF'!B15</f>
        <v>\end{longtblr}
\end{adjustwidth}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16F9-DD99-4AD9-9D0C-6A4535AD3B29}">
  <dimension ref="A1:F15"/>
  <sheetViews>
    <sheetView workbookViewId="0"/>
  </sheetViews>
  <sheetFormatPr defaultColWidth="8.875" defaultRowHeight="15.75" x14ac:dyDescent="0.25"/>
  <cols>
    <col min="1" max="1" width="17.625" bestFit="1" customWidth="1"/>
    <col min="2" max="2" width="64.375" customWidth="1"/>
  </cols>
  <sheetData>
    <row r="1" spans="1:6" x14ac:dyDescent="0.25">
      <c r="A1" t="s">
        <v>378</v>
      </c>
      <c r="B1" t="s">
        <v>384</v>
      </c>
      <c r="D1" t="s">
        <v>396</v>
      </c>
      <c r="E1" t="s">
        <v>397</v>
      </c>
      <c r="F1" t="s">
        <v>398</v>
      </c>
    </row>
    <row r="2" spans="1:6" x14ac:dyDescent="0.25">
      <c r="A2" t="s">
        <v>394</v>
      </c>
      <c r="B2" t="s">
        <v>399</v>
      </c>
      <c r="D2" cm="1">
        <f t="array" aca="1" ref="D2" ca="1">ROW(INDIRECT(B2))</f>
        <v>1</v>
      </c>
      <c r="E2" cm="1">
        <f t="array" aca="1" ref="E2" ca="1">COLUMN(INDIRECT(B2))</f>
        <v>6</v>
      </c>
      <c r="F2">
        <f ca="1">_xlfn.SHEET(INDIRECT(B2))</f>
        <v>4</v>
      </c>
    </row>
    <row r="3" spans="1:6" x14ac:dyDescent="0.25">
      <c r="A3" t="s">
        <v>395</v>
      </c>
      <c r="B3" t="s">
        <v>438</v>
      </c>
      <c r="D3" cm="1">
        <f t="array" aca="1" ref="D3" ca="1">ROW(INDIRECT(B3))</f>
        <v>214</v>
      </c>
      <c r="E3" cm="1">
        <f t="array" aca="1" ref="E3" ca="1">COLUMN(INDIRECT(B3))</f>
        <v>15</v>
      </c>
      <c r="F3">
        <f ca="1">_xlfn.SHEET(INDIRECT(B3))</f>
        <v>4</v>
      </c>
    </row>
    <row r="4" spans="1:6" x14ac:dyDescent="0.25">
      <c r="A4" t="s">
        <v>380</v>
      </c>
      <c r="B4" t="s">
        <v>434</v>
      </c>
    </row>
    <row r="5" spans="1:6" x14ac:dyDescent="0.25">
      <c r="A5" t="s">
        <v>436</v>
      </c>
      <c r="B5" t="s">
        <v>437</v>
      </c>
    </row>
    <row r="6" spans="1:6" x14ac:dyDescent="0.25">
      <c r="A6" t="s">
        <v>382</v>
      </c>
      <c r="B6" t="s">
        <v>435</v>
      </c>
    </row>
    <row r="7" spans="1:6" x14ac:dyDescent="0.25">
      <c r="A7" t="s">
        <v>381</v>
      </c>
      <c r="B7" t="s">
        <v>383</v>
      </c>
    </row>
    <row r="8" spans="1:6" x14ac:dyDescent="0.25">
      <c r="A8" t="s">
        <v>391</v>
      </c>
      <c r="B8" t="s">
        <v>392</v>
      </c>
    </row>
    <row r="9" spans="1:6" x14ac:dyDescent="0.25">
      <c r="A9" t="s">
        <v>385</v>
      </c>
      <c r="B9" t="s">
        <v>386</v>
      </c>
    </row>
    <row r="10" spans="1:6" x14ac:dyDescent="0.25">
      <c r="A10" t="s">
        <v>388</v>
      </c>
      <c r="B10" t="s">
        <v>389</v>
      </c>
    </row>
    <row r="11" spans="1:6" x14ac:dyDescent="0.25">
      <c r="A11" t="s">
        <v>387</v>
      </c>
      <c r="B11" t="s">
        <v>390</v>
      </c>
    </row>
    <row r="13" spans="1:6" ht="157.5" x14ac:dyDescent="0.25">
      <c r="A13" s="29" t="s">
        <v>379</v>
      </c>
      <c r="B13" s="1" t="str">
        <f>_xlfn.CONCAT(
"\begin{adjustwidth}{-\extralength}{-2cm}",CHAR(10),
"\begin{longtblr}[",CHAR(10),
"	theme = shortcaption,",CHAR(10),
"	caption = {",$B$4,"},",CHAR(10),
"	entry = {",$B$5,"},",CHAR(10),
"	label = {",$B$6,"},",CHAR(10),
"	note{1} = {",$B$7,"},",CHAR(10),
"]")</f>
        <v>\begin{adjustwidth}{-\extralength}{-2cm}
\begin{longtblr}[
	theme = shortcaption,
	caption = {IT skills (*) and non-IT skills (+) necessary to build applications in individual LCDP platforms, divided into Project stage and Functional scope},
	entry = {IT and non-IT skills in LCDPs},
	label = {tab:lcdp_skills},
	note{1} = {* Source: own elaboration.},
]</v>
      </c>
    </row>
    <row r="14" spans="1:6" ht="248.25" customHeight="1" x14ac:dyDescent="0.25">
      <c r="A14" s="29" t="s">
        <v>439</v>
      </c>
      <c r="B14" s="1" t="str">
        <f>_xlfn.CONCAT(
"{",CHAR(10),
"	hlines, %vlines,",CHAR(10),
"	colspec = {p{3cm} &gt;{\raggedright}p{3cm} l *{6}{c}}",CHAR(10),
"	,cell{  2}{1} = {r= 56,c=1}{l,h} % Requirements documentation",CHAR(10),
"	,cell{ 58}{1} = {r=104,c=1}{l,h} % Design and Development",CHAR(10),
"	,cell{162}{1} = {r= 53,c=1}{l,h} % Implementation",CHAR(10),
"	,cell{  2}{2} = {r= 2}{l,h} % Workflow model",CHAR(10),
"	,cell{  4}{2} = {r=17}{l,h} % Database model",CHAR(10),
"	,cell{ 21}{2} = {r=12}{l,h} % UI model",CHAR(10),
"	,cell{ 33}{2} = {r= 7}{l,h} % Validations",CHAR(10),
"	,cell{ 40}{2} = {r=18}{l,h} % Application logic",CHAR(10),
"	,cell{ 58}{2} = {r= 8}{l,h} % Workflow design and development",CHAR(10),
"	,cell{ 66}{2} = {r=14}{l,h} % Database design",CHAR(10),
"	,cell{ 80}{2} = {r=16}{l,h} % Fetching data",CHAR(10),
"	,cell{ 96}{2} = {r=20}{l,h} % GUI design and development",CHAR(10),
"	,cell{116}{2} = {r= 6}{l,h} % Data validation development",CHAR(10),
"	,cell{122}{2} = {r=11}{l,h} % Actions design and development",CHAR(10),
"	,cell{133}{2} = {r=29}{l,h} % Programming",CHAR(10),
"	,cell{162}{2} = {r=24}{l,h} % Runtime server installation",CHAR(10),
"	,cell{186}{2} = {r= 4}{l,h} % Database installation",CHAR(10),
"	,cell{190}{2} = {r= 8}{l,h} % Client module installation",CHAR(10),
"	,cell{198}{2} = {r=14}{l,h} % Deployment",CHAR(10),
"	,cell{212}{2} = {r= 3}{l,h} % Version control",CHAR(10),
"}")</f>
        <v>{
	hlines, %vlines,
	colspec = {p{3cm} &gt;{\raggedright}p{3cm} l *{6}{c}}
	,cell{  2}{1} = {r= 56,c=1}{l,h} % Requirements documentation
	,cell{ 58}{1} = {r=104,c=1}{l,h} % Design and Development
	,cell{162}{1} = {r= 53,c=1}{l,h} % Implementation
	,cell{  2}{2} = {r= 2}{l,h} % Workflow model
	,cell{  4}{2} = {r=17}{l,h} % Database model
	,cell{ 21}{2} = {r=12}{l,h} % UI model
	,cell{ 33}{2} = {r= 7}{l,h} % Validations
	,cell{ 40}{2} = {r=18}{l,h} % Application logic
	,cell{ 58}{2} = {r= 8}{l,h} % Workflow design and development
	,cell{ 66}{2} = {r=14}{l,h} % Database design
	,cell{ 80}{2} = {r=16}{l,h} % Fetching data
	,cell{ 96}{2} = {r=20}{l,h} % GUI design and development
	,cell{116}{2} = {r= 6}{l,h} % Data validation development
	,cell{122}{2} = {r=11}{l,h} % Actions design and development
	,cell{133}{2} = {r=29}{l,h} % Programming
	,cell{162}{2} = {r=24}{l,h} % Runtime server installation
	,cell{186}{2} = {r= 4}{l,h} % Database installation
	,cell{190}{2} = {r= 8}{l,h} % Client module installation
	,cell{198}{2} = {r=14}{l,h} % Deployment
	,cell{212}{2} = {r= 3}{l,h} % Version control
}</v>
      </c>
    </row>
    <row r="15" spans="1:6" ht="31.5" x14ac:dyDescent="0.25">
      <c r="A15" s="29" t="s">
        <v>393</v>
      </c>
      <c r="B15" s="1" t="s">
        <v>440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Platform review</vt:lpstr>
      <vt:lpstr>CLASSIFICATION</vt:lpstr>
      <vt:lpstr>TABELA</vt:lpstr>
      <vt:lpstr>TABELA_UNIQUE</vt:lpstr>
      <vt:lpstr>TABELA_UNIQUE_LaTeX</vt:lpstr>
      <vt:lpstr>TABELA_UNIQUE_IMPORTANT</vt:lpstr>
      <vt:lpstr>Sheet1</vt:lpstr>
      <vt:lpstr>TABELA_UNIQUE_IMPORTANT_LaTeX</vt:lpstr>
      <vt:lpstr>LaTeX TAB 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Waszkowski Robert</dc:creator>
  <cp:lastModifiedBy>Waszkowski Robert</cp:lastModifiedBy>
  <cp:lastPrinted>2024-04-08T09:57:51Z</cp:lastPrinted>
  <dcterms:created xsi:type="dcterms:W3CDTF">2023-12-01T11:56:12Z</dcterms:created>
  <dcterms:modified xsi:type="dcterms:W3CDTF">2025-06-25T07:00:12Z</dcterms:modified>
</cp:coreProperties>
</file>